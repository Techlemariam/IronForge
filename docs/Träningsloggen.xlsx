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3"/>
    <sheet state="visible" name="Start-Options" sheetId="2" r:id="rId4"/>
    <sheet state="visible" name="531" sheetId="3" r:id="rId5"/>
    <sheet state="visible" name=" Accessory" sheetId="4" r:id="rId6"/>
    <sheet state="visible" name="Extra!" sheetId="5" r:id="rId7"/>
    <sheet state="visible" name="531 Progress Tracker" sheetId="6" r:id="rId8"/>
    <sheet state="visible" name="BFR" sheetId="7" r:id="rId9"/>
    <sheet state="visible" name="351 PL" sheetId="8" r:id="rId10"/>
    <sheet state="visible" name="351 PL Progress Tracker" sheetId="9" r:id="rId11"/>
    <sheet state="visible" name="Updates" sheetId="10" r:id="rId12"/>
    <sheet state="visible" name="531 3-Day Beginner" sheetId="11" r:id="rId13"/>
    <sheet state="visible" name="Kopia av Sheet1" sheetId="12" r:id="rId14"/>
    <sheet state="visible" name="Nivåer" sheetId="13"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7">
      <text>
        <t xml:space="preserve">5 for pounds
2.5 for KG/Micro</t>
      </text>
    </comment>
  </commentList>
</comments>
</file>

<file path=xl/sharedStrings.xml><?xml version="1.0" encoding="utf-8"?>
<sst xmlns="http://schemas.openxmlformats.org/spreadsheetml/2006/main" count="2756" uniqueCount="414">
  <si>
    <t>5/3/1 Worksheet</t>
  </si>
  <si>
    <t>v3.0F</t>
  </si>
  <si>
    <t>Created by Pazienxa/diregna</t>
  </si>
  <si>
    <t>IMPORTANT: Only Modify the Boxes Highlighted in Grey</t>
  </si>
  <si>
    <t xml:space="preserve">Progress Tracker </t>
  </si>
  <si>
    <r>
      <rPr>
        <rFont val="Arial"/>
        <sz val="10.0"/>
      </rPr>
      <t xml:space="preserve">The Progress Tracker is 100% synced with your latest workout numbers. Just enter the number of reps done and the estimated 1RM will be automatically graphed and logged.
It requires absolutely no work on your part to maintain. Even if you miss a week, the graph and tracker will be adjusted to correctly reflect this!
Furthermore, your highest 1RM to date is always displayed on top of the sheet and of course, is done automatically for you.
</t>
    </r>
    <r>
      <rPr>
        <rFont val="Arial"/>
        <i/>
        <sz val="10.0"/>
      </rPr>
      <t>The only thing that you need to do is enter the number of reps done in the main worksheet!</t>
    </r>
  </si>
  <si>
    <t>Stall Adjustment</t>
  </si>
  <si>
    <t xml:space="preserve">What really sets this 5/3/1 Worksheet apart from the every other weekly workout sheet is the Stall Adjustment. As much as we all want never ending progress, there comes a 
time when we have to readjust or lower the weight. In the past, this can only be done by readjusting your entire workout logs, erasing your past progress, and what if you have
to reset more than once? </t>
  </si>
  <si>
    <r>
      <rPr>
        <rFont val="Arial"/>
        <sz val="10.0"/>
      </rPr>
      <t xml:space="preserve">This is what the Stall Adjustment is for. Not only will you be able to choose which exercise to reset, but also by how much. This is all done without adjusting the numbers from 
previous weeks or cycles. Furthermore, all of the weights in successive weeks will be properly adjusted to reflect the amount. You can reset as many times as necessary and
everything will always be correctly adjusted. This includes the Progress Tracker!
To use this feature, simply type any words or letter into the Stall Box next to the appropriate exercise and enter the amount of weight to back off. Your weights for the </t>
    </r>
    <r>
      <rPr>
        <rFont val="Arial"/>
        <b/>
        <i/>
        <sz val="10.0"/>
      </rPr>
      <t>NEXT
cycle</t>
    </r>
    <r>
      <rPr>
        <rFont val="Arial"/>
        <sz val="10.0"/>
      </rPr>
      <t xml:space="preserve"> will be appropriately adjusted. Weights for the current cycle will remain unchanged. </t>
    </r>
  </si>
  <si>
    <t>Of course, nobody ever wants to use this feature ;)</t>
  </si>
  <si>
    <t>Rep Goals</t>
  </si>
  <si>
    <r>
      <rPr>
        <rFont val="Arial"/>
        <b/>
        <sz val="10.0"/>
      </rPr>
      <t>Explaination of Rep Goals</t>
    </r>
    <r>
      <rPr>
        <rFont val="Arial"/>
        <b/>
        <sz val="10.0"/>
      </rPr>
      <t xml:space="preserve">
- In week 1, the rep goal is calculated by adding 5lbs to your working 1RM. If you achieve the rep goal, your estimated 1RM will be at least 5lbs more than your working 1RM  In week 2, the rep goal will be generated by adding 5lbs to your previous week's (week 1) estimated 1RM and the same concept works for week 3 if you get the rep goal. 
- If you are unable to get the number of reps recommended but the estimated 1RM is still greater than your current working 1RM, the following week's rep goal will still be generated by adding 5lbs onto your estimated 1RM.
- However, if the estimated 1RM is lower than your current working 1RM at any given week, the rep goal for next week will be calculated such that you will beat your current working 1RM by 5lbs or more.</t>
    </r>
  </si>
  <si>
    <r>
      <rPr>
        <rFont val="Arial"/>
        <b/>
        <sz val="10.0"/>
      </rPr>
      <t xml:space="preserve">For Example: </t>
    </r>
    <r>
      <rPr>
        <rFont val="Arial"/>
        <b/>
        <sz val="10.0"/>
      </rPr>
      <t xml:space="preserve">
Say my current working 1RM is 365 for squat. For week 1, I need to get 5+ for 310. The calculator also tells me that in order to beat my working 1RM of 365 by 5lbs, I will need to get at least 7 reps of 310 which will put me at an estimated 370.
If I do get 7 reps, I will have to do 330x6=385 in week 2 to beat my max of 370 because if I only get 330x5, that is still an estimated max of 370.
But say I wasn't feeling all that great and only went for the minimum number of 5 reps, that puts my estimated 1RM at 350, which is lower than my current working 1RM of 365. Therefore in week 2, the calculator will again add 5lbs to my current working 1RM of 365 and calculate the rep goal. In this scenario it will be 330x5 which gives an estimated 1RM of 370.</t>
    </r>
  </si>
  <si>
    <t>For 3/5/1 Powerlifting, the rep goals are only in effect for weeks 1 and 3. Week 3's rep goals are calculated based on week 1's estimated 1RM</t>
  </si>
  <si>
    <t>As the weights get higher, it may become necessary to adjust the +5lbs to a higher amount to get a more accurate estimate. You may notice that the rep goal for the next week may give the same 1RM or even a lower 1RM. 
This is when you should modify the rep goal feature in the Start-Options page.</t>
  </si>
  <si>
    <t>Disclaimer: The rep goal is for you to play around with and is by no means trying to detract from the idea of 5/3/1. If you don't like it, by all means, ignore it!</t>
  </si>
  <si>
    <t>Other Features</t>
  </si>
  <si>
    <r>
      <rPr>
        <rFont val="Arial"/>
        <b/>
        <sz val="10.0"/>
      </rPr>
      <t>Increment Per Cycle:</t>
    </r>
    <r>
      <rPr>
        <rFont val="Arial"/>
        <b/>
        <sz val="10.0"/>
      </rPr>
      <t xml:space="preserve">
From cycle to cycle, the working 1RMs for Squats and Deadlift will be increased by 10lbs and Press and Bench by 5lbs.
You do have the option of changing this to your own preference by editing the cycle increment.</t>
    </r>
  </si>
  <si>
    <r>
      <rPr>
        <rFont val="Arial"/>
        <b/>
        <sz val="10.0"/>
      </rPr>
      <t xml:space="preserve">Multi Estimators:
</t>
    </r>
    <r>
      <rPr>
        <rFont val="Arial"/>
        <b/>
        <sz val="10.0"/>
      </rPr>
      <t>The 1RM Calculator gives you a rough 1RM based on the amount of weight done for x number of reps
The Rep Goal Calculator tells you how many reps you need to do with a certain amount of weight to achive a certain 1RM
The Weight Calculator tells you the how much weight you need to do for a certain number of reps to achieve a certain 1RM</t>
    </r>
  </si>
  <si>
    <t>The Estimators are based on Matt Brzycki's (36*weight)/(37-reps done)</t>
  </si>
  <si>
    <r>
      <rPr>
        <rFont val="Arial"/>
        <b/>
        <sz val="10.0"/>
      </rPr>
      <t xml:space="preserve">Assistance/ Accessory Tracker
</t>
    </r>
    <r>
      <rPr>
        <rFont val="Arial"/>
        <b/>
        <sz val="10.0"/>
      </rPr>
      <t>Features the Strength Template and is Compatible with both 5/3/1 and 3/5/1 PL Percentages
Boring But Big Calculator also included!</t>
    </r>
  </si>
  <si>
    <t>Credits</t>
  </si>
  <si>
    <t xml:space="preserve">This spreadsheet is intended for personal use only and is in no way affliated with Jim Wendler. It is not intended to teach you the program or training methodologies.
Please purchase his 5/3/1 Books if you have not done so already. </t>
  </si>
  <si>
    <t>The worksheet is protected by password and is not intended to be modified or changed without my direct consent or approval. The raw version will only be released to serious 
programmers for debugging, code refactoring, or development of future versions.</t>
  </si>
  <si>
    <r>
      <rPr>
        <rFont val="Arial"/>
        <b/>
        <sz val="10.0"/>
      </rPr>
      <t>Contact Me:</t>
    </r>
    <r>
      <rPr>
        <rFont val="Arial"/>
        <sz val="10.0"/>
      </rPr>
      <t xml:space="preserve"> You can reach me by the way of Private Messaging Pazienxa on Bodybuilding.com/forums or diregna on Reddit.</t>
    </r>
  </si>
  <si>
    <t>531 Start/Options</t>
  </si>
  <si>
    <t>Weight</t>
  </si>
  <si>
    <t>Reps</t>
  </si>
  <si>
    <t>1RM</t>
  </si>
  <si>
    <t>Multi Estimator</t>
  </si>
  <si>
    <t>Military</t>
  </si>
  <si>
    <t>Deadlift</t>
  </si>
  <si>
    <t>Bench</t>
  </si>
  <si>
    <t>Squat</t>
  </si>
  <si>
    <t>Note: Information only needs to be entered once. Your training maxes will be automatically updated in each cycle.</t>
  </si>
  <si>
    <t>Accessory</t>
  </si>
  <si>
    <t>Day 1</t>
  </si>
  <si>
    <t>Pull Ups</t>
  </si>
  <si>
    <t>Barbell Row</t>
  </si>
  <si>
    <t>Dips</t>
  </si>
  <si>
    <t>BB Curl</t>
  </si>
  <si>
    <t>Barbell Rear Delt Row</t>
  </si>
  <si>
    <t>Lateral Raise</t>
  </si>
  <si>
    <t>LBS</t>
  </si>
  <si>
    <t>Day 2</t>
  </si>
  <si>
    <t>RDL</t>
  </si>
  <si>
    <t>Stiff Leg Deadlift</t>
  </si>
  <si>
    <t>Hanging Leg Raise</t>
  </si>
  <si>
    <t>Day 3</t>
  </si>
  <si>
    <t>Chin Ups</t>
  </si>
  <si>
    <t>Incline Bench</t>
  </si>
  <si>
    <t>Hammer Curl</t>
  </si>
  <si>
    <t>Barbell Overhead Triceps Extension</t>
  </si>
  <si>
    <t>Day 4</t>
  </si>
  <si>
    <t>Front Squat</t>
  </si>
  <si>
    <t>Good Mornings</t>
  </si>
  <si>
    <t>Barbell Hip Thrust</t>
  </si>
  <si>
    <t>Increment/Cycle</t>
  </si>
  <si>
    <t>Rep Goal Increment</t>
  </si>
  <si>
    <t>2,5</t>
  </si>
  <si>
    <t>5/3/1 Program</t>
  </si>
  <si>
    <t>3/5/1 Powerlifters</t>
  </si>
  <si>
    <t>Progress Tracker 531</t>
  </si>
  <si>
    <t>Progress Tracker 351</t>
  </si>
  <si>
    <t>Accessory Planner</t>
  </si>
  <si>
    <t xml:space="preserve">Rounding  </t>
  </si>
  <si>
    <t>531 Beginner</t>
  </si>
  <si>
    <t xml:space="preserve"> </t>
  </si>
  <si>
    <t xml:space="preserve">It is strongly recommended that you do not modify any information on this page AFTER you have started your cycle.In addition, you are encouraged to lock the spreadsheet to prevent accidental deletion of formulaes. </t>
  </si>
  <si>
    <t xml:space="preserve">                                                     </t>
  </si>
  <si>
    <t>5/3/1 Calculator</t>
  </si>
  <si>
    <t>Vikt</t>
  </si>
  <si>
    <t>kg</t>
  </si>
  <si>
    <t>1RM Calculator</t>
  </si>
  <si>
    <t>Rep Goal Calculator</t>
  </si>
  <si>
    <t>Barbell</t>
  </si>
  <si>
    <t>Weight Calculator</t>
  </si>
  <si>
    <t>Start/Options</t>
  </si>
  <si>
    <t xml:space="preserve">Rep </t>
  </si>
  <si>
    <t>Sida</t>
  </si>
  <si>
    <t>Progress Tracker</t>
  </si>
  <si>
    <t>Joker= 5 reps av +5 procent av tredje setet, öka med 5 procent till failure</t>
  </si>
  <si>
    <t>FSL =3-5 sets av 5-8 reps av första setet</t>
  </si>
  <si>
    <t>Cycle 1</t>
  </si>
  <si>
    <t>Week 1 3x5</t>
  </si>
  <si>
    <t>Week 2 3x3</t>
  </si>
  <si>
    <t>Week 3 5/3/1</t>
  </si>
  <si>
    <t xml:space="preserve">Week 4 Deload </t>
  </si>
  <si>
    <t>Rep
Goal</t>
  </si>
  <si>
    <t>1RM
Goal</t>
  </si>
  <si>
    <t>Reps 
Done</t>
  </si>
  <si>
    <t xml:space="preserve"> 1RM</t>
  </si>
  <si>
    <t>Cycle 1 1RM</t>
  </si>
  <si>
    <t>Warm-up Calc</t>
  </si>
  <si>
    <t>Top Set</t>
  </si>
  <si>
    <t>40%x5</t>
  </si>
  <si>
    <t>50%x5</t>
  </si>
  <si>
    <t>60%x3</t>
  </si>
  <si>
    <t>Cycle 2</t>
  </si>
  <si>
    <t xml:space="preserve">Week 5 3x5 </t>
  </si>
  <si>
    <t>Week 6 3x3</t>
  </si>
  <si>
    <t>Week 7 5/3/1</t>
  </si>
  <si>
    <t xml:space="preserve">Week 8 Deload </t>
  </si>
  <si>
    <t>Cycle 2 1RM</t>
  </si>
  <si>
    <t>Stall</t>
  </si>
  <si>
    <t>Backoff
Amount</t>
  </si>
  <si>
    <t>Cycle 3</t>
  </si>
  <si>
    <t xml:space="preserve">Week 9 3x5 </t>
  </si>
  <si>
    <t>Week 10 3x3</t>
  </si>
  <si>
    <t>Week 11 5/3/1</t>
  </si>
  <si>
    <t xml:space="preserve">Week 12 Deload </t>
  </si>
  <si>
    <t>Cycle 3 1RM</t>
  </si>
  <si>
    <t>Cycle 4</t>
  </si>
  <si>
    <t xml:space="preserve">Week 13 3x5 </t>
  </si>
  <si>
    <t>Week 14 3x3</t>
  </si>
  <si>
    <t>Week 15 5/3/1</t>
  </si>
  <si>
    <t xml:space="preserve">Week 16 Deload </t>
  </si>
  <si>
    <t>Cycle 4 1RM</t>
  </si>
  <si>
    <t>Cycle 5</t>
  </si>
  <si>
    <t xml:space="preserve">Week 17 3x5 </t>
  </si>
  <si>
    <t>Week 18 3x3</t>
  </si>
  <si>
    <t>Week 19 5/3/1</t>
  </si>
  <si>
    <t xml:space="preserve">Week 20 Deload </t>
  </si>
  <si>
    <t>Cycle 5 1RM</t>
  </si>
  <si>
    <t>Cycle 6</t>
  </si>
  <si>
    <t xml:space="preserve">Week 21 3x5 </t>
  </si>
  <si>
    <t>Week 22 3x3</t>
  </si>
  <si>
    <t>Week 23 5/3/1</t>
  </si>
  <si>
    <t xml:space="preserve">Week 24 Deload </t>
  </si>
  <si>
    <t>Cycle 6 1RM</t>
  </si>
  <si>
    <t>Cycle 7</t>
  </si>
  <si>
    <t xml:space="preserve">Week 25 3x5 </t>
  </si>
  <si>
    <t>Week 26 3x3</t>
  </si>
  <si>
    <t>Week 27 5/3/1</t>
  </si>
  <si>
    <t xml:space="preserve">Week 28 Deload </t>
  </si>
  <si>
    <t>Cycle 7 1RM</t>
  </si>
  <si>
    <t>Cycle 8</t>
  </si>
  <si>
    <t xml:space="preserve">Week 29 3x5 </t>
  </si>
  <si>
    <t>Week 30 3x3</t>
  </si>
  <si>
    <t>Week 31 5/3/1</t>
  </si>
  <si>
    <t xml:space="preserve">Week 32 Deload </t>
  </si>
  <si>
    <t>Cycle 8 1RM</t>
  </si>
  <si>
    <t>Cycle 9</t>
  </si>
  <si>
    <t xml:space="preserve">Week 33 3x5 </t>
  </si>
  <si>
    <t>Week 34 3x3</t>
  </si>
  <si>
    <t>Week 35 5/3/1</t>
  </si>
  <si>
    <t xml:space="preserve">Week 36 Deload </t>
  </si>
  <si>
    <t>Cycle 9 1RM</t>
  </si>
  <si>
    <t>Cycle 10</t>
  </si>
  <si>
    <t xml:space="preserve">Week 37 3x5 </t>
  </si>
  <si>
    <t>Week 38 3x3</t>
  </si>
  <si>
    <t>Week 39 5/3/1</t>
  </si>
  <si>
    <t xml:space="preserve">Week 40 Deload </t>
  </si>
  <si>
    <t>Cycle 10 1RM</t>
  </si>
  <si>
    <t>Cycle 11</t>
  </si>
  <si>
    <t xml:space="preserve">Week 41 3x5 </t>
  </si>
  <si>
    <t>Week 42 3x3</t>
  </si>
  <si>
    <t>Week 43 5/3/1</t>
  </si>
  <si>
    <t xml:space="preserve">Week 44 Deload </t>
  </si>
  <si>
    <t>Cycle 11 1RM</t>
  </si>
  <si>
    <t>Cycle 12</t>
  </si>
  <si>
    <t xml:space="preserve">Week 45 3x5 </t>
  </si>
  <si>
    <t>Week 46 3x3</t>
  </si>
  <si>
    <t>Week 47 5/3/1</t>
  </si>
  <si>
    <t xml:space="preserve">Week 48 Deload </t>
  </si>
  <si>
    <t>Cycle 12 1RM</t>
  </si>
  <si>
    <t>Cycle 13</t>
  </si>
  <si>
    <t xml:space="preserve">Week 49 3x5 </t>
  </si>
  <si>
    <t>Week 50 3x3</t>
  </si>
  <si>
    <t>Week 51 5/3/1</t>
  </si>
  <si>
    <t xml:space="preserve">Week 52 Deload </t>
  </si>
  <si>
    <t>Cycle 13 1RM</t>
  </si>
  <si>
    <t>Assistance/Accessory Work Planner</t>
  </si>
  <si>
    <t>5/3/1</t>
  </si>
  <si>
    <t>5/3/1 Beginner</t>
  </si>
  <si>
    <t>3/5/1 PL</t>
  </si>
  <si>
    <t>Week 1</t>
  </si>
  <si>
    <t xml:space="preserve">Assistance </t>
  </si>
  <si>
    <t xml:space="preserve">Accessory </t>
  </si>
  <si>
    <t>Week 2</t>
  </si>
  <si>
    <t>Assistance Template</t>
  </si>
  <si>
    <t xml:space="preserve">Exercise </t>
  </si>
  <si>
    <t>Exercise</t>
  </si>
  <si>
    <t>Set/Reps</t>
  </si>
  <si>
    <t>Boring But Big</t>
  </si>
  <si>
    <t>Day 3 Status:</t>
  </si>
  <si>
    <t>Lats</t>
  </si>
  <si>
    <t xml:space="preserve"> 5x10</t>
  </si>
  <si>
    <t>Wk1</t>
  </si>
  <si>
    <t xml:space="preserve">Wk2 </t>
  </si>
  <si>
    <t>Wk3</t>
  </si>
  <si>
    <t>Wk4</t>
  </si>
  <si>
    <t xml:space="preserve">Day 4: Status: </t>
  </si>
  <si>
    <t>Abs</t>
  </si>
  <si>
    <t xml:space="preserve">Squat </t>
  </si>
  <si>
    <t>set1</t>
  </si>
  <si>
    <t>set2</t>
  </si>
  <si>
    <t>set3</t>
  </si>
  <si>
    <t>set4</t>
  </si>
  <si>
    <t>set5</t>
  </si>
  <si>
    <t xml:space="preserve">Day 1 Status: </t>
  </si>
  <si>
    <t xml:space="preserve">Day 2 Status: </t>
  </si>
  <si>
    <t>Week 3</t>
  </si>
  <si>
    <t>Week 4</t>
  </si>
  <si>
    <t>Simplest Strength Template</t>
  </si>
  <si>
    <t>531 or 351?</t>
  </si>
  <si>
    <t>OH+B+Latwork</t>
  </si>
  <si>
    <t>D+Sq+Abs</t>
  </si>
  <si>
    <t>Exercise 1</t>
  </si>
  <si>
    <t>B+OH+Lats</t>
  </si>
  <si>
    <t>Exercise 2</t>
  </si>
  <si>
    <t>Sq+Dead+Abs</t>
  </si>
  <si>
    <t>Exercise 3</t>
  </si>
  <si>
    <t>lats var upptagen</t>
  </si>
  <si>
    <t>Exercise 4</t>
  </si>
  <si>
    <t>abs</t>
  </si>
  <si>
    <t>Week 5</t>
  </si>
  <si>
    <t>Week 6</t>
  </si>
  <si>
    <t>Status:</t>
  </si>
  <si>
    <t>Nästa gång!</t>
  </si>
  <si>
    <t>Samma!</t>
  </si>
  <si>
    <t>Öka</t>
  </si>
  <si>
    <t>Öka!</t>
  </si>
  <si>
    <t>Samma</t>
  </si>
  <si>
    <t xml:space="preserve">Exercise 4 </t>
  </si>
  <si>
    <t>Week 7</t>
  </si>
  <si>
    <t>Week 8</t>
  </si>
  <si>
    <t>Hann inte</t>
  </si>
  <si>
    <t>Day 2 Status:</t>
  </si>
  <si>
    <t>Week 9</t>
  </si>
  <si>
    <t>Week 10</t>
  </si>
  <si>
    <t>Stanna</t>
  </si>
  <si>
    <t>Hann inte!</t>
  </si>
  <si>
    <t>Orkade inte</t>
  </si>
  <si>
    <t>Week 11</t>
  </si>
  <si>
    <t>Week 12</t>
  </si>
  <si>
    <t>Week 13</t>
  </si>
  <si>
    <t>Week 14</t>
  </si>
  <si>
    <t>Week 15</t>
  </si>
  <si>
    <t>Week 16</t>
  </si>
  <si>
    <t>Week 17</t>
  </si>
  <si>
    <t>Week 18</t>
  </si>
  <si>
    <t>Accessory Only</t>
  </si>
  <si>
    <t xml:space="preserve">Day 1 </t>
  </si>
  <si>
    <t>Week 19</t>
  </si>
  <si>
    <t>Week 20</t>
  </si>
  <si>
    <t>Ben och vader</t>
  </si>
  <si>
    <t>BFR LEG EXTENSION</t>
  </si>
  <si>
    <t>BFR LEG CURL</t>
  </si>
  <si>
    <t>BFR Vader</t>
  </si>
  <si>
    <t>BFR Triceps pressdown</t>
  </si>
  <si>
    <t>Dumbell curl</t>
  </si>
  <si>
    <t>BFR = 5 reps av 20-50% av 1RM</t>
  </si>
  <si>
    <t>Börja med 40</t>
  </si>
  <si>
    <t>30-60 sekunder vila mellan sets</t>
  </si>
  <si>
    <t>1. 30 reps</t>
  </si>
  <si>
    <t>2. 15 reps</t>
  </si>
  <si>
    <t>3. 10-15 reps</t>
  </si>
  <si>
    <t>4. 10-15 reps</t>
  </si>
  <si>
    <t>5. 10-15 reps</t>
  </si>
  <si>
    <t>Week 21</t>
  </si>
  <si>
    <t>Week 22</t>
  </si>
  <si>
    <t xml:space="preserve">Day 2
</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</si>
  <si>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</si>
  <si>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</si>
  <si>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</si>
  <si>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</si>
  <si>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</si>
  <si>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</si>
  <si>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</si>
  <si>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</si>
  <si>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</si>
  <si>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</si>
  <si>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</si>
  <si>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</si>
  <si>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</si>
  <si>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</si>
  <si>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</si>
  <si>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</si>
  <si>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</si>
  <si>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</si>
  <si>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</si>
  <si>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</si>
  <si>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</si>
  <si>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</si>
  <si>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</si>
  <si>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</si>
  <si>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</si>
  <si>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</si>
  <si>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</si>
  <si>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</si>
  <si>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</si>
  <si>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</si>
  <si>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https://www.youtube.com/watch?v=OMg8GlND-V4</t>
  </si>
  <si>
    <t>https://www.bodybuilding.com/exercises/lying-rear-delt-raise</t>
  </si>
  <si>
    <t>https://www.youtube.com/watch?time_continue=70&amp;v=Zp26q4BY5HE&amp;feature=emb_title</t>
  </si>
  <si>
    <t>https://www.youtube.com/watch?v=He-GN_4MAY4&amp;feature=youtu.be</t>
  </si>
  <si>
    <t>Best Reps 
Done</t>
  </si>
  <si>
    <t>3x6-8</t>
  </si>
  <si>
    <t>5x8</t>
  </si>
  <si>
    <t>5x10</t>
  </si>
  <si>
    <t>BB Rear Delt Row</t>
  </si>
  <si>
    <t>3x10</t>
  </si>
  <si>
    <t>5x12</t>
  </si>
  <si>
    <t>5x15</t>
  </si>
  <si>
    <t>BB Overhead Triceps Extension</t>
  </si>
  <si>
    <t>5/3/1 Progress Tracker</t>
  </si>
  <si>
    <t xml:space="preserve"> ONLY Compatible with 5/3/1</t>
  </si>
  <si>
    <t>Highest Estimated 1RM to Date</t>
  </si>
  <si>
    <t>Nästa nivå:</t>
  </si>
  <si>
    <t>Kilon kvar</t>
  </si>
  <si>
    <t>Min nivå:</t>
  </si>
  <si>
    <t>Cycle</t>
  </si>
  <si>
    <t>Wk</t>
  </si>
  <si>
    <t>3/5/1 Powerlifting</t>
  </si>
  <si>
    <t>Week 1 3x3</t>
  </si>
  <si>
    <t>Week 2 3x5</t>
  </si>
  <si>
    <t>Singles
x3</t>
  </si>
  <si>
    <t>Singles
x2</t>
  </si>
  <si>
    <t>Week 5 3x3</t>
  </si>
  <si>
    <t>Week 6 3x5</t>
  </si>
  <si>
    <t>Week 9 3x3</t>
  </si>
  <si>
    <t>Week 10 3x5</t>
  </si>
  <si>
    <t>Week 13 3x3</t>
  </si>
  <si>
    <t>Week 14 3x5</t>
  </si>
  <si>
    <t>Week 17 3x3</t>
  </si>
  <si>
    <t>Week 18 3x5</t>
  </si>
  <si>
    <t>Week 21 3x3</t>
  </si>
  <si>
    <t>Week 22 3x5</t>
  </si>
  <si>
    <t>Week 25 3x3</t>
  </si>
  <si>
    <t>Week 26 3x5</t>
  </si>
  <si>
    <t>Week 29 3x3</t>
  </si>
  <si>
    <t>Week 30 3x5</t>
  </si>
  <si>
    <t xml:space="preserve">Week 33 3x3 </t>
  </si>
  <si>
    <t>Week 34 3x5</t>
  </si>
  <si>
    <t xml:space="preserve">Week 37 3x3 </t>
  </si>
  <si>
    <t>Week 38 3x5</t>
  </si>
  <si>
    <t>Week 41 3x3</t>
  </si>
  <si>
    <t>Week 42 3x5</t>
  </si>
  <si>
    <t xml:space="preserve">Week 45 3x3 </t>
  </si>
  <si>
    <t>Week 46 3x5</t>
  </si>
  <si>
    <t>Week 49 3x3</t>
  </si>
  <si>
    <t>Week 50 3x5</t>
  </si>
  <si>
    <t>3/5/1 PL Progress Tracker</t>
  </si>
  <si>
    <t>ONLY Compatible with 3/5/1 PL</t>
  </si>
  <si>
    <t>351 PL Program</t>
  </si>
  <si>
    <t>5/3/1 Worksheet Updates</t>
  </si>
  <si>
    <t>By Pazienxa/diregna</t>
  </si>
  <si>
    <t>v1.0</t>
  </si>
  <si>
    <t>Completed Caculators</t>
  </si>
  <si>
    <t>v1.1</t>
  </si>
  <si>
    <t>Updated rounding in Rep Goals resulting in higher accuracy
Added a Rep Req'd Calculator</t>
  </si>
  <si>
    <t>v1.2</t>
  </si>
  <si>
    <t>Added a Multi Calculator which includes weights
Added Cycle Clear Button and Button to Clear all entries. (MACROS needs to be enabled to run this feature)
Added a "Shades" Version of Spreadsheet</t>
  </si>
  <si>
    <t>v2.0</t>
  </si>
  <si>
    <t xml:space="preserve">
Removed macros which was experiencing compatibility issues across different OS and Excel versions
Removed colour codes
Added Progress Tracker
Added Stalling adjustments
Improved ease of use for various estimators
Added a Start Page where initial starting weights and stats are entered
Addition of Hyperlinking
3/5/1 Powerlifting Calculator Added 
Adjusted Width of cells to prevent resolve the issue of ####
</t>
  </si>
  <si>
    <t>v2.1</t>
  </si>
  <si>
    <t>Added a rounding option to support KG/Smaller increments
Major bug in 3/5/1 Powerlifting patched
Added ability to change exercise order</t>
  </si>
  <si>
    <t>Accessory Tracker featuring Simplest Strength Template and Boring but Big</t>
  </si>
  <si>
    <t>Added 3/5/1 Powerlifting Tracker</t>
  </si>
  <si>
    <t>Added 5/3/1 3-Day Beginner</t>
  </si>
  <si>
    <t>Added Warm-up Calculators
More Bug Patches</t>
  </si>
  <si>
    <t>5/3/1 3-Day Beginner</t>
  </si>
  <si>
    <t>Week 1 3x5+</t>
  </si>
  <si>
    <t>Week 2 3x3+</t>
  </si>
  <si>
    <t>Week 3 3x5,3,1+</t>
  </si>
  <si>
    <t xml:space="preserve">Reps </t>
  </si>
  <si>
    <t>Squat 5/3/1</t>
  </si>
  <si>
    <t>Bench 3x5</t>
  </si>
  <si>
    <t>Deadlift 5/3/1</t>
  </si>
  <si>
    <t>Military 5/3/1</t>
  </si>
  <si>
    <t>Bench 5/3/1</t>
  </si>
  <si>
    <t>Squat 3x5</t>
  </si>
  <si>
    <t>Week 4 3x5+</t>
  </si>
  <si>
    <t>Week 5 3x3+</t>
  </si>
  <si>
    <t>Week 6 3x5,3,1+</t>
  </si>
  <si>
    <t>Week 7 3x5+</t>
  </si>
  <si>
    <t>Week 8 3x3+</t>
  </si>
  <si>
    <t>Week 9 3x5,3,1+</t>
  </si>
  <si>
    <t>Press 5/3/1</t>
  </si>
  <si>
    <t>Week 10 3x5+</t>
  </si>
  <si>
    <t>Week 11 3x3+</t>
  </si>
  <si>
    <t>Week 12 3x5,3,1+</t>
  </si>
  <si>
    <t>Week 13 3x5+</t>
  </si>
  <si>
    <t>Week 14 3x3+</t>
  </si>
  <si>
    <t>Week 15 3x5,3,1+</t>
  </si>
  <si>
    <t>Week 16 3x5+</t>
  </si>
  <si>
    <t>Week 17 3x3+</t>
  </si>
  <si>
    <t>Week 18 3x5,3,1+</t>
  </si>
  <si>
    <t>Use to determine how many plates to put on each side of barbell</t>
  </si>
  <si>
    <t>Enter desired lift weight</t>
  </si>
  <si>
    <t>Enter Barbell Weight</t>
  </si>
  <si>
    <t>number of plates</t>
  </si>
  <si>
    <t>Enter Plate Sizes below</t>
  </si>
  <si>
    <t>needed on each side</t>
  </si>
  <si>
    <t>Calculation Area - DON'T CHANGE</t>
  </si>
  <si>
    <t>Total Plate Weight Needed</t>
  </si>
  <si>
    <t>Plate weight on each side</t>
  </si>
  <si>
    <t>Directions:</t>
  </si>
  <si>
    <t>To determine the what plate to put on each side</t>
  </si>
  <si>
    <t>All data is entered into blue cells</t>
  </si>
  <si>
    <t>1. Enter your desired lift weight</t>
  </si>
  <si>
    <t>2. Enter your barbell weight</t>
  </si>
  <si>
    <t>3. Enter your plate sizes</t>
  </si>
  <si>
    <t>4 Read number of plates in yellow and add to each side of your barbell.</t>
  </si>
  <si>
    <t>Written by: jay415 (bodybuilding.com member)</t>
  </si>
  <si>
    <t>Bänk</t>
  </si>
  <si>
    <t>Militär press</t>
  </si>
  <si>
    <t>BW</t>
  </si>
  <si>
    <t>Beg.</t>
  </si>
  <si>
    <t>Nov.</t>
  </si>
  <si>
    <t>Int.</t>
  </si>
  <si>
    <t>Adv.</t>
  </si>
  <si>
    <t>Elite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</si>
</sst>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1">
    <font>
      <sz val="10.0"/>
      <color rgb="FF000000"/>
      <name val="Arial"/>
    </font>
    <font>
      <sz val="10.0"/>
      <name val="Arial"/>
    </font>
    <font>
      <b/>
      <sz val="20.0"/>
      <color rgb="FFFFFFFF"/>
      <name val="Arial"/>
    </font>
    <font>
      <sz val="10.0"/>
      <color rgb="FFFFFFFF"/>
      <name val="Arial"/>
    </font>
    <font>
      <b/>
      <sz val="10.0"/>
      <color rgb="FFFFFFFF"/>
      <name val="Arial"/>
    </font>
    <font/>
    <font>
      <b/>
      <u/>
      <sz val="11.0"/>
      <name val="Arial"/>
    </font>
    <font>
      <b/>
      <u/>
      <sz val="11.0"/>
      <name val="Arial"/>
    </font>
    <font>
      <b/>
      <sz val="10.0"/>
      <name val="Arial"/>
    </font>
    <font>
      <i/>
      <sz val="10.0"/>
      <name val="Arial"/>
    </font>
    <font>
      <b/>
      <u/>
      <sz val="11.0"/>
      <name val="Arial"/>
    </font>
    <font>
      <u/>
      <sz val="10.0"/>
      <color rgb="FFFFFFFF"/>
      <name val="Arial"/>
    </font>
    <font>
      <sz val="9.0"/>
      <color rgb="FFFFFFFF"/>
      <name val="Arial"/>
    </font>
    <font>
      <sz val="12.0"/>
      <color rgb="FFFFFFFF"/>
      <name val="Arial"/>
    </font>
    <font>
      <b/>
      <sz val="16.0"/>
      <name val="Arial"/>
    </font>
    <font>
      <sz val="10.0"/>
      <color rgb="FFDD0806"/>
      <name val="Arial"/>
    </font>
    <font>
      <b/>
      <sz val="12.0"/>
      <name val="Arial"/>
    </font>
    <font>
      <b/>
      <u/>
      <sz val="16.0"/>
      <name val="Arial"/>
    </font>
    <font>
      <u/>
      <sz val="10.0"/>
      <color rgb="FF0000D4"/>
      <name val="Arial"/>
    </font>
    <font>
      <sz val="9.0"/>
      <color rgb="FF0088CC"/>
      <name val="Verdana"/>
    </font>
    <font>
      <sz val="9.0"/>
      <name val="Arial"/>
    </font>
    <font>
      <sz val="9.0"/>
    </font>
    <font>
      <sz val="9.0"/>
      <color rgb="FF000000"/>
      <name val="Verdana"/>
    </font>
    <font>
      <u/>
      <color rgb="FF0000FF"/>
    </font>
    <font>
      <sz val="14.0"/>
      <color rgb="FFFFFFFF"/>
      <name val="Arial"/>
    </font>
    <font>
      <b/>
      <sz val="12.0"/>
      <color rgb="FFFFFFFF"/>
      <name val="Arial"/>
    </font>
    <font>
      <sz val="8.0"/>
      <name val="Arial"/>
    </font>
    <font>
      <sz val="20.0"/>
      <color rgb="FFFFFFFF"/>
      <name val="Arial"/>
    </font>
    <font>
      <b/>
      <sz val="20.0"/>
      <name val="Arial"/>
    </font>
    <font>
      <sz val="11.0"/>
      <color rgb="FF000000"/>
      <name val="Calibri"/>
    </font>
    <font>
      <sz val="10.0"/>
      <color rgb="FF000000"/>
      <name val="Calibri"/>
    </font>
  </fonts>
  <fills count="10">
    <fill>
      <patternFill patternType="none"/>
    </fill>
    <fill>
      <patternFill patternType="lightGray"/>
    </fill>
    <fill>
      <patternFill patternType="solid">
        <fgColor rgb="FF000000"/>
        <bgColor rgb="FF000000"/>
      </patternFill>
    </fill>
    <fill>
      <patternFill patternType="solid">
        <fgColor rgb="FFC0C0C0"/>
        <bgColor rgb="FFC0C0C0"/>
      </patternFill>
    </fill>
    <fill>
      <patternFill patternType="solid">
        <fgColor rgb="FFFFFFFF"/>
        <bgColor rgb="FFFFFFFF"/>
      </patternFill>
    </fill>
    <fill>
      <patternFill patternType="solid">
        <fgColor rgb="FFFAFAFA"/>
        <bgColor rgb="FFFAFAFA"/>
      </patternFill>
    </fill>
    <fill>
      <patternFill patternType="solid">
        <fgColor rgb="FF969696"/>
        <bgColor rgb="FF969696"/>
      </patternFill>
    </fill>
    <fill>
      <patternFill patternType="solid">
        <fgColor rgb="FF00CCFF"/>
        <bgColor rgb="FF00CCFF"/>
      </patternFill>
    </fill>
    <fill>
      <patternFill patternType="solid">
        <fgColor rgb="FF808080"/>
        <bgColor rgb="FF808080"/>
      </patternFill>
    </fill>
    <fill>
      <patternFill patternType="solid">
        <fgColor rgb="FFFFFF00"/>
        <bgColor rgb="FFFFFF00"/>
      </patternFill>
    </fill>
  </fills>
  <borders count="121">
    <border/>
    <border>
      <left/>
      <right/>
      <top/>
      <bottom/>
    </border>
    <border>
      <left/>
      <top/>
      <bottom/>
    </border>
    <border>
      <top/>
      <bottom/>
    </border>
    <border>
      <right/>
      <top/>
      <bottom/>
    </border>
    <border>
      <left style="medium">
        <color rgb="FF000000"/>
      </left>
      <top style="medium">
        <color rgb="FF000000"/>
      </top>
      <bottom/>
    </border>
    <border>
      <top style="medium">
        <color rgb="FF000000"/>
      </top>
      <bottom/>
    </border>
    <border>
      <right style="double">
        <color rgb="FF000000"/>
      </right>
      <top style="medium">
        <color rgb="FF000000"/>
      </top>
      <bottom/>
    </border>
    <border>
      <left style="medium">
        <color rgb="FF000000"/>
      </left>
    </border>
    <border>
      <right style="double">
        <color rgb="FF000000"/>
      </right>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bottom/>
    </border>
    <border>
      <bottom style="double">
        <color rgb="FF000000"/>
      </bottom>
    </border>
    <border>
      <right style="double">
        <color rgb="FF000000"/>
      </right>
      <bottom style="double">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thin">
        <color rgb="FF000000"/>
      </bottom>
    </border>
    <border>
      <right/>
      <top/>
      <bottom style="thin">
        <color rgb="FF000000"/>
      </bottom>
    </border>
    <border>
      <left/>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right/>
      <top style="medium">
        <color rgb="FF000000"/>
      </top>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border>
    <border>
      <left style="thin">
        <color rgb="FF000000"/>
      </left>
      <right/>
      <top style="thin">
        <color rgb="FF000000"/>
      </top>
      <bottom/>
    </border>
    <border>
      <left/>
      <right style="medium">
        <color rgb="FF000000"/>
      </right>
      <top style="thin">
        <color rgb="FF000000"/>
      </top>
      <bottom/>
    </border>
    <border>
      <left style="medium">
        <color rgb="FF000000"/>
      </left>
      <right style="thin">
        <color rgb="FF000000"/>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bottom/>
    </border>
    <border>
      <left/>
      <right style="thin">
        <color rgb="FF000000"/>
      </right>
      <top/>
      <bottom/>
    </border>
    <border>
      <left style="thin">
        <color rgb="FF000000"/>
      </left>
      <right/>
      <top/>
      <bottom/>
    </border>
    <border>
      <left style="thin">
        <color rgb="FF000000"/>
      </left>
      <right style="medium">
        <color rgb="FF000000"/>
      </right>
      <top/>
      <bottom/>
    </border>
    <border>
      <left style="thin">
        <color rgb="FF000000"/>
      </left>
      <right style="thin">
        <color rgb="FF000000"/>
      </right>
      <top/>
      <bottom/>
    </border>
    <border>
      <left style="medium">
        <color rgb="FF000000"/>
      </left>
      <right style="thin">
        <color rgb="FF000000"/>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top style="thin">
        <color rgb="FF000000"/>
      </top>
      <bottom style="thin">
        <color rgb="FF000000"/>
      </bottom>
    </border>
    <border>
      <left style="thin">
        <color rgb="FF000000"/>
      </left>
      <top style="thin">
        <color rgb="FF000000"/>
      </top>
      <bottom/>
    </border>
    <border>
      <right/>
      <top style="thin">
        <color rgb="FF000000"/>
      </top>
      <bottom/>
    </border>
    <border>
      <left/>
      <right style="medium">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right style="thin">
        <color rgb="FF000000"/>
      </right>
      <top style="medium">
        <color rgb="FF000000"/>
      </top>
    </border>
    <border>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rder>
    <border>
      <left style="thin">
        <color rgb="FF000000"/>
      </left>
      <right style="thin">
        <color rgb="FF000000"/>
      </right>
      <top style="thin">
        <color rgb="FF000000"/>
      </top>
      <bottom style="thin">
        <color rgb="FF969696"/>
      </bottom>
    </border>
    <border>
      <left/>
      <right style="thin">
        <color rgb="FF000000"/>
      </right>
      <top/>
      <bottom style="thin">
        <color rgb="FF969696"/>
      </bottom>
    </border>
    <border>
      <left/>
      <right style="medium">
        <color rgb="FF000000"/>
      </right>
      <top style="thin">
        <color rgb="FF000000"/>
      </top>
      <bottom style="thin">
        <color rgb="FF969696"/>
      </bottom>
    </border>
    <border>
      <left style="thin">
        <color rgb="FF000000"/>
      </left>
    </border>
    <border>
      <left/>
      <right style="thin">
        <color rgb="FF000000"/>
      </right>
      <top style="thin">
        <color rgb="FF969696"/>
      </top>
      <bottom style="thin">
        <color rgb="FF969696"/>
      </bottom>
    </border>
    <border>
      <left style="thin">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top style="thin">
        <color rgb="FF000000"/>
      </top>
    </border>
    <border>
      <right style="thin">
        <color rgb="FF000000"/>
      </right>
      <top style="thin">
        <color rgb="FF000000"/>
      </top>
    </border>
    <border>
      <left/>
      <right style="thin">
        <color rgb="FF000000"/>
      </right>
      <top style="thin">
        <color rgb="FF000000"/>
      </top>
      <bottom style="thin">
        <color rgb="FF969696"/>
      </bottom>
    </border>
    <border>
      <left/>
      <right style="medium">
        <color rgb="FF000000"/>
      </right>
      <top style="thin">
        <color rgb="FF969696"/>
      </top>
      <bottom style="thin">
        <color rgb="FF969696"/>
      </bottom>
    </border>
    <border>
      <left/>
      <right style="medium">
        <color rgb="FF000000"/>
      </right>
      <top/>
      <bottom style="thin">
        <color rgb="FF000000"/>
      </bottom>
    </border>
    <border>
      <left/>
      <right/>
      <top style="thin">
        <color rgb="FF969696"/>
      </top>
      <bottom style="thin">
        <color rgb="FF969696"/>
      </bottom>
    </border>
    <border>
      <left style="thin">
        <color rgb="FF000000"/>
      </left>
      <bottom style="thin">
        <color rgb="FF000000"/>
      </bottom>
    </border>
    <border>
      <left style="medium">
        <color rgb="FF000000"/>
      </left>
      <right style="thin">
        <color rgb="FF000000"/>
      </right>
      <top/>
    </border>
    <border>
      <left/>
      <right style="thin">
        <color rgb="FF000000"/>
      </right>
      <top/>
    </border>
    <border>
      <right style="medium">
        <color rgb="FF000000"/>
      </right>
      <top style="thin">
        <color rgb="FF000000"/>
      </top>
      <bottom style="thin">
        <color rgb="FF000000"/>
      </bottom>
    </border>
    <border>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969696"/>
      </top>
      <bottom style="thin">
        <color rgb="FF969696"/>
      </bottom>
    </border>
    <border>
      <left style="thin">
        <color rgb="FF000000"/>
      </left>
      <right style="thin">
        <color rgb="FF000000"/>
      </right>
      <top/>
      <bottom style="thin">
        <color rgb="FF969696"/>
      </bottom>
    </border>
    <border>
      <left style="thin">
        <color rgb="FF000000"/>
      </left>
      <right style="medium">
        <color rgb="FF000000"/>
      </right>
      <top/>
      <bottom style="thin">
        <color rgb="FF969696"/>
      </bottom>
    </border>
    <border>
      <left/>
      <right style="medium">
        <color rgb="FF000000"/>
      </right>
      <top/>
      <bottom style="thin">
        <color rgb="FF969696"/>
      </bottom>
    </border>
    <border>
      <left style="thin">
        <color rgb="FF000000"/>
      </left>
      <right style="medium">
        <color rgb="FF000000"/>
      </right>
      <top style="thin">
        <color rgb="FF969696"/>
      </top>
      <bottom style="thin">
        <color rgb="FF969696"/>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969696"/>
      </top>
      <bottom style="medium">
        <color rgb="FF000000"/>
      </bottom>
    </border>
    <border>
      <left/>
      <right style="medium">
        <color rgb="FF000000"/>
      </right>
      <top/>
      <bottom style="medium">
        <color rgb="FF000000"/>
      </bottom>
    </border>
    <border>
      <left style="thin">
        <color rgb="FF000000"/>
      </left>
      <top style="thin">
        <color rgb="FF000000"/>
      </top>
    </border>
    <border>
      <left/>
      <right/>
      <top style="thin">
        <color rgb="FF000000"/>
      </top>
      <bottom style="thin">
        <color rgb="FF000000"/>
      </bottom>
    </border>
    <border>
      <left style="thin">
        <color rgb="FF000000"/>
      </left>
      <top style="thin">
        <color rgb="FF000000"/>
      </top>
      <bottom style="thin">
        <color rgb="FF969696"/>
      </bottom>
    </border>
    <border>
      <right style="thin">
        <color rgb="FF000000"/>
      </right>
      <top style="thin">
        <color rgb="FF000000"/>
      </top>
      <bottom style="thin">
        <color rgb="FF969696"/>
      </bottom>
    </border>
    <border>
      <top style="thin">
        <color rgb="FF000000"/>
      </top>
      <bottom style="thin">
        <color rgb="FF969696"/>
      </bottom>
    </border>
    <border>
      <right style="medium">
        <color rgb="FF000000"/>
      </right>
      <top style="thin">
        <color rgb="FF000000"/>
      </top>
      <bottom style="thin">
        <color rgb="FF969696"/>
      </bottom>
    </border>
    <border>
      <left style="thin">
        <color rgb="FF000000"/>
      </left>
      <right style="thin">
        <color rgb="FF969696"/>
      </right>
      <top style="thin">
        <color rgb="FF969696"/>
      </top>
    </border>
    <border>
      <left style="thin">
        <color rgb="FF000000"/>
      </left>
      <right style="thin">
        <color rgb="FF969696"/>
      </right>
    </border>
    <border>
      <left style="thin">
        <color rgb="FF000000"/>
      </left>
      <right style="thin">
        <color rgb="FF969696"/>
      </right>
      <bottom style="thin">
        <color rgb="FF000000"/>
      </bottom>
    </border>
    <border>
      <right style="medium">
        <color rgb="FF000000"/>
      </right>
      <bottom style="thin">
        <color rgb="FF000000"/>
      </bottom>
    </border>
    <border>
      <left style="thin">
        <color rgb="FF000000"/>
      </left>
      <right style="thin">
        <color rgb="FF969696"/>
      </right>
      <bottom style="medium">
        <color rgb="FF000000"/>
      </bottom>
    </border>
    <border>
      <right style="thin">
        <color rgb="FF000000"/>
      </right>
      <top style="thin">
        <color rgb="FF000000"/>
      </top>
      <bottom/>
    </border>
    <border>
      <right style="thin">
        <color rgb="FF000000"/>
      </right>
      <top/>
      <bottom/>
    </border>
    <border>
      <top style="thin">
        <color rgb="FF000000"/>
      </top>
      <bottom/>
    </border>
    <border>
      <left style="thin">
        <color rgb="FF000000"/>
      </left>
      <top/>
      <bottom style="thin">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1" fillId="2" fontId="2" numFmtId="14" xfId="0" applyAlignment="1" applyBorder="1" applyFont="1" applyNumberFormat="1">
      <alignment shrinkToFit="0" wrapText="0"/>
    </xf>
    <xf borderId="1" fillId="2" fontId="3" numFmtId="0" xfId="0" applyAlignment="1" applyBorder="1" applyFont="1">
      <alignment shrinkToFit="0" wrapText="0"/>
    </xf>
    <xf borderId="2" fillId="2" fontId="4" numFmtId="0" xfId="0" applyAlignment="1" applyBorder="1" applyFont="1">
      <alignment horizontal="center" shrinkToFit="0" wrapText="0"/>
    </xf>
    <xf borderId="3" fillId="0" fontId="5" numFmtId="0" xfId="0" applyBorder="1" applyFont="1"/>
    <xf borderId="4" fillId="0" fontId="5" numFmtId="0" xfId="0" applyBorder="1" applyFont="1"/>
    <xf borderId="0" fillId="0" fontId="1" numFmtId="0" xfId="0" applyAlignment="1" applyFont="1">
      <alignment shrinkToFit="0" wrapText="0"/>
    </xf>
    <xf borderId="0" fillId="0" fontId="6" numFmtId="0" xfId="0" applyAlignment="1" applyFont="1">
      <alignment horizontal="center" shrinkToFit="0" wrapText="1"/>
    </xf>
    <xf borderId="0" fillId="0" fontId="1" numFmtId="0" xfId="0" applyAlignment="1" applyFont="1">
      <alignment horizontal="left" shrinkToFit="0" wrapText="1"/>
    </xf>
    <xf borderId="0" fillId="0" fontId="1" numFmtId="0" xfId="0" applyAlignment="1" applyFont="1">
      <alignment horizontal="left" shrinkToFit="0" wrapText="0"/>
    </xf>
    <xf borderId="0" fillId="0" fontId="7" numFmtId="0" xfId="0" applyAlignment="1" applyFont="1">
      <alignment horizontal="center" shrinkToFit="0" vertical="center" wrapText="1"/>
    </xf>
    <xf borderId="0" fillId="0" fontId="8" numFmtId="0" xfId="0" applyAlignment="1" applyFont="1">
      <alignment horizontal="left" shrinkToFit="0" wrapText="1"/>
    </xf>
    <xf borderId="0" fillId="0" fontId="9" numFmtId="0" xfId="0" applyAlignment="1" applyFont="1">
      <alignment horizontal="left" shrinkToFit="0" wrapText="1"/>
    </xf>
    <xf borderId="0" fillId="0" fontId="8" numFmtId="0" xfId="0" applyAlignment="1" applyFont="1">
      <alignment shrinkToFit="0" wrapText="0"/>
    </xf>
    <xf borderId="0" fillId="0" fontId="10" numFmtId="0" xfId="0" applyAlignment="1" applyFont="1">
      <alignment horizontal="center" shrinkToFit="0" wrapText="0"/>
    </xf>
    <xf borderId="0" fillId="0" fontId="1" numFmtId="0" xfId="0" applyAlignment="1" applyFont="1">
      <alignment horizontal="left" shrinkToFit="0" vertical="center" wrapText="0"/>
    </xf>
    <xf borderId="1" fillId="2" fontId="11" numFmtId="0" xfId="0" applyAlignment="1" applyBorder="1" applyFont="1">
      <alignment horizontal="left" shrinkToFit="0" wrapText="0"/>
    </xf>
    <xf borderId="0" fillId="0" fontId="0" numFmtId="0" xfId="0" applyAlignment="1" applyFont="1">
      <alignment shrinkToFit="0" wrapText="0"/>
    </xf>
    <xf borderId="0" fillId="0" fontId="0" numFmtId="0" xfId="0" applyAlignment="1" applyFont="1">
      <alignment shrinkToFit="0" wrapText="0"/>
    </xf>
    <xf borderId="5" fillId="2" fontId="2" numFmtId="0" xfId="0" applyAlignment="1" applyBorder="1" applyFont="1">
      <alignment horizontal="center" shrinkToFit="0" vertical="center" wrapText="0"/>
    </xf>
    <xf borderId="6" fillId="0" fontId="5" numFmtId="0" xfId="0" applyBorder="1" applyFont="1"/>
    <xf borderId="7" fillId="0" fontId="5" numFmtId="0" xfId="0" applyBorder="1" applyFont="1"/>
    <xf borderId="8" fillId="0" fontId="1" numFmtId="0" xfId="0" applyAlignment="1" applyBorder="1" applyFont="1">
      <alignment shrinkToFit="0" wrapText="0"/>
    </xf>
    <xf borderId="9" fillId="0" fontId="1" numFmtId="0" xfId="0" applyAlignment="1" applyBorder="1" applyFont="1">
      <alignment shrinkToFit="0" wrapText="0"/>
    </xf>
    <xf borderId="10" fillId="0" fontId="1" numFmtId="0" xfId="0" applyAlignment="1" applyBorder="1" applyFont="1">
      <alignment horizontal="center" shrinkToFit="0" wrapText="0"/>
    </xf>
    <xf borderId="10" fillId="0" fontId="1" numFmtId="9" xfId="0" applyAlignment="1" applyBorder="1" applyFont="1" applyNumberFormat="1">
      <alignment horizontal="center" shrinkToFit="0" wrapText="0"/>
    </xf>
    <xf borderId="0" fillId="0" fontId="1" numFmtId="0" xfId="0" applyAlignment="1" applyFont="1">
      <alignment horizontal="center" shrinkToFit="0" wrapText="0"/>
    </xf>
    <xf borderId="10" fillId="3" fontId="1" numFmtId="0" xfId="0" applyAlignment="1" applyBorder="1" applyFill="1" applyFont="1">
      <alignment horizontal="center" shrinkToFit="0" wrapText="0"/>
    </xf>
    <xf borderId="10" fillId="3" fontId="1" numFmtId="0" xfId="0" applyAlignment="1" applyBorder="1" applyFont="1">
      <alignment horizontal="center" readingOrder="0" shrinkToFit="0" wrapText="0"/>
    </xf>
    <xf borderId="10" fillId="4" fontId="1" numFmtId="0" xfId="0" applyAlignment="1" applyBorder="1" applyFill="1" applyFont="1">
      <alignment horizontal="center" shrinkToFit="0" wrapText="0"/>
    </xf>
    <xf borderId="10" fillId="0" fontId="1" numFmtId="0" xfId="0" applyAlignment="1" applyBorder="1" applyFont="1">
      <alignment horizontal="center" shrinkToFit="0" vertical="center" wrapText="0"/>
    </xf>
    <xf borderId="11" fillId="0" fontId="1" numFmtId="0" xfId="0" applyAlignment="1" applyBorder="1" applyFont="1">
      <alignment horizontal="center" shrinkToFit="0" vertical="center" wrapText="0"/>
    </xf>
    <xf borderId="10" fillId="3" fontId="1" numFmtId="0" xfId="0" applyAlignment="1" applyBorder="1" applyFont="1">
      <alignment horizontal="center" shrinkToFit="0" vertical="center" wrapText="0"/>
    </xf>
    <xf borderId="11" fillId="4" fontId="1" numFmtId="0" xfId="0" applyAlignment="1" applyBorder="1" applyFont="1">
      <alignment horizontal="center" shrinkToFit="0" vertical="center" wrapText="0"/>
    </xf>
    <xf borderId="11" fillId="3" fontId="1" numFmtId="0" xfId="0" applyAlignment="1" applyBorder="1" applyFont="1">
      <alignment horizontal="center" shrinkToFit="0" wrapText="0"/>
    </xf>
    <xf borderId="12" fillId="3" fontId="1" numFmtId="0" xfId="0" applyAlignment="1" applyBorder="1" applyFont="1">
      <alignment horizontal="center" shrinkToFit="0" wrapText="0"/>
    </xf>
    <xf borderId="12" fillId="4" fontId="1" numFmtId="0" xfId="0" applyAlignment="1" applyBorder="1" applyFont="1">
      <alignment horizontal="center" shrinkToFit="0" wrapText="0"/>
    </xf>
    <xf borderId="10" fillId="3" fontId="0" numFmtId="0" xfId="0" applyAlignment="1" applyBorder="1" applyFont="1">
      <alignment horizontal="center" shrinkToFit="0" wrapText="0"/>
    </xf>
    <xf borderId="11" fillId="3" fontId="0" numFmtId="0" xfId="0" applyAlignment="1" applyBorder="1" applyFont="1">
      <alignment horizontal="center" shrinkToFit="0" wrapText="0"/>
    </xf>
    <xf borderId="13" fillId="0" fontId="1" numFmtId="0" xfId="0" applyAlignment="1" applyBorder="1" applyFont="1">
      <alignment horizontal="left" shrinkToFit="0" vertical="center" wrapText="1"/>
    </xf>
    <xf borderId="14" fillId="0" fontId="5" numFmtId="0" xfId="0" applyBorder="1" applyFont="1"/>
    <xf borderId="15" fillId="0" fontId="5" numFmtId="0" xfId="0" applyBorder="1" applyFont="1"/>
    <xf borderId="0" fillId="0" fontId="1" numFmtId="0" xfId="0" applyAlignment="1" applyFont="1">
      <alignment readingOrder="0" shrinkToFit="0" wrapText="0"/>
    </xf>
    <xf borderId="1" fillId="2" fontId="3" numFmtId="0" xfId="0" applyAlignment="1" applyBorder="1" applyFont="1">
      <alignment horizontal="center" readingOrder="0" shrinkToFit="0" vertical="center" wrapText="0"/>
    </xf>
    <xf borderId="0" fillId="3" fontId="1" numFmtId="0" xfId="0" applyAlignment="1" applyFont="1">
      <alignment horizontal="center" readingOrder="0" shrinkToFit="0" wrapText="0"/>
    </xf>
    <xf borderId="0" fillId="4" fontId="1" numFmtId="0" xfId="0" applyAlignment="1" applyFont="1">
      <alignment horizontal="center" shrinkToFit="0" wrapText="0"/>
    </xf>
    <xf borderId="0" fillId="0" fontId="5" numFmtId="0" xfId="0" applyAlignment="1" applyFont="1">
      <alignment readingOrder="0"/>
    </xf>
    <xf borderId="12" fillId="3" fontId="1" numFmtId="0" xfId="0" applyAlignment="1" applyBorder="1" applyFont="1">
      <alignment horizontal="center" readingOrder="0" shrinkToFit="0" wrapText="0"/>
    </xf>
    <xf borderId="16" fillId="0" fontId="1" numFmtId="0" xfId="0" applyAlignment="1" applyBorder="1" applyFont="1">
      <alignment horizontal="center" shrinkToFit="0" wrapText="0"/>
    </xf>
    <xf borderId="16" fillId="0" fontId="5" numFmtId="0" xfId="0" applyBorder="1" applyFont="1"/>
    <xf borderId="17" fillId="2" fontId="3" numFmtId="0" xfId="0" applyAlignment="1" applyBorder="1" applyFont="1">
      <alignment horizontal="center" shrinkToFit="0" vertical="center" wrapText="0"/>
    </xf>
    <xf borderId="9" fillId="0" fontId="3" numFmtId="0" xfId="0" applyAlignment="1" applyBorder="1" applyFont="1">
      <alignment shrinkToFit="0" vertical="center" wrapText="0"/>
    </xf>
    <xf borderId="2" fillId="2" fontId="3" numFmtId="0" xfId="0" applyAlignment="1" applyBorder="1" applyFont="1">
      <alignment horizontal="center" shrinkToFit="0" vertical="center" wrapText="0"/>
    </xf>
    <xf borderId="2" fillId="2" fontId="3" numFmtId="0" xfId="0" applyAlignment="1" applyBorder="1" applyFont="1">
      <alignment horizontal="center" shrinkToFit="0" wrapText="0"/>
    </xf>
    <xf borderId="0" fillId="0" fontId="5" numFmtId="4" xfId="0" applyFont="1" applyNumberFormat="1"/>
    <xf borderId="0" fillId="0" fontId="5" numFmtId="4" xfId="0" applyAlignment="1" applyFont="1" applyNumberFormat="1">
      <alignment readingOrder="0"/>
    </xf>
    <xf borderId="18" fillId="0" fontId="1" numFmtId="0" xfId="0" applyAlignment="1" applyBorder="1" applyFont="1">
      <alignment shrinkToFit="0" wrapText="0"/>
    </xf>
    <xf borderId="19" fillId="0" fontId="1" numFmtId="0" xfId="0" applyAlignment="1" applyBorder="1" applyFont="1">
      <alignment shrinkToFit="0" wrapText="0"/>
    </xf>
    <xf borderId="20" fillId="0" fontId="1" numFmtId="0" xfId="0" applyAlignment="1" applyBorder="1" applyFont="1">
      <alignment horizontal="left" shrinkToFit="0" wrapText="1"/>
    </xf>
    <xf borderId="21" fillId="0" fontId="5" numFmtId="0" xfId="0" applyBorder="1" applyFont="1"/>
    <xf borderId="22" fillId="0" fontId="5" numFmtId="0" xfId="0" applyBorder="1" applyFont="1"/>
    <xf borderId="8" fillId="0" fontId="5" numFmtId="0" xfId="0" applyBorder="1" applyFont="1"/>
    <xf borderId="23" fillId="0" fontId="5" numFmtId="0" xfId="0" applyBorder="1" applyFont="1"/>
    <xf borderId="24" fillId="0" fontId="5" numFmtId="0" xfId="0" applyBorder="1" applyFont="1"/>
    <xf borderId="25" fillId="0" fontId="5" numFmtId="0" xfId="0" applyBorder="1" applyFont="1"/>
    <xf borderId="26" fillId="0" fontId="5" numFmtId="0" xfId="0" applyBorder="1" applyFont="1"/>
    <xf borderId="1" fillId="2" fontId="3" numFmtId="0" xfId="0" applyAlignment="1" applyBorder="1" applyFont="1">
      <alignment horizontal="center" shrinkToFit="0" wrapText="0"/>
    </xf>
    <xf borderId="1" fillId="2" fontId="2" numFmtId="0" xfId="0" applyAlignment="1" applyBorder="1" applyFont="1">
      <alignment horizontal="center" shrinkToFit="0" wrapText="0"/>
    </xf>
    <xf borderId="0" fillId="0" fontId="3" numFmtId="0" xfId="0" applyAlignment="1" applyFont="1">
      <alignment horizontal="center" shrinkToFit="0" wrapText="0"/>
    </xf>
    <xf borderId="27" fillId="2" fontId="3" numFmtId="0" xfId="0" applyAlignment="1" applyBorder="1" applyFont="1">
      <alignment horizontal="center" shrinkToFit="0" wrapText="0"/>
    </xf>
    <xf borderId="28" fillId="0" fontId="5" numFmtId="0" xfId="0" applyBorder="1" applyFont="1"/>
    <xf borderId="27" fillId="2" fontId="12" numFmtId="0" xfId="0" applyAlignment="1" applyBorder="1" applyFont="1">
      <alignment horizontal="center" shrinkToFit="0" wrapText="0"/>
    </xf>
    <xf borderId="29" fillId="2" fontId="3" numFmtId="0" xfId="0" applyAlignment="1" applyBorder="1" applyFont="1">
      <alignment horizontal="center" shrinkToFit="0" wrapText="0"/>
    </xf>
    <xf borderId="30" fillId="3" fontId="1" numFmtId="0" xfId="0" applyAlignment="1" applyBorder="1" applyFont="1">
      <alignment horizontal="center" readingOrder="0" shrinkToFit="0" wrapText="0"/>
    </xf>
    <xf borderId="10" fillId="0" fontId="1" numFmtId="1" xfId="0" applyAlignment="1" applyBorder="1" applyFont="1" applyNumberFormat="1">
      <alignment horizontal="center" shrinkToFit="0" wrapText="0"/>
    </xf>
    <xf borderId="0" fillId="0" fontId="13" numFmtId="0" xfId="0" applyAlignment="1" applyFont="1">
      <alignment horizontal="center" shrinkToFit="0" vertical="center" wrapText="0"/>
    </xf>
    <xf borderId="31" fillId="0" fontId="1" numFmtId="0" xfId="0" applyAlignment="1" applyBorder="1" applyFont="1">
      <alignment horizontal="center" shrinkToFit="0" wrapText="0"/>
    </xf>
    <xf borderId="32" fillId="0" fontId="1" numFmtId="0" xfId="0" applyAlignment="1" applyBorder="1" applyFont="1">
      <alignment horizontal="center" shrinkToFit="0" wrapText="0"/>
    </xf>
    <xf borderId="0" fillId="0" fontId="3" numFmtId="0" xfId="0" applyAlignment="1" applyFont="1">
      <alignment horizontal="center" shrinkToFit="0" vertical="center" wrapText="0"/>
    </xf>
    <xf borderId="10" fillId="3" fontId="1" numFmtId="0" xfId="0" applyAlignment="1" applyBorder="1" applyFont="1">
      <alignment horizontal="center" readingOrder="0" shrinkToFit="0" vertical="center" wrapText="0"/>
    </xf>
    <xf borderId="10" fillId="4" fontId="1" numFmtId="0" xfId="0" applyAlignment="1" applyBorder="1" applyFont="1">
      <alignment horizontal="center" shrinkToFit="0" vertical="center" wrapText="0"/>
    </xf>
    <xf borderId="33" fillId="0" fontId="1" numFmtId="0" xfId="0" applyAlignment="1" applyBorder="1" applyFont="1">
      <alignment horizontal="center" shrinkToFit="0" wrapText="0"/>
    </xf>
    <xf borderId="34" fillId="0" fontId="1" numFmtId="0" xfId="0" applyAlignment="1" applyBorder="1" applyFont="1">
      <alignment horizontal="center" shrinkToFit="0" wrapText="0"/>
    </xf>
    <xf borderId="10" fillId="0" fontId="0" numFmtId="0" xfId="0" applyAlignment="1" applyBorder="1" applyFont="1">
      <alignment horizontal="center" shrinkToFit="0" wrapText="0"/>
    </xf>
    <xf borderId="0" fillId="0" fontId="1" numFmtId="0" xfId="0" applyAlignment="1" applyFont="1">
      <alignment horizontal="center" shrinkToFit="0" vertical="center" wrapText="0"/>
    </xf>
    <xf borderId="25" fillId="0" fontId="14" numFmtId="0" xfId="0" applyAlignment="1" applyBorder="1" applyFont="1">
      <alignment horizontal="center" shrinkToFit="0" wrapText="0"/>
    </xf>
    <xf borderId="0" fillId="0" fontId="15" numFmtId="0" xfId="0" applyAlignment="1" applyFont="1">
      <alignment horizontal="center" shrinkToFit="0" wrapText="0"/>
    </xf>
    <xf borderId="20" fillId="0" fontId="1" numFmtId="0" xfId="0" applyAlignment="1" applyBorder="1" applyFont="1">
      <alignment horizontal="center" shrinkToFit="0" wrapText="0"/>
    </xf>
    <xf borderId="21" fillId="0" fontId="16" numFmtId="0" xfId="0" applyAlignment="1" applyBorder="1" applyFont="1">
      <alignment horizontal="center" shrinkToFit="0" wrapText="0"/>
    </xf>
    <xf borderId="35" fillId="4" fontId="16" numFmtId="0" xfId="0" applyAlignment="1" applyBorder="1" applyFont="1">
      <alignment horizontal="center" shrinkToFit="0" wrapText="0"/>
    </xf>
    <xf borderId="21" fillId="0" fontId="1" numFmtId="0" xfId="0" applyAlignment="1" applyBorder="1" applyFont="1">
      <alignment horizontal="center" shrinkToFit="0" wrapText="0"/>
    </xf>
    <xf borderId="21" fillId="0" fontId="8" numFmtId="0" xfId="0" applyAlignment="1" applyBorder="1" applyFont="1">
      <alignment horizontal="center" shrinkToFit="0" wrapText="0"/>
    </xf>
    <xf borderId="36" fillId="0" fontId="16" numFmtId="0" xfId="0" applyAlignment="1" applyBorder="1" applyFont="1">
      <alignment horizontal="center" shrinkToFit="0" wrapText="0"/>
    </xf>
    <xf borderId="37" fillId="0" fontId="5" numFmtId="0" xfId="0" applyBorder="1" applyFont="1"/>
    <xf borderId="38" fillId="2" fontId="1" numFmtId="0" xfId="0" applyAlignment="1" applyBorder="1" applyFont="1">
      <alignment horizontal="center" shrinkToFit="0" vertical="center" wrapText="0"/>
    </xf>
    <xf borderId="1" fillId="2" fontId="3" numFmtId="0" xfId="0" applyAlignment="1" applyBorder="1" applyFont="1">
      <alignment horizontal="center" shrinkToFit="0" vertical="center" wrapText="0"/>
    </xf>
    <xf borderId="1" fillId="2" fontId="3" numFmtId="0" xfId="0" applyAlignment="1" applyBorder="1" applyFont="1">
      <alignment horizontal="center" shrinkToFit="0" vertical="center" wrapText="1"/>
    </xf>
    <xf borderId="1" fillId="2" fontId="1" numFmtId="0" xfId="0" applyAlignment="1" applyBorder="1" applyFont="1">
      <alignment horizontal="center" shrinkToFit="0" vertical="center" wrapText="0"/>
    </xf>
    <xf borderId="39" fillId="2" fontId="1" numFmtId="0" xfId="0" applyAlignment="1" applyBorder="1" applyFont="1">
      <alignment horizontal="center" shrinkToFit="0" vertical="center" wrapText="0"/>
    </xf>
    <xf borderId="40" fillId="2" fontId="3" numFmtId="0" xfId="0" applyAlignment="1" applyBorder="1" applyFont="1">
      <alignment horizontal="center" shrinkToFit="0" vertical="center" wrapText="0"/>
    </xf>
    <xf borderId="27" fillId="2" fontId="3" numFmtId="0" xfId="0" applyAlignment="1" applyBorder="1" applyFont="1">
      <alignment horizontal="center" shrinkToFit="0" vertical="center" wrapText="1"/>
    </xf>
    <xf borderId="41" fillId="4" fontId="1" numFmtId="0" xfId="0" applyAlignment="1" applyBorder="1" applyFont="1">
      <alignment horizontal="center" shrinkToFit="0" wrapText="0"/>
    </xf>
    <xf borderId="42" fillId="4" fontId="1" numFmtId="0" xfId="0" applyAlignment="1" applyBorder="1" applyFont="1">
      <alignment horizontal="center" shrinkToFit="0" vertical="center" wrapText="0"/>
    </xf>
    <xf borderId="43" fillId="4" fontId="1" numFmtId="0" xfId="0" applyAlignment="1" applyBorder="1" applyFont="1">
      <alignment horizontal="center" shrinkToFit="0" vertical="center" wrapText="0"/>
    </xf>
    <xf borderId="1" fillId="4" fontId="1" numFmtId="0" xfId="0" applyAlignment="1" applyBorder="1" applyFont="1">
      <alignment horizontal="center" shrinkToFit="0" wrapText="0"/>
    </xf>
    <xf borderId="39" fillId="4" fontId="1" numFmtId="0" xfId="0" applyAlignment="1" applyBorder="1" applyFont="1">
      <alignment horizontal="center" shrinkToFit="0" wrapText="0"/>
    </xf>
    <xf borderId="39" fillId="4" fontId="1" numFmtId="0" xfId="0" applyAlignment="1" applyBorder="1" applyFont="1">
      <alignment horizontal="center" shrinkToFit="0" vertical="center" wrapText="0"/>
    </xf>
    <xf borderId="42" fillId="4" fontId="1" numFmtId="0" xfId="0" applyAlignment="1" applyBorder="1" applyFont="1">
      <alignment horizontal="center" shrinkToFit="0" wrapText="0"/>
    </xf>
    <xf borderId="43" fillId="4" fontId="1" numFmtId="0" xfId="0" applyAlignment="1" applyBorder="1" applyFont="1">
      <alignment horizontal="center" shrinkToFit="0" wrapText="0"/>
    </xf>
    <xf borderId="44" fillId="4" fontId="1" numFmtId="0" xfId="0" applyAlignment="1" applyBorder="1" applyFont="1">
      <alignment horizontal="center" shrinkToFit="0" wrapText="0"/>
    </xf>
    <xf borderId="45" fillId="4" fontId="1" numFmtId="0" xfId="0" applyAlignment="1" applyBorder="1" applyFont="1">
      <alignment horizontal="center" shrinkToFit="0" wrapText="0"/>
    </xf>
    <xf borderId="1" fillId="4" fontId="1" numFmtId="0" xfId="0" applyAlignment="1" applyBorder="1" applyFont="1">
      <alignment horizontal="center" shrinkToFit="0" vertical="center" wrapText="0"/>
    </xf>
    <xf borderId="46" fillId="4" fontId="1" numFmtId="0" xfId="0" applyAlignment="1" applyBorder="1" applyFont="1">
      <alignment horizontal="center" shrinkToFit="0" vertical="center" wrapText="0"/>
    </xf>
    <xf borderId="47" fillId="4" fontId="1" numFmtId="0" xfId="0" applyAlignment="1" applyBorder="1" applyFont="1">
      <alignment horizontal="center" shrinkToFit="0" wrapText="0"/>
    </xf>
    <xf borderId="47" fillId="4" fontId="1" numFmtId="0" xfId="0" applyAlignment="1" applyBorder="1" applyFont="1">
      <alignment horizontal="center" shrinkToFit="0" vertical="center" wrapText="0"/>
    </xf>
    <xf borderId="46" fillId="4" fontId="1" numFmtId="0" xfId="0" applyAlignment="1" applyBorder="1" applyFont="1">
      <alignment horizontal="center" shrinkToFit="0" wrapText="0"/>
    </xf>
    <xf borderId="48" fillId="4" fontId="1" numFmtId="0" xfId="0" applyAlignment="1" applyBorder="1" applyFont="1">
      <alignment horizontal="center" shrinkToFit="0" wrapText="0"/>
    </xf>
    <xf borderId="49" fillId="4" fontId="1" numFmtId="0" xfId="0" applyAlignment="1" applyBorder="1" applyFont="1">
      <alignment horizontal="center" shrinkToFit="0" wrapText="0"/>
    </xf>
    <xf borderId="50" fillId="4" fontId="1" numFmtId="0" xfId="0" applyAlignment="1" applyBorder="1" applyFont="1">
      <alignment horizontal="center" shrinkToFit="0" wrapText="0"/>
    </xf>
    <xf borderId="29" fillId="4" fontId="1" numFmtId="0" xfId="0" applyAlignment="1" applyBorder="1" applyFont="1">
      <alignment horizontal="center" shrinkToFit="0" vertical="center" wrapText="0"/>
    </xf>
    <xf borderId="29" fillId="3" fontId="1" numFmtId="0" xfId="0" applyAlignment="1" applyBorder="1" applyFont="1">
      <alignment horizontal="center" readingOrder="0" shrinkToFit="0" vertical="center" wrapText="0"/>
    </xf>
    <xf borderId="51" fillId="4" fontId="1" numFmtId="0" xfId="0" applyAlignment="1" applyBorder="1" applyFont="1">
      <alignment horizontal="center" shrinkToFit="0" vertical="center" wrapText="0"/>
    </xf>
    <xf borderId="52" fillId="4" fontId="1" numFmtId="0" xfId="0" applyAlignment="1" applyBorder="1" applyFont="1">
      <alignment horizontal="center" shrinkToFit="0" wrapText="0"/>
    </xf>
    <xf borderId="52" fillId="4" fontId="1" numFmtId="0" xfId="0" applyAlignment="1" applyBorder="1" applyFont="1">
      <alignment horizontal="center" shrinkToFit="0" vertical="center" wrapText="0"/>
    </xf>
    <xf borderId="29" fillId="4" fontId="1" numFmtId="0" xfId="0" applyAlignment="1" applyBorder="1" applyFont="1">
      <alignment horizontal="center" shrinkToFit="0" wrapText="0"/>
    </xf>
    <xf borderId="29" fillId="3" fontId="1" numFmtId="0" xfId="0" applyAlignment="1" applyBorder="1" applyFont="1">
      <alignment horizontal="center" readingOrder="0" shrinkToFit="0" wrapText="0"/>
    </xf>
    <xf borderId="51" fillId="4" fontId="1" numFmtId="0" xfId="0" applyAlignment="1" applyBorder="1" applyFont="1">
      <alignment horizontal="center" shrinkToFit="0" wrapText="0"/>
    </xf>
    <xf borderId="53" fillId="4" fontId="1" numFmtId="0" xfId="0" applyAlignment="1" applyBorder="1" applyFont="1">
      <alignment horizontal="center" shrinkToFit="0" wrapText="0"/>
    </xf>
    <xf borderId="54" fillId="4" fontId="1" numFmtId="0" xfId="0" applyAlignment="1" applyBorder="1" applyFont="1">
      <alignment horizontal="center" shrinkToFit="0" wrapText="0"/>
    </xf>
    <xf borderId="50" fillId="4" fontId="15" numFmtId="0" xfId="0" applyAlignment="1" applyBorder="1" applyFont="1">
      <alignment horizontal="center" shrinkToFit="0" wrapText="0"/>
    </xf>
    <xf borderId="55" fillId="4" fontId="1" numFmtId="0" xfId="0" applyAlignment="1" applyBorder="1" applyFont="1">
      <alignment horizontal="center" shrinkToFit="0" wrapText="0"/>
    </xf>
    <xf borderId="56" fillId="4" fontId="1" numFmtId="0" xfId="0" applyAlignment="1" applyBorder="1" applyFont="1">
      <alignment horizontal="center" shrinkToFit="0" vertical="center" wrapText="0"/>
    </xf>
    <xf borderId="56" fillId="3" fontId="1" numFmtId="0" xfId="0" applyAlignment="1" applyBorder="1" applyFont="1">
      <alignment horizontal="center" readingOrder="0" shrinkToFit="0" vertical="center" wrapText="0"/>
    </xf>
    <xf borderId="57" fillId="4" fontId="1" numFmtId="0" xfId="0" applyAlignment="1" applyBorder="1" applyFont="1">
      <alignment horizontal="center" shrinkToFit="0" vertical="center" wrapText="0"/>
    </xf>
    <xf borderId="56" fillId="4" fontId="1" numFmtId="0" xfId="0" applyAlignment="1" applyBorder="1" applyFont="1">
      <alignment horizontal="center" shrinkToFit="0" wrapText="0"/>
    </xf>
    <xf borderId="58" fillId="4" fontId="1" numFmtId="0" xfId="0" applyAlignment="1" applyBorder="1" applyFont="1">
      <alignment horizontal="center" shrinkToFit="0" wrapText="0"/>
    </xf>
    <xf borderId="58" fillId="4" fontId="1" numFmtId="0" xfId="0" applyAlignment="1" applyBorder="1" applyFont="1">
      <alignment horizontal="center" shrinkToFit="0" vertical="center" wrapText="0"/>
    </xf>
    <xf borderId="56" fillId="3" fontId="1" numFmtId="0" xfId="0" applyAlignment="1" applyBorder="1" applyFont="1">
      <alignment horizontal="center" readingOrder="0" shrinkToFit="0" wrapText="0"/>
    </xf>
    <xf borderId="57" fillId="4" fontId="1" numFmtId="0" xfId="0" applyAlignment="1" applyBorder="1" applyFont="1">
      <alignment horizontal="center" shrinkToFit="0" wrapText="0"/>
    </xf>
    <xf borderId="59" fillId="4" fontId="1" numFmtId="0" xfId="0" applyAlignment="1" applyBorder="1" applyFont="1">
      <alignment horizontal="center" shrinkToFit="0" wrapText="0"/>
    </xf>
    <xf borderId="29" fillId="2" fontId="3" numFmtId="0" xfId="0" applyAlignment="1" applyBorder="1" applyFont="1">
      <alignment horizontal="center" shrinkToFit="0" vertical="center" wrapText="0"/>
    </xf>
    <xf borderId="60" fillId="2" fontId="3" numFmtId="0" xfId="0" applyAlignment="1" applyBorder="1" applyFont="1">
      <alignment horizontal="center" shrinkToFit="0" vertical="center" wrapText="0"/>
    </xf>
    <xf borderId="30" fillId="2" fontId="3" numFmtId="0" xfId="0" applyAlignment="1" applyBorder="1" applyFont="1">
      <alignment horizontal="center" shrinkToFit="0" vertical="center" wrapText="1"/>
    </xf>
    <xf borderId="61" fillId="4" fontId="1" numFmtId="0" xfId="0" applyAlignment="1" applyBorder="1" applyFont="1">
      <alignment horizontal="center" shrinkToFit="0" wrapText="0"/>
    </xf>
    <xf borderId="62" fillId="4" fontId="1" numFmtId="0" xfId="0" applyAlignment="1" applyBorder="1" applyFont="1">
      <alignment horizontal="center" shrinkToFit="0" wrapText="0"/>
    </xf>
    <xf borderId="39" fillId="3" fontId="1" numFmtId="0" xfId="0" applyAlignment="1" applyBorder="1" applyFont="1">
      <alignment horizontal="center" shrinkToFit="0" wrapText="0"/>
    </xf>
    <xf borderId="46" fillId="3" fontId="1" numFmtId="0" xfId="0" applyAlignment="1" applyBorder="1" applyFont="1">
      <alignment horizontal="center" shrinkToFit="0" wrapText="0"/>
    </xf>
    <xf borderId="17" fillId="4" fontId="1" numFmtId="0" xfId="0" applyAlignment="1" applyBorder="1" applyFont="1">
      <alignment horizontal="center" shrinkToFit="0" wrapText="0"/>
    </xf>
    <xf borderId="4" fillId="4" fontId="1" numFmtId="0" xfId="0" applyAlignment="1" applyBorder="1" applyFont="1">
      <alignment horizontal="center" shrinkToFit="0" wrapText="0"/>
    </xf>
    <xf borderId="47" fillId="3" fontId="1" numFmtId="0" xfId="0" applyAlignment="1" applyBorder="1" applyFont="1">
      <alignment horizontal="center" shrinkToFit="0" wrapText="0"/>
    </xf>
    <xf borderId="49" fillId="3" fontId="1" numFmtId="0" xfId="0" applyAlignment="1" applyBorder="1" applyFont="1">
      <alignment horizontal="center" shrinkToFit="0" wrapText="0"/>
    </xf>
    <xf borderId="29" fillId="3" fontId="1" numFmtId="0" xfId="0" applyAlignment="1" applyBorder="1" applyFont="1">
      <alignment horizontal="center" shrinkToFit="0" wrapText="0"/>
    </xf>
    <xf borderId="52" fillId="3" fontId="1" numFmtId="0" xfId="0" applyAlignment="1" applyBorder="1" applyFont="1">
      <alignment horizontal="center" shrinkToFit="0" wrapText="0"/>
    </xf>
    <xf borderId="54" fillId="3" fontId="1" numFmtId="0" xfId="0" applyAlignment="1" applyBorder="1" applyFont="1">
      <alignment horizontal="center" shrinkToFit="0" wrapText="0"/>
    </xf>
    <xf borderId="51" fillId="3" fontId="1" numFmtId="0" xfId="0" applyAlignment="1" applyBorder="1" applyFont="1">
      <alignment horizontal="center" shrinkToFit="0" wrapText="0"/>
    </xf>
    <xf borderId="29" fillId="3" fontId="1" numFmtId="0" xfId="0" applyAlignment="1" applyBorder="1" applyFont="1">
      <alignment horizontal="center" shrinkToFit="0" vertical="center" wrapText="0"/>
    </xf>
    <xf borderId="56" fillId="3" fontId="1" numFmtId="0" xfId="0" applyAlignment="1" applyBorder="1" applyFont="1">
      <alignment horizontal="center" shrinkToFit="0" vertical="center" wrapText="0"/>
    </xf>
    <xf borderId="25" fillId="0" fontId="1" numFmtId="0" xfId="0" applyAlignment="1" applyBorder="1" applyFont="1">
      <alignment horizontal="center" shrinkToFit="0" wrapText="0"/>
    </xf>
    <xf borderId="63" fillId="2" fontId="3" numFmtId="0" xfId="0" applyAlignment="1" applyBorder="1" applyFont="1">
      <alignment horizontal="center" shrinkToFit="0" vertical="center" wrapText="0"/>
    </xf>
    <xf borderId="25" fillId="0" fontId="17" numFmtId="0" xfId="0" applyAlignment="1" applyBorder="1" applyFont="1">
      <alignment horizontal="center" shrinkToFit="0" wrapText="0"/>
    </xf>
    <xf borderId="56" fillId="3" fontId="1" numFmtId="0" xfId="0" applyAlignment="1" applyBorder="1" applyFont="1">
      <alignment horizontal="center" shrinkToFit="0" wrapText="0"/>
    </xf>
    <xf borderId="30" fillId="3" fontId="1" numFmtId="0" xfId="0" applyAlignment="1" applyBorder="1" applyFont="1">
      <alignment horizontal="center" shrinkToFit="0" wrapText="0"/>
    </xf>
    <xf borderId="0" fillId="0" fontId="3" numFmtId="0" xfId="0" applyAlignment="1" applyFont="1">
      <alignment horizontal="center" shrinkToFit="0" vertical="center" wrapText="1"/>
    </xf>
    <xf borderId="1" fillId="2" fontId="4" numFmtId="0" xfId="0" applyAlignment="1" applyBorder="1" applyFont="1">
      <alignment horizontal="center" shrinkToFit="0" wrapText="0"/>
    </xf>
    <xf borderId="1" fillId="2" fontId="3" numFmtId="49" xfId="0" applyAlignment="1" applyBorder="1" applyFont="1" applyNumberFormat="1">
      <alignment horizontal="center" shrinkToFit="0" wrapText="0"/>
    </xf>
    <xf borderId="2" fillId="2" fontId="3" numFmtId="49" xfId="0" applyAlignment="1" applyBorder="1" applyFont="1" applyNumberFormat="1">
      <alignment horizontal="center" shrinkToFit="0" wrapText="0"/>
    </xf>
    <xf borderId="0" fillId="0" fontId="18" numFmtId="0" xfId="0" applyAlignment="1" applyFont="1">
      <alignment horizontal="center" shrinkToFit="0" wrapText="0"/>
    </xf>
    <xf borderId="8" fillId="0" fontId="1" numFmtId="0" xfId="0" applyAlignment="1" applyBorder="1" applyFont="1">
      <alignment horizontal="center" shrinkToFit="0" wrapText="0"/>
    </xf>
    <xf borderId="0" fillId="0" fontId="14" numFmtId="0" xfId="0" applyAlignment="1" applyFont="1">
      <alignment horizontal="center" shrinkToFit="0" wrapText="0"/>
    </xf>
    <xf borderId="64" fillId="2" fontId="3" numFmtId="0" xfId="0" applyAlignment="1" applyBorder="1" applyFont="1">
      <alignment horizontal="center" shrinkToFit="0" vertical="center" wrapText="0"/>
    </xf>
    <xf borderId="65" fillId="0" fontId="1" numFmtId="0" xfId="0" applyAlignment="1" applyBorder="1" applyFont="1">
      <alignment horizontal="center" shrinkToFit="0" wrapText="0"/>
    </xf>
    <xf borderId="36" fillId="0" fontId="5" numFmtId="0" xfId="0" applyBorder="1" applyFont="1"/>
    <xf borderId="66" fillId="0" fontId="5" numFmtId="0" xfId="0" applyBorder="1" applyFont="1"/>
    <xf borderId="67" fillId="2" fontId="3" numFmtId="0" xfId="0" applyAlignment="1" applyBorder="1" applyFont="1">
      <alignment horizontal="center" shrinkToFit="0" vertical="center" wrapText="0"/>
    </xf>
    <xf borderId="68" fillId="0" fontId="5" numFmtId="0" xfId="0" applyBorder="1" applyFont="1"/>
    <xf borderId="69" fillId="0" fontId="5" numFmtId="0" xfId="0" applyBorder="1" applyFont="1"/>
    <xf borderId="70" fillId="2" fontId="3" numFmtId="0" xfId="0" applyAlignment="1" applyBorder="1" applyFont="1">
      <alignment horizontal="center" shrinkToFit="0" wrapText="0"/>
    </xf>
    <xf borderId="71" fillId="2" fontId="3" numFmtId="0" xfId="0" applyAlignment="1" applyBorder="1" applyFont="1">
      <alignment horizontal="center" shrinkToFit="0" wrapText="0"/>
    </xf>
    <xf borderId="72" fillId="2" fontId="3" numFmtId="0" xfId="0" applyAlignment="1" applyBorder="1" applyFont="1">
      <alignment horizontal="center" shrinkToFit="0" wrapText="0"/>
    </xf>
    <xf borderId="73" fillId="0" fontId="5" numFmtId="0" xfId="0" applyBorder="1" applyFont="1"/>
    <xf borderId="74" fillId="2" fontId="3" numFmtId="0" xfId="0" applyAlignment="1" applyBorder="1" applyFont="1">
      <alignment horizontal="center" shrinkToFit="0" wrapText="0"/>
    </xf>
    <xf borderId="13" fillId="3" fontId="1" numFmtId="0" xfId="0" applyAlignment="1" applyBorder="1" applyFont="1">
      <alignment horizontal="center" shrinkToFit="0" wrapText="0"/>
    </xf>
    <xf borderId="75" fillId="0" fontId="1" numFmtId="0" xfId="0" applyAlignment="1" applyBorder="1" applyFont="1">
      <alignment horizontal="center" readingOrder="0" shrinkToFit="0" vertical="center" wrapText="1"/>
    </xf>
    <xf borderId="31" fillId="0" fontId="1" numFmtId="0" xfId="0" applyAlignment="1" applyBorder="1" applyFont="1">
      <alignment horizontal="center" shrinkToFit="0" vertical="center" wrapText="0"/>
    </xf>
    <xf borderId="76" fillId="3" fontId="1" numFmtId="0" xfId="0" applyAlignment="1" applyBorder="1" applyFont="1">
      <alignment horizontal="center" shrinkToFit="0" wrapText="0"/>
    </xf>
    <xf borderId="77" fillId="3" fontId="1" numFmtId="0" xfId="0" applyAlignment="1" applyBorder="1" applyFont="1">
      <alignment horizontal="center" shrinkToFit="0" wrapText="0"/>
    </xf>
    <xf borderId="78" fillId="3" fontId="1" numFmtId="0" xfId="0" applyAlignment="1" applyBorder="1" applyFont="1">
      <alignment horizontal="center" shrinkToFit="0" wrapText="0"/>
    </xf>
    <xf borderId="75" fillId="0" fontId="5" numFmtId="0" xfId="0" applyBorder="1" applyFont="1"/>
    <xf borderId="31" fillId="0" fontId="5" numFmtId="0" xfId="0" applyBorder="1" applyFont="1"/>
    <xf borderId="79" fillId="0" fontId="1" numFmtId="0" xfId="0" applyAlignment="1" applyBorder="1" applyFont="1">
      <alignment horizontal="center" shrinkToFit="0" wrapText="0"/>
    </xf>
    <xf borderId="80" fillId="3" fontId="1" numFmtId="0" xfId="0" applyAlignment="1" applyBorder="1" applyFont="1">
      <alignment horizontal="center" shrinkToFit="0" wrapText="0"/>
    </xf>
    <xf borderId="81" fillId="0" fontId="1" numFmtId="0" xfId="0" applyAlignment="1" applyBorder="1" applyFont="1">
      <alignment horizontal="center" shrinkToFit="0" wrapText="0"/>
    </xf>
    <xf borderId="10" fillId="3" fontId="1" numFmtId="9" xfId="0" applyAlignment="1" applyBorder="1" applyFont="1" applyNumberFormat="1">
      <alignment horizontal="center" shrinkToFit="0" wrapText="0"/>
    </xf>
    <xf borderId="82" fillId="0" fontId="5" numFmtId="0" xfId="0" applyBorder="1" applyFont="1"/>
    <xf borderId="33" fillId="0" fontId="5" numFmtId="0" xfId="0" applyBorder="1" applyFont="1"/>
    <xf borderId="83" fillId="0" fontId="1" numFmtId="0" xfId="0" applyAlignment="1" applyBorder="1" applyFont="1">
      <alignment horizontal="center" readingOrder="0" shrinkToFit="0" vertical="center" wrapText="1"/>
    </xf>
    <xf borderId="81" fillId="0" fontId="1" numFmtId="0" xfId="0" applyAlignment="1" applyBorder="1" applyFont="1">
      <alignment horizontal="center" shrinkToFit="0" vertical="center" wrapText="0"/>
    </xf>
    <xf borderId="84" fillId="0" fontId="1" numFmtId="0" xfId="0" applyAlignment="1" applyBorder="1" applyFont="1">
      <alignment horizontal="center" shrinkToFit="0" wrapText="0"/>
    </xf>
    <xf borderId="85" fillId="0" fontId="1" numFmtId="0" xfId="0" applyAlignment="1" applyBorder="1" applyFont="1">
      <alignment horizontal="center" shrinkToFit="0" wrapText="0"/>
    </xf>
    <xf borderId="86" fillId="3" fontId="1" numFmtId="0" xfId="0" applyAlignment="1" applyBorder="1" applyFont="1">
      <alignment horizontal="center" shrinkToFit="0" wrapText="0"/>
    </xf>
    <xf borderId="87" fillId="3" fontId="1" numFmtId="0" xfId="0" applyAlignment="1" applyBorder="1" applyFont="1">
      <alignment horizontal="center" shrinkToFit="0" wrapText="0"/>
    </xf>
    <xf borderId="0" fillId="0" fontId="1" numFmtId="9" xfId="0" applyAlignment="1" applyFont="1" applyNumberFormat="1">
      <alignment horizontal="center" readingOrder="0" shrinkToFit="0" wrapText="0"/>
    </xf>
    <xf borderId="0" fillId="0" fontId="5" numFmtId="9" xfId="0" applyAlignment="1" applyFont="1" applyNumberFormat="1">
      <alignment readingOrder="0"/>
    </xf>
    <xf borderId="10" fillId="0" fontId="1" numFmtId="0" xfId="0" applyAlignment="1" applyBorder="1" applyFont="1">
      <alignment horizontal="center" readingOrder="0" shrinkToFit="0" wrapText="0"/>
    </xf>
    <xf borderId="81" fillId="0" fontId="1" numFmtId="0" xfId="0" applyAlignment="1" applyBorder="1" applyFont="1">
      <alignment horizontal="center" readingOrder="0" shrinkToFit="0" wrapText="0"/>
    </xf>
    <xf borderId="88" fillId="3" fontId="1" numFmtId="0" xfId="0" applyAlignment="1" applyBorder="1" applyFont="1">
      <alignment horizontal="center" shrinkToFit="0" wrapText="0"/>
    </xf>
    <xf borderId="89" fillId="3" fontId="1" numFmtId="0" xfId="0" applyAlignment="1" applyBorder="1" applyFont="1">
      <alignment horizontal="center" shrinkToFit="0" wrapText="0"/>
    </xf>
    <xf borderId="90" fillId="0" fontId="1" numFmtId="0" xfId="0" applyAlignment="1" applyBorder="1" applyFont="1">
      <alignment horizontal="center" shrinkToFit="0" wrapText="0"/>
    </xf>
    <xf borderId="23" fillId="0" fontId="1" numFmtId="0" xfId="0" applyAlignment="1" applyBorder="1" applyFont="1">
      <alignment horizontal="center" shrinkToFit="0" wrapText="0"/>
    </xf>
    <xf borderId="91" fillId="2" fontId="3" numFmtId="0" xfId="0" applyAlignment="1" applyBorder="1" applyFont="1">
      <alignment horizontal="center" shrinkToFit="0" vertical="center" wrapText="0"/>
    </xf>
    <xf borderId="13" fillId="0" fontId="1" numFmtId="0" xfId="0" applyAlignment="1" applyBorder="1" applyFont="1">
      <alignment horizontal="center" shrinkToFit="0" wrapText="0"/>
    </xf>
    <xf borderId="92" fillId="2" fontId="3" numFmtId="0" xfId="0" applyAlignment="1" applyBorder="1" applyFont="1">
      <alignment horizontal="center" shrinkToFit="0" vertical="center" wrapText="0"/>
    </xf>
    <xf borderId="93" fillId="0" fontId="5" numFmtId="0" xfId="0" applyBorder="1" applyFont="1"/>
    <xf borderId="54" fillId="2" fontId="3" numFmtId="0" xfId="0" applyAlignment="1" applyBorder="1" applyFont="1">
      <alignment horizontal="center" shrinkToFit="0" wrapText="0"/>
    </xf>
    <xf borderId="10" fillId="2" fontId="3" numFmtId="0" xfId="0" applyAlignment="1" applyBorder="1" applyFont="1">
      <alignment horizontal="center" shrinkToFit="0" wrapText="0"/>
    </xf>
    <xf borderId="30" fillId="2" fontId="3" numFmtId="0" xfId="0" applyAlignment="1" applyBorder="1" applyFont="1">
      <alignment horizontal="center" shrinkToFit="0" wrapText="0"/>
    </xf>
    <xf borderId="94" fillId="0" fontId="5" numFmtId="0" xfId="0" applyBorder="1" applyFont="1"/>
    <xf borderId="95" fillId="2" fontId="3" numFmtId="0" xfId="0" applyAlignment="1" applyBorder="1" applyFont="1">
      <alignment horizontal="center" shrinkToFit="0" wrapText="0"/>
    </xf>
    <xf borderId="96" fillId="3" fontId="1" numFmtId="0" xfId="0" applyAlignment="1" applyBorder="1" applyFont="1">
      <alignment horizontal="center" shrinkToFit="0" wrapText="0"/>
    </xf>
    <xf borderId="97" fillId="3" fontId="1" numFmtId="0" xfId="0" applyAlignment="1" applyBorder="1" applyFont="1">
      <alignment horizontal="center" shrinkToFit="0" wrapText="0"/>
    </xf>
    <xf borderId="98" fillId="3" fontId="1" numFmtId="0" xfId="0" applyAlignment="1" applyBorder="1" applyFont="1">
      <alignment horizontal="center" shrinkToFit="0" wrapText="0"/>
    </xf>
    <xf borderId="99" fillId="3" fontId="1" numFmtId="0" xfId="0" applyAlignment="1" applyBorder="1" applyFont="1">
      <alignment horizontal="center" shrinkToFit="0" wrapText="0"/>
    </xf>
    <xf borderId="15" fillId="0" fontId="1" numFmtId="0" xfId="0" applyAlignment="1" applyBorder="1" applyFont="1">
      <alignment horizontal="center" shrinkToFit="0" wrapText="0"/>
    </xf>
    <xf borderId="100" fillId="3" fontId="1" numFmtId="0" xfId="0" applyAlignment="1" applyBorder="1" applyFont="1">
      <alignment horizontal="center" shrinkToFit="0" wrapText="0"/>
    </xf>
    <xf borderId="101" fillId="0" fontId="5" numFmtId="0" xfId="0" applyBorder="1" applyFont="1"/>
    <xf borderId="102" fillId="0" fontId="1" numFmtId="0" xfId="0" applyAlignment="1" applyBorder="1" applyFont="1">
      <alignment horizontal="center" shrinkToFit="0" wrapText="0"/>
    </xf>
    <xf borderId="103" fillId="0" fontId="1" numFmtId="0" xfId="0" applyAlignment="1" applyBorder="1" applyFont="1">
      <alignment horizontal="center" shrinkToFit="0" wrapText="0"/>
    </xf>
    <xf borderId="70" fillId="3" fontId="1" numFmtId="0" xfId="0" applyAlignment="1" applyBorder="1" applyFont="1">
      <alignment horizontal="center" shrinkToFit="0" wrapText="0"/>
    </xf>
    <xf borderId="104" fillId="3" fontId="1" numFmtId="0" xfId="0" applyAlignment="1" applyBorder="1" applyFont="1">
      <alignment horizontal="center" shrinkToFit="0" wrapText="0"/>
    </xf>
    <xf borderId="105" fillId="3" fontId="1" numFmtId="0" xfId="0" applyAlignment="1" applyBorder="1" applyFont="1">
      <alignment horizontal="center" shrinkToFit="0" wrapText="0"/>
    </xf>
    <xf borderId="0" fillId="0" fontId="3" numFmtId="0" xfId="0" applyAlignment="1" applyFont="1">
      <alignment shrinkToFit="0" wrapText="0"/>
    </xf>
    <xf borderId="76" fillId="3" fontId="1" numFmtId="164" xfId="0" applyAlignment="1" applyBorder="1" applyFont="1" applyNumberFormat="1">
      <alignment horizontal="center" shrinkToFit="0" wrapText="0"/>
    </xf>
    <xf borderId="75" fillId="0" fontId="1" numFmtId="0" xfId="0" applyAlignment="1" applyBorder="1" applyFont="1">
      <alignment horizontal="center" shrinkToFit="0" vertical="center" wrapText="1"/>
    </xf>
    <xf borderId="83" fillId="0" fontId="1" numFmtId="0" xfId="0" applyAlignment="1" applyBorder="1" applyFont="1">
      <alignment horizontal="center" shrinkToFit="0" vertical="center" wrapText="1"/>
    </xf>
    <xf borderId="0" fillId="0" fontId="1" numFmtId="0" xfId="0" applyAlignment="1" applyFont="1">
      <alignment shrinkToFit="0" vertical="center" wrapText="0"/>
    </xf>
    <xf borderId="13" fillId="3" fontId="1" numFmtId="0" xfId="0" applyAlignment="1" applyBorder="1" applyFont="1">
      <alignment horizontal="center" readingOrder="0" shrinkToFit="0" wrapText="0"/>
    </xf>
    <xf borderId="86" fillId="3" fontId="1" numFmtId="0" xfId="0" applyAlignment="1" applyBorder="1" applyFont="1">
      <alignment horizontal="center" readingOrder="0" shrinkToFit="0" wrapText="0"/>
    </xf>
    <xf borderId="80" fillId="3" fontId="1" numFmtId="0" xfId="0" applyAlignment="1" applyBorder="1" applyFont="1">
      <alignment horizontal="center" readingOrder="0" shrinkToFit="0" wrapText="0"/>
    </xf>
    <xf borderId="76" fillId="3" fontId="1" numFmtId="0" xfId="0" applyAlignment="1" applyBorder="1" applyFont="1">
      <alignment horizontal="center" readingOrder="0" shrinkToFit="0" wrapText="0"/>
    </xf>
    <xf borderId="0" fillId="0" fontId="1" numFmtId="0" xfId="0" applyAlignment="1" applyFont="1">
      <alignment shrinkToFit="0" vertical="center" wrapText="1"/>
    </xf>
    <xf borderId="0" fillId="0" fontId="1" numFmtId="0" xfId="0" applyAlignment="1" applyFont="1">
      <alignment horizontal="center" readingOrder="0" shrinkToFit="0" wrapText="0"/>
    </xf>
    <xf borderId="32" fillId="0" fontId="1" numFmtId="0" xfId="0" applyAlignment="1" applyBorder="1" applyFont="1">
      <alignment horizontal="center" readingOrder="0" shrinkToFit="0" wrapText="0"/>
    </xf>
    <xf borderId="84" fillId="0" fontId="1" numFmtId="0" xfId="0" applyAlignment="1" applyBorder="1" applyFont="1">
      <alignment horizontal="center" readingOrder="0" shrinkToFit="0" wrapText="0"/>
    </xf>
    <xf borderId="85" fillId="0" fontId="1" numFmtId="0" xfId="0" applyAlignment="1" applyBorder="1" applyFont="1">
      <alignment horizontal="center" readingOrder="0" shrinkToFit="0" wrapText="0"/>
    </xf>
    <xf borderId="16" fillId="0" fontId="1" numFmtId="0" xfId="0" applyAlignment="1" applyBorder="1" applyFont="1">
      <alignment horizontal="center" readingOrder="0" shrinkToFit="0" wrapText="0"/>
    </xf>
    <xf borderId="34" fillId="0" fontId="1" numFmtId="0" xfId="0" applyAlignment="1" applyBorder="1" applyFont="1">
      <alignment horizontal="center" readingOrder="0" shrinkToFit="0" wrapText="0"/>
    </xf>
    <xf borderId="25" fillId="0" fontId="1" numFmtId="0" xfId="0" applyAlignment="1" applyBorder="1" applyFont="1">
      <alignment horizontal="center" readingOrder="0" shrinkToFit="0" wrapText="0"/>
    </xf>
    <xf borderId="103" fillId="0" fontId="1" numFmtId="0" xfId="0" applyAlignment="1" applyBorder="1" applyFont="1">
      <alignment horizontal="center" readingOrder="0" shrinkToFit="0" wrapText="0"/>
    </xf>
    <xf borderId="31" fillId="0" fontId="1" numFmtId="0" xfId="0" applyAlignment="1" applyBorder="1" applyFont="1">
      <alignment horizontal="center" shrinkToFit="0" vertical="center" wrapText="1"/>
    </xf>
    <xf borderId="10" fillId="3" fontId="1" numFmtId="9" xfId="0" applyAlignment="1" applyBorder="1" applyFont="1" applyNumberFormat="1">
      <alignment horizontal="center" readingOrder="0" shrinkToFit="0" wrapText="0"/>
    </xf>
    <xf borderId="12" fillId="3" fontId="1" numFmtId="9" xfId="0" applyAlignment="1" applyBorder="1" applyFont="1" applyNumberFormat="1">
      <alignment horizontal="center" readingOrder="0" shrinkToFit="0" wrapText="0"/>
    </xf>
    <xf borderId="81" fillId="0" fontId="1" numFmtId="0" xfId="0" applyAlignment="1" applyBorder="1" applyFont="1">
      <alignment horizontal="center" shrinkToFit="0" vertical="center" wrapText="1"/>
    </xf>
    <xf borderId="54" fillId="3" fontId="1" numFmtId="9" xfId="0" applyAlignment="1" applyBorder="1" applyFont="1" applyNumberFormat="1">
      <alignment horizontal="center" readingOrder="0" shrinkToFit="0" wrapText="0"/>
    </xf>
    <xf borderId="81" fillId="0" fontId="1" numFmtId="0" xfId="0" applyAlignment="1" applyBorder="1" applyFont="1">
      <alignment horizontal="center" readingOrder="0" shrinkToFit="0" vertical="center" wrapText="0"/>
    </xf>
    <xf borderId="0" fillId="5" fontId="19" numFmtId="0" xfId="0" applyAlignment="1" applyFill="1" applyFont="1">
      <alignment readingOrder="0"/>
    </xf>
    <xf borderId="0" fillId="0" fontId="20" numFmtId="0" xfId="0" applyAlignment="1" applyFont="1">
      <alignment horizontal="center" shrinkToFit="0" wrapText="0"/>
    </xf>
    <xf borderId="0" fillId="0" fontId="21" numFmtId="0" xfId="0" applyFont="1"/>
    <xf borderId="96" fillId="3" fontId="1" numFmtId="0" xfId="0" applyAlignment="1" applyBorder="1" applyFont="1">
      <alignment horizontal="center" readingOrder="0" shrinkToFit="0" wrapText="0"/>
    </xf>
    <xf borderId="0" fillId="0" fontId="21" numFmtId="0" xfId="0" applyAlignment="1" applyFont="1">
      <alignment readingOrder="0"/>
    </xf>
    <xf borderId="0" fillId="0" fontId="20" numFmtId="0" xfId="0" applyAlignment="1" applyFont="1">
      <alignment horizontal="center" readingOrder="0" shrinkToFit="0" wrapText="0"/>
    </xf>
    <xf borderId="0" fillId="5" fontId="22" numFmtId="0" xfId="0" applyAlignment="1" applyFont="1">
      <alignment readingOrder="0"/>
    </xf>
    <xf borderId="0" fillId="0" fontId="1" numFmtId="9" xfId="0" applyAlignment="1" applyFont="1" applyNumberFormat="1">
      <alignment horizontal="center" shrinkToFit="0" wrapText="0"/>
    </xf>
    <xf borderId="0" fillId="0" fontId="3" numFmtId="0" xfId="0" applyAlignment="1" applyFont="1">
      <alignment shrinkToFit="0" vertical="center" wrapText="0"/>
    </xf>
    <xf borderId="0" fillId="0" fontId="23" numFmtId="0" xfId="0" applyAlignment="1" applyFont="1">
      <alignment readingOrder="0"/>
    </xf>
    <xf borderId="1" fillId="2" fontId="3" numFmtId="0" xfId="0" applyAlignment="1" applyBorder="1" applyFont="1">
      <alignment horizontal="center" readingOrder="0" shrinkToFit="0" vertical="center" wrapText="1"/>
    </xf>
    <xf borderId="42" fillId="4" fontId="1" numFmtId="0" xfId="0" applyAlignment="1" applyBorder="1" applyFont="1">
      <alignment horizontal="center" readingOrder="0" shrinkToFit="0" vertical="center" wrapText="0"/>
    </xf>
    <xf borderId="1" fillId="2" fontId="2" numFmtId="0" xfId="0" applyAlignment="1" applyBorder="1" applyFont="1">
      <alignment shrinkToFit="0" wrapText="0"/>
    </xf>
    <xf borderId="1" fillId="2" fontId="24" numFmtId="0" xfId="0" applyAlignment="1" applyBorder="1" applyFont="1">
      <alignment horizontal="center" shrinkToFit="0" wrapText="0"/>
    </xf>
    <xf borderId="2" fillId="2" fontId="25" numFmtId="0" xfId="0" applyAlignment="1" applyBorder="1" applyFont="1">
      <alignment horizontal="center" shrinkToFit="0" wrapText="0"/>
    </xf>
    <xf borderId="0" fillId="0" fontId="0" numFmtId="0" xfId="0" applyAlignment="1" applyFont="1">
      <alignment horizontal="center" shrinkToFit="0" wrapText="0"/>
    </xf>
    <xf borderId="0" fillId="0" fontId="8" numFmtId="0" xfId="0" applyAlignment="1" applyFont="1">
      <alignment readingOrder="0" shrinkToFit="0" wrapText="0"/>
    </xf>
    <xf borderId="10" fillId="0" fontId="26" numFmtId="0" xfId="0" applyAlignment="1" applyBorder="1" applyFont="1">
      <alignment horizontal="center" shrinkToFit="0" wrapText="0"/>
    </xf>
    <xf borderId="81" fillId="3" fontId="1" numFmtId="0" xfId="0" applyAlignment="1" applyBorder="1" applyFont="1">
      <alignment horizontal="center" shrinkToFit="0" textRotation="90" vertical="center" wrapText="0"/>
    </xf>
    <xf borderId="43" fillId="3" fontId="1" numFmtId="0" xfId="0" applyAlignment="1" applyBorder="1" applyFont="1">
      <alignment horizontal="center" shrinkToFit="0" wrapText="0"/>
    </xf>
    <xf borderId="81" fillId="0" fontId="1" numFmtId="0" xfId="0" applyAlignment="1" applyBorder="1" applyFont="1">
      <alignment horizontal="center" shrinkToFit="0" textRotation="90" vertical="center" wrapText="0"/>
    </xf>
    <xf borderId="10" fillId="2" fontId="3" numFmtId="0" xfId="0" applyAlignment="1" applyBorder="1" applyFont="1">
      <alignment horizontal="center" shrinkToFit="0" vertical="center" wrapText="1"/>
    </xf>
    <xf borderId="70" fillId="4" fontId="1" numFmtId="0" xfId="0" applyAlignment="1" applyBorder="1" applyFont="1">
      <alignment horizontal="center" shrinkToFit="0" wrapText="0"/>
    </xf>
    <xf borderId="12" fillId="4" fontId="1" numFmtId="0" xfId="0" applyAlignment="1" applyBorder="1" applyFont="1">
      <alignment horizontal="center" shrinkToFit="0" vertical="center" wrapText="0"/>
    </xf>
    <xf borderId="49" fillId="4" fontId="1" numFmtId="0" xfId="0" applyAlignment="1" applyBorder="1" applyFont="1">
      <alignment horizontal="center" shrinkToFit="0" vertical="center" wrapText="0"/>
    </xf>
    <xf borderId="54" fillId="4" fontId="1" numFmtId="0" xfId="0" applyAlignment="1" applyBorder="1" applyFont="1">
      <alignment horizontal="center" shrinkToFit="0" vertical="center" wrapText="0"/>
    </xf>
    <xf borderId="70" fillId="4" fontId="1" numFmtId="0" xfId="0" applyAlignment="1" applyBorder="1" applyFont="1">
      <alignment horizontal="center" shrinkToFit="0" vertical="center" wrapText="0"/>
    </xf>
    <xf borderId="1" fillId="2" fontId="27" numFmtId="0" xfId="0" applyAlignment="1" applyBorder="1" applyFont="1">
      <alignment shrinkToFit="0" wrapText="0"/>
    </xf>
    <xf borderId="81" fillId="0" fontId="26" numFmtId="0" xfId="0" applyAlignment="1" applyBorder="1" applyFont="1">
      <alignment horizontal="center" shrinkToFit="0" wrapText="0"/>
    </xf>
    <xf borderId="81" fillId="4" fontId="1" numFmtId="0" xfId="0" applyAlignment="1" applyBorder="1" applyFont="1">
      <alignment horizontal="center" shrinkToFit="0" textRotation="90" vertical="center" wrapText="0"/>
    </xf>
    <xf borderId="13" fillId="0" fontId="1" numFmtId="0" xfId="0" applyAlignment="1" applyBorder="1" applyFont="1">
      <alignment horizontal="left" shrinkToFit="0" vertical="center" wrapText="0"/>
    </xf>
    <xf borderId="106" fillId="0" fontId="1" numFmtId="0" xfId="0" applyAlignment="1" applyBorder="1" applyFont="1">
      <alignment shrinkToFit="0" wrapText="0"/>
    </xf>
    <xf borderId="84" fillId="0" fontId="1" numFmtId="0" xfId="0" applyAlignment="1" applyBorder="1" applyFont="1">
      <alignment shrinkToFit="0" wrapText="0"/>
    </xf>
    <xf borderId="85" fillId="0" fontId="1" numFmtId="0" xfId="0" applyAlignment="1" applyBorder="1" applyFont="1">
      <alignment shrinkToFit="0" wrapText="0"/>
    </xf>
    <xf borderId="79" fillId="0" fontId="1" numFmtId="0" xfId="0" applyAlignment="1" applyBorder="1" applyFont="1">
      <alignment shrinkToFit="0" wrapText="0"/>
    </xf>
    <xf borderId="32" fillId="0" fontId="1" numFmtId="0" xfId="0" applyAlignment="1" applyBorder="1" applyFont="1">
      <alignment shrinkToFit="0" wrapText="0"/>
    </xf>
    <xf borderId="90" fillId="0" fontId="1" numFmtId="0" xfId="0" applyAlignment="1" applyBorder="1" applyFont="1">
      <alignment horizontal="left" shrinkToFit="0" wrapText="1"/>
    </xf>
    <xf borderId="34" fillId="0" fontId="5" numFmtId="0" xfId="0" applyBorder="1" applyFont="1"/>
    <xf borderId="20" fillId="0" fontId="16" numFmtId="0" xfId="0" applyAlignment="1" applyBorder="1" applyFont="1">
      <alignment horizontal="center" shrinkToFit="0" wrapText="0"/>
    </xf>
    <xf borderId="50" fillId="2" fontId="1" numFmtId="0" xfId="0" applyAlignment="1" applyBorder="1" applyFont="1">
      <alignment horizontal="center" shrinkToFit="0" vertical="center" wrapText="0"/>
    </xf>
    <xf borderId="30" fillId="2" fontId="3" numFmtId="0" xfId="0" applyAlignment="1" applyBorder="1" applyFont="1">
      <alignment horizontal="center" shrinkToFit="0" vertical="center" wrapText="0"/>
    </xf>
    <xf borderId="107" fillId="2" fontId="3" numFmtId="0" xfId="0" applyAlignment="1" applyBorder="1" applyFont="1">
      <alignment horizontal="center" shrinkToFit="0" vertical="center" wrapText="0"/>
    </xf>
    <xf borderId="51" fillId="2" fontId="1" numFmtId="0" xfId="0" applyAlignment="1" applyBorder="1" applyFont="1">
      <alignment horizontal="center" shrinkToFit="0" vertical="center" wrapText="0"/>
    </xf>
    <xf borderId="13" fillId="2" fontId="3" numFmtId="0" xfId="0" applyAlignment="1" applyBorder="1" applyFont="1">
      <alignment horizontal="center" shrinkToFit="0" vertical="center" wrapText="0"/>
    </xf>
    <xf borderId="83" fillId="0" fontId="1" numFmtId="0" xfId="0" applyAlignment="1" applyBorder="1" applyFont="1">
      <alignment horizontal="center" shrinkToFit="0" vertical="center" wrapText="0"/>
    </xf>
    <xf borderId="108" fillId="0" fontId="1" numFmtId="0" xfId="0" applyAlignment="1" applyBorder="1" applyFont="1">
      <alignment horizontal="center" shrinkToFit="0" wrapText="0"/>
    </xf>
    <xf borderId="109" fillId="0" fontId="5" numFmtId="0" xfId="0" applyBorder="1" applyFont="1"/>
    <xf borderId="110" fillId="0" fontId="5" numFmtId="0" xfId="0" applyBorder="1" applyFont="1"/>
    <xf borderId="111" fillId="0" fontId="5" numFmtId="0" xfId="0" applyBorder="1" applyFont="1"/>
    <xf borderId="112" fillId="0" fontId="1" numFmtId="0" xfId="0" applyAlignment="1" applyBorder="1" applyFont="1">
      <alignment horizontal="center" shrinkToFit="0" wrapText="0"/>
    </xf>
    <xf borderId="32" fillId="0" fontId="1" numFmtId="0" xfId="0" applyAlignment="1" applyBorder="1" applyFont="1">
      <alignment horizontal="center" shrinkToFit="0" vertical="center" wrapText="0"/>
    </xf>
    <xf borderId="23" fillId="0" fontId="1" numFmtId="0" xfId="0" applyAlignment="1" applyBorder="1" applyFont="1">
      <alignment horizontal="center" shrinkToFit="0" vertical="center" wrapText="0"/>
    </xf>
    <xf borderId="113" fillId="0" fontId="1" numFmtId="0" xfId="0" applyAlignment="1" applyBorder="1" applyFont="1">
      <alignment horizontal="center" shrinkToFit="0" wrapText="0"/>
    </xf>
    <xf borderId="32" fillId="0" fontId="5" numFmtId="0" xfId="0" applyBorder="1" applyFont="1"/>
    <xf borderId="114" fillId="0" fontId="1" numFmtId="0" xfId="0" applyAlignment="1" applyBorder="1" applyFont="1">
      <alignment horizontal="center" shrinkToFit="0" wrapText="0"/>
    </xf>
    <xf borderId="115" fillId="0" fontId="5" numFmtId="0" xfId="0" applyBorder="1" applyFont="1"/>
    <xf borderId="75" fillId="0" fontId="1" numFmtId="0" xfId="0" applyAlignment="1" applyBorder="1" applyFont="1">
      <alignment horizontal="center" shrinkToFit="0" vertical="center" wrapText="0"/>
    </xf>
    <xf borderId="57" fillId="3" fontId="1" numFmtId="0" xfId="0" applyAlignment="1" applyBorder="1" applyFont="1">
      <alignment horizontal="center" shrinkToFit="0" wrapText="0"/>
    </xf>
    <xf borderId="116" fillId="0" fontId="1" numFmtId="0" xfId="0" applyAlignment="1" applyBorder="1" applyFont="1">
      <alignment horizontal="center" shrinkToFit="0" wrapText="0"/>
    </xf>
    <xf borderId="103" fillId="0" fontId="5" numFmtId="0" xfId="0" applyBorder="1" applyFont="1"/>
    <xf borderId="0" fillId="0" fontId="28" numFmtId="0" xfId="0" applyAlignment="1" applyFont="1">
      <alignment shrinkToFit="0" wrapText="0"/>
    </xf>
    <xf borderId="61" fillId="6" fontId="1" numFmtId="0" xfId="0" applyAlignment="1" applyBorder="1" applyFill="1" applyFont="1">
      <alignment horizontal="center" shrinkToFit="0" wrapText="0"/>
    </xf>
    <xf borderId="117" fillId="0" fontId="5" numFmtId="0" xfId="0" applyBorder="1" applyFont="1"/>
    <xf borderId="52" fillId="7" fontId="1" numFmtId="0" xfId="0" applyAlignment="1" applyBorder="1" applyFill="1" applyFont="1">
      <alignment shrinkToFit="0" wrapText="0"/>
    </xf>
    <xf borderId="51" fillId="7" fontId="1" numFmtId="0" xfId="0" applyAlignment="1" applyBorder="1" applyFont="1">
      <alignment shrinkToFit="0" wrapText="0"/>
    </xf>
    <xf borderId="61" fillId="8" fontId="1" numFmtId="0" xfId="0" applyAlignment="1" applyBorder="1" applyFill="1" applyFont="1">
      <alignment horizontal="center" shrinkToFit="0" wrapText="0"/>
    </xf>
    <xf borderId="17" fillId="6" fontId="1" numFmtId="0" xfId="0" applyAlignment="1" applyBorder="1" applyFont="1">
      <alignment horizontal="center" shrinkToFit="0" wrapText="0"/>
    </xf>
    <xf borderId="118" fillId="0" fontId="5" numFmtId="0" xfId="0" applyBorder="1" applyFont="1"/>
    <xf borderId="106" fillId="0" fontId="8" numFmtId="0" xfId="0" applyAlignment="1" applyBorder="1" applyFont="1">
      <alignment horizontal="center" shrinkToFit="0" wrapText="0"/>
    </xf>
    <xf borderId="84" fillId="0" fontId="5" numFmtId="0" xfId="0" applyBorder="1" applyFont="1"/>
    <xf borderId="85" fillId="0" fontId="5" numFmtId="0" xfId="0" applyBorder="1" applyFont="1"/>
    <xf borderId="47" fillId="7" fontId="1" numFmtId="0" xfId="0" applyAlignment="1" applyBorder="1" applyFont="1">
      <alignment shrinkToFit="0" wrapText="0"/>
    </xf>
    <xf borderId="46" fillId="7" fontId="1" numFmtId="0" xfId="0" applyAlignment="1" applyBorder="1" applyFont="1">
      <alignment shrinkToFit="0" wrapText="0"/>
    </xf>
    <xf borderId="17" fillId="9" fontId="1" numFmtId="1" xfId="0" applyAlignment="1" applyBorder="1" applyFill="1" applyFont="1" applyNumberFormat="1">
      <alignment horizontal="center" shrinkToFit="0" wrapText="0"/>
    </xf>
    <xf borderId="119" fillId="0" fontId="5" numFmtId="0" xfId="0" applyBorder="1" applyFont="1"/>
    <xf borderId="120" fillId="9" fontId="1" numFmtId="0" xfId="0" applyAlignment="1" applyBorder="1" applyFont="1">
      <alignment horizontal="right" shrinkToFit="0" wrapText="0"/>
    </xf>
    <xf borderId="51" fillId="9" fontId="1" numFmtId="0" xfId="0" applyAlignment="1" applyBorder="1" applyFont="1">
      <alignment shrinkToFit="0" wrapText="0"/>
    </xf>
    <xf borderId="90" fillId="0" fontId="1" numFmtId="0" xfId="0" applyAlignment="1" applyBorder="1" applyFont="1">
      <alignment shrinkToFit="0" wrapText="0"/>
    </xf>
    <xf borderId="16" fillId="0" fontId="1" numFmtId="0" xfId="0" applyAlignment="1" applyBorder="1" applyFont="1">
      <alignment shrinkToFit="0" wrapText="0"/>
    </xf>
    <xf borderId="34" fillId="0" fontId="1" numFmtId="0" xfId="0" applyAlignment="1" applyBorder="1" applyFont="1">
      <alignment shrinkToFit="0" wrapText="0"/>
    </xf>
    <xf borderId="0" fillId="0" fontId="8" numFmtId="0" xfId="0" applyAlignment="1" applyFont="1">
      <alignment horizontal="right" shrinkToFit="0" wrapText="0"/>
    </xf>
    <xf borderId="0" fillId="0" fontId="29" numFmtId="0" xfId="0" applyAlignment="1" applyFont="1">
      <alignment shrinkToFit="0" wrapText="0"/>
    </xf>
    <xf borderId="0" fillId="0" fontId="30" numFmtId="0" xfId="0" applyAlignment="1" applyFont="1">
      <alignment horizontal="righ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Deadlift</a:t>
            </a:r>
          </a:p>
        </c:rich>
      </c:tx>
      <c:overlay val="0"/>
    </c:title>
    <c:plotArea>
      <c:layout/>
      <c:scatterChart>
        <c:scatterStyle val="lineMarker"/>
        <c:varyColors val="0"/>
        <c:ser>
          <c:idx val="0"/>
          <c:order val="0"/>
          <c:spPr>
            <a:ln>
              <a:noFill/>
            </a:ln>
          </c:spPr>
          <c:marker>
            <c:symbol val="circle"/>
            <c:size val="7"/>
            <c:spPr>
              <a:solidFill>
                <a:srgbClr val="993366"/>
              </a:solidFill>
              <a:ln cmpd="sng">
                <a:solidFill>
                  <a:srgbClr val="993366"/>
                </a:solidFill>
              </a:ln>
            </c:spPr>
          </c:marker>
          <c:xVal>
            <c:numRef>
              <c:f>'531 Progress Tracker'!$W$11:$W$49</c:f>
            </c:numRef>
          </c:xVal>
          <c:yVal>
            <c:numRef>
              <c:f>'531 Progress Tracker'!$Y$11:$Y$49</c:f>
              <c:numCache/>
            </c:numRef>
          </c:yVal>
        </c:ser>
        <c:dLbls>
          <c:showLegendKey val="0"/>
          <c:showVal val="0"/>
          <c:showCatName val="0"/>
          <c:showSerName val="0"/>
          <c:showPercent val="0"/>
          <c:showBubbleSize val="0"/>
        </c:dLbls>
        <c:axId val="1186896280"/>
        <c:axId val="926947037"/>
      </c:scatterChart>
      <c:valAx>
        <c:axId val="1186896280"/>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926947037"/>
      </c:valAx>
      <c:valAx>
        <c:axId val="926947037"/>
        <c:scaling>
          <c:orientation val="minMax"/>
        </c:scaling>
        <c:delete val="0"/>
        <c:axPos val="l"/>
        <c:majorGridlines>
          <c:spPr>
            <a:ln>
              <a:solidFill>
                <a:srgbClr val="80808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1186896280"/>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Military</a:t>
            </a:r>
          </a:p>
        </c:rich>
      </c:tx>
      <c:overlay val="0"/>
    </c:title>
    <c:plotArea>
      <c:layout/>
      <c:scatterChart>
        <c:scatterStyle val="lineMarker"/>
        <c:varyColors val="0"/>
        <c:ser>
          <c:idx val="0"/>
          <c:order val="0"/>
          <c:spPr>
            <a:ln>
              <a:noFill/>
            </a:ln>
          </c:spPr>
          <c:marker>
            <c:symbol val="circle"/>
            <c:size val="7"/>
            <c:spPr>
              <a:solidFill>
                <a:srgbClr val="3366FF"/>
              </a:solidFill>
              <a:ln cmpd="sng">
                <a:solidFill>
                  <a:srgbClr val="3366FF"/>
                </a:solidFill>
              </a:ln>
            </c:spPr>
          </c:marker>
          <c:xVal>
            <c:numRef>
              <c:f>'531 Progress Tracker'!$W$11:$W$49</c:f>
            </c:numRef>
          </c:xVal>
          <c:yVal>
            <c:numRef>
              <c:f>'531 Progress Tracker'!$X$11:$X$49</c:f>
              <c:numCache/>
            </c:numRef>
          </c:yVal>
        </c:ser>
        <c:dLbls>
          <c:showLegendKey val="0"/>
          <c:showVal val="0"/>
          <c:showCatName val="0"/>
          <c:showSerName val="0"/>
          <c:showPercent val="0"/>
          <c:showBubbleSize val="0"/>
        </c:dLbls>
        <c:axId val="1263604263"/>
        <c:axId val="2050232115"/>
      </c:scatterChart>
      <c:valAx>
        <c:axId val="1263604263"/>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2050232115"/>
      </c:valAx>
      <c:valAx>
        <c:axId val="2050232115"/>
        <c:scaling>
          <c:orientation val="minMax"/>
        </c:scaling>
        <c:delete val="0"/>
        <c:axPos val="l"/>
        <c:majorGridlines>
          <c:spPr>
            <a:ln>
              <a:solidFill>
                <a:srgbClr val="80808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1263604263"/>
      </c:valAx>
      <c:spPr>
        <a:solidFill>
          <a:srgbClr val="FFFFFF"/>
        </a:solidFill>
      </c:spPr>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Bench</a:t>
            </a:r>
          </a:p>
        </c:rich>
      </c:tx>
      <c:overlay val="0"/>
    </c:title>
    <c:plotArea>
      <c:layout/>
      <c:scatterChart>
        <c:scatterStyle val="lineMarker"/>
        <c:varyColors val="0"/>
        <c:ser>
          <c:idx val="0"/>
          <c:order val="0"/>
          <c:spPr>
            <a:ln>
              <a:noFill/>
            </a:ln>
          </c:spPr>
          <c:marker>
            <c:symbol val="circle"/>
            <c:size val="7"/>
            <c:spPr>
              <a:solidFill>
                <a:srgbClr val="006411"/>
              </a:solidFill>
              <a:ln cmpd="sng">
                <a:solidFill>
                  <a:srgbClr val="006411"/>
                </a:solidFill>
              </a:ln>
            </c:spPr>
          </c:marker>
          <c:xVal>
            <c:numRef>
              <c:f>'531 Progress Tracker'!$W$11:$W$49</c:f>
            </c:numRef>
          </c:xVal>
          <c:yVal>
            <c:numRef>
              <c:f>'531 Progress Tracker'!$Z$11:$Z$49</c:f>
              <c:numCache/>
            </c:numRef>
          </c:yVal>
        </c:ser>
        <c:dLbls>
          <c:showLegendKey val="0"/>
          <c:showVal val="0"/>
          <c:showCatName val="0"/>
          <c:showSerName val="0"/>
          <c:showPercent val="0"/>
          <c:showBubbleSize val="0"/>
        </c:dLbls>
        <c:axId val="9184074"/>
        <c:axId val="1733170682"/>
      </c:scatterChart>
      <c:valAx>
        <c:axId val="9184074"/>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1733170682"/>
      </c:valAx>
      <c:valAx>
        <c:axId val="1733170682"/>
        <c:scaling>
          <c:orientation val="minMax"/>
        </c:scaling>
        <c:delete val="0"/>
        <c:axPos val="l"/>
        <c:majorGridlines>
          <c:spPr>
            <a:ln>
              <a:solidFill>
                <a:srgbClr val="80808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9184074"/>
      </c:valAx>
      <c:spPr>
        <a:solidFill>
          <a:srgbClr val="FFFFFF"/>
        </a:solidFill>
      </c:spPr>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Squat</a:t>
            </a:r>
          </a:p>
        </c:rich>
      </c:tx>
      <c:overlay val="0"/>
    </c:title>
    <c:plotArea>
      <c:layout/>
      <c:scatterChart>
        <c:scatterStyle val="lineMarker"/>
        <c:varyColors val="0"/>
        <c:ser>
          <c:idx val="0"/>
          <c:order val="0"/>
          <c:spPr>
            <a:ln>
              <a:noFill/>
            </a:ln>
          </c:spPr>
          <c:marker>
            <c:symbol val="circle"/>
            <c:size val="7"/>
            <c:spPr>
              <a:solidFill>
                <a:srgbClr val="FF8080"/>
              </a:solidFill>
              <a:ln cmpd="sng">
                <a:solidFill>
                  <a:srgbClr val="FF8080"/>
                </a:solidFill>
              </a:ln>
            </c:spPr>
          </c:marker>
          <c:xVal>
            <c:numRef>
              <c:f>'531 Progress Tracker'!$W$11:$W$49</c:f>
            </c:numRef>
          </c:xVal>
          <c:yVal>
            <c:numRef>
              <c:f>'531 Progress Tracker'!$AA$11:$AA$49</c:f>
              <c:numCache/>
            </c:numRef>
          </c:yVal>
        </c:ser>
        <c:dLbls>
          <c:showLegendKey val="0"/>
          <c:showVal val="0"/>
          <c:showCatName val="0"/>
          <c:showSerName val="0"/>
          <c:showPercent val="0"/>
          <c:showBubbleSize val="0"/>
        </c:dLbls>
        <c:axId val="507494117"/>
        <c:axId val="282265365"/>
      </c:scatterChart>
      <c:valAx>
        <c:axId val="507494117"/>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282265365"/>
      </c:valAx>
      <c:valAx>
        <c:axId val="282265365"/>
        <c:scaling>
          <c:orientation val="minMax"/>
        </c:scaling>
        <c:delete val="0"/>
        <c:axPos val="l"/>
        <c:majorGridlines>
          <c:spPr>
            <a:ln>
              <a:solidFill>
                <a:srgbClr val="80808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507494117"/>
      </c:valAx>
      <c:spPr>
        <a:solidFill>
          <a:srgbClr val="FFFFFF"/>
        </a:solidFill>
      </c:spPr>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Deadlift</a:t>
            </a:r>
          </a:p>
        </c:rich>
      </c:tx>
      <c:overlay val="0"/>
    </c:title>
    <c:plotArea>
      <c:layout/>
      <c:scatterChart>
        <c:scatterStyle val="lineMarker"/>
        <c:varyColors val="0"/>
        <c:dLbls>
          <c:showLegendKey val="0"/>
          <c:showVal val="0"/>
          <c:showCatName val="0"/>
          <c:showSerName val="0"/>
          <c:showPercent val="0"/>
          <c:showBubbleSize val="0"/>
        </c:dLbls>
        <c:axId val="1259428306"/>
        <c:axId val="2132266513"/>
      </c:scatterChart>
      <c:valAx>
        <c:axId val="1259428306"/>
        <c:scaling>
          <c:orientation val="minMax"/>
        </c:scaling>
        <c:delete val="0"/>
        <c:axPos val="b"/>
        <c:tickLblPos val="nextTo"/>
        <c:spPr>
          <a:ln>
            <a:noFill/>
          </a:ln>
        </c:spPr>
        <c:crossAx val="2132266513"/>
      </c:valAx>
      <c:valAx>
        <c:axId val="2132266513"/>
        <c:scaling>
          <c:orientation val="minMax"/>
        </c:scaling>
        <c:delete val="0"/>
        <c:axPos val="l"/>
        <c:tickLblPos val="nextTo"/>
        <c:spPr>
          <a:ln>
            <a:noFill/>
          </a:ln>
        </c:spPr>
        <c:crossAx val="1259428306"/>
      </c:valAx>
      <c:spPr>
        <a:solidFill>
          <a:srgbClr val="FFFFFF"/>
        </a:solidFill>
      </c:spPr>
    </c:plotArea>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Military</a:t>
            </a:r>
          </a:p>
        </c:rich>
      </c:tx>
      <c:overlay val="0"/>
    </c:title>
    <c:plotArea>
      <c:layout/>
      <c:scatterChart>
        <c:scatterStyle val="lineMarker"/>
        <c:varyColors val="0"/>
        <c:dLbls>
          <c:showLegendKey val="0"/>
          <c:showVal val="0"/>
          <c:showCatName val="0"/>
          <c:showSerName val="0"/>
          <c:showPercent val="0"/>
          <c:showBubbleSize val="0"/>
        </c:dLbls>
        <c:axId val="1809271177"/>
        <c:axId val="917469610"/>
      </c:scatterChart>
      <c:valAx>
        <c:axId val="1809271177"/>
        <c:scaling>
          <c:orientation val="minMax"/>
        </c:scaling>
        <c:delete val="0"/>
        <c:axPos val="b"/>
        <c:tickLblPos val="nextTo"/>
        <c:spPr>
          <a:ln>
            <a:noFill/>
          </a:ln>
        </c:spPr>
        <c:crossAx val="917469610"/>
      </c:valAx>
      <c:valAx>
        <c:axId val="917469610"/>
        <c:scaling>
          <c:orientation val="minMax"/>
        </c:scaling>
        <c:delete val="0"/>
        <c:axPos val="l"/>
        <c:tickLblPos val="nextTo"/>
        <c:spPr>
          <a:ln>
            <a:noFill/>
          </a:ln>
        </c:spPr>
        <c:crossAx val="1809271177"/>
      </c:valAx>
      <c:spPr>
        <a:solidFill>
          <a:srgbClr val="FFFFFF"/>
        </a:solidFill>
      </c:spPr>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Bench</a:t>
            </a:r>
          </a:p>
        </c:rich>
      </c:tx>
      <c:overlay val="0"/>
    </c:title>
    <c:plotArea>
      <c:layout/>
      <c:scatterChart>
        <c:scatterStyle val="lineMarker"/>
        <c:varyColors val="0"/>
        <c:dLbls>
          <c:showLegendKey val="0"/>
          <c:showVal val="0"/>
          <c:showCatName val="0"/>
          <c:showSerName val="0"/>
          <c:showPercent val="0"/>
          <c:showBubbleSize val="0"/>
        </c:dLbls>
        <c:axId val="160197946"/>
        <c:axId val="1176068439"/>
      </c:scatterChart>
      <c:valAx>
        <c:axId val="160197946"/>
        <c:scaling>
          <c:orientation val="minMax"/>
        </c:scaling>
        <c:delete val="0"/>
        <c:axPos val="b"/>
        <c:tickLblPos val="nextTo"/>
        <c:spPr>
          <a:ln>
            <a:noFill/>
          </a:ln>
        </c:spPr>
        <c:crossAx val="1176068439"/>
      </c:valAx>
      <c:valAx>
        <c:axId val="1176068439"/>
        <c:scaling>
          <c:orientation val="minMax"/>
        </c:scaling>
        <c:delete val="0"/>
        <c:axPos val="l"/>
        <c:tickLblPos val="nextTo"/>
        <c:spPr>
          <a:ln>
            <a:noFill/>
          </a:ln>
        </c:spPr>
        <c:crossAx val="160197946"/>
      </c:valAx>
      <c:spPr>
        <a:solidFill>
          <a:srgbClr val="FFFFFF"/>
        </a:solidFill>
      </c:spPr>
    </c:plotArea>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Squat</a:t>
            </a:r>
          </a:p>
        </c:rich>
      </c:tx>
      <c:overlay val="0"/>
    </c:title>
    <c:plotArea>
      <c:layout/>
      <c:scatterChart>
        <c:scatterStyle val="lineMarker"/>
        <c:varyColors val="0"/>
        <c:dLbls>
          <c:showLegendKey val="0"/>
          <c:showVal val="0"/>
          <c:showCatName val="0"/>
          <c:showSerName val="0"/>
          <c:showPercent val="0"/>
          <c:showBubbleSize val="0"/>
        </c:dLbls>
        <c:axId val="127546417"/>
        <c:axId val="1157460618"/>
      </c:scatterChart>
      <c:valAx>
        <c:axId val="127546417"/>
        <c:scaling>
          <c:orientation val="minMax"/>
        </c:scaling>
        <c:delete val="0"/>
        <c:axPos val="b"/>
        <c:tickLblPos val="nextTo"/>
        <c:spPr>
          <a:ln>
            <a:noFill/>
          </a:ln>
        </c:spPr>
        <c:crossAx val="1157460618"/>
      </c:valAx>
      <c:valAx>
        <c:axId val="1157460618"/>
        <c:scaling>
          <c:orientation val="minMax"/>
        </c:scaling>
        <c:delete val="0"/>
        <c:axPos val="l"/>
        <c:tickLblPos val="nextTo"/>
        <c:spPr>
          <a:ln>
            <a:noFill/>
          </a:ln>
        </c:spPr>
        <c:crossAx val="127546417"/>
      </c:valAx>
      <c:spPr>
        <a:solidFill>
          <a:srgbClr val="FFFFFF"/>
        </a:solidFill>
      </c:spPr>
    </c:plotArea>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2.jpg"/><Relationship Id="rId3" Type="http://schemas.openxmlformats.org/officeDocument/2006/relationships/image" Target="../media/image5.jpg"/><Relationship Id="rId4" Type="http://schemas.openxmlformats.org/officeDocument/2006/relationships/image" Target="../media/image3.jpg"/><Relationship Id="rId5" Type="http://schemas.openxmlformats.org/officeDocument/2006/relationships/image" Target="../media/image4.jpg"/></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85725</xdr:rowOff>
    </xdr:from>
    <xdr:ext cx="8439150" cy="31242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8</xdr:row>
      <xdr:rowOff>0</xdr:rowOff>
    </xdr:from>
    <xdr:ext cx="5800725" cy="339090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8</xdr:row>
      <xdr:rowOff>0</xdr:rowOff>
    </xdr:from>
    <xdr:ext cx="5695950" cy="3390900"/>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29</xdr:row>
      <xdr:rowOff>0</xdr:rowOff>
    </xdr:from>
    <xdr:ext cx="5695950" cy="3400425"/>
    <xdr:graphicFrame>
      <xdr:nvGraphicFramePr>
        <xdr:cNvPr descr="Chart 2"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390525</xdr:colOff>
      <xdr:row>28</xdr:row>
      <xdr:rowOff>114300</xdr:rowOff>
    </xdr:from>
    <xdr:ext cx="5800725" cy="3400425"/>
    <xdr:graphicFrame>
      <xdr:nvGraphicFramePr>
        <xdr:cNvPr descr="Chart 3"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0</xdr:row>
      <xdr:rowOff>0</xdr:rowOff>
    </xdr:from>
    <xdr:ext cx="3114675" cy="5705475"/>
    <xdr:pic>
      <xdr:nvPicPr>
        <xdr:cNvPr id="0" name="image6.jp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19050</xdr:rowOff>
    </xdr:from>
    <xdr:ext cx="3028950" cy="5553075"/>
    <xdr:pic>
      <xdr:nvPicPr>
        <xdr:cNvPr id="0" name="image2.jp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xdr:colOff>
      <xdr:row>29</xdr:row>
      <xdr:rowOff>85725</xdr:rowOff>
    </xdr:from>
    <xdr:ext cx="2981325" cy="5457825"/>
    <xdr:pic>
      <xdr:nvPicPr>
        <xdr:cNvPr id="0" name="image5.jp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29</xdr:row>
      <xdr:rowOff>104775</xdr:rowOff>
    </xdr:from>
    <xdr:ext cx="2990850" cy="5476875"/>
    <xdr:pic>
      <xdr:nvPicPr>
        <xdr:cNvPr id="0" name="image3.jp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942975</xdr:colOff>
      <xdr:row>0</xdr:row>
      <xdr:rowOff>0</xdr:rowOff>
    </xdr:from>
    <xdr:ext cx="3086100" cy="5648325"/>
    <xdr:pic>
      <xdr:nvPicPr>
        <xdr:cNvPr id="0" name="image4.jpg" title="Bild"/>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7</xdr:row>
      <xdr:rowOff>0</xdr:rowOff>
    </xdr:from>
    <xdr:ext cx="5838825" cy="34004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xdr:row>
      <xdr:rowOff>0</xdr:rowOff>
    </xdr:from>
    <xdr:ext cx="5695950" cy="3400425"/>
    <xdr:graphicFrame>
      <xdr:nvGraphicFramePr>
        <xdr:cNvPr descr="Chart 1" id="6" name="Chart 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28</xdr:row>
      <xdr:rowOff>0</xdr:rowOff>
    </xdr:from>
    <xdr:ext cx="5695950" cy="3381375"/>
    <xdr:graphicFrame>
      <xdr:nvGraphicFramePr>
        <xdr:cNvPr descr="Chart 2" id="7" name="Chart 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381000</xdr:colOff>
      <xdr:row>28</xdr:row>
      <xdr:rowOff>0</xdr:rowOff>
    </xdr:from>
    <xdr:ext cx="5800725" cy="3381375"/>
    <xdr:graphicFrame>
      <xdr:nvGraphicFramePr>
        <xdr:cNvPr descr="Chart 3" id="8" name="Chart 8"/>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OMg8GlND-V4" TargetMode="External"/><Relationship Id="rId2" Type="http://schemas.openxmlformats.org/officeDocument/2006/relationships/hyperlink" Target="https://www.bodybuilding.com/exercises/lying-rear-delt-raise" TargetMode="External"/><Relationship Id="rId3" Type="http://schemas.openxmlformats.org/officeDocument/2006/relationships/hyperlink" Target="https://www.youtube.com/watch?time_continue=70&amp;v=Zp26q4BY5HE&amp;feature=emb_title" TargetMode="External"/><Relationship Id="rId4" Type="http://schemas.openxmlformats.org/officeDocument/2006/relationships/hyperlink" Target="https://www.youtube.com/watch?v=He-GN_4MAY4&amp;feature=youtu.be"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6" width="7.75"/>
    <col customWidth="1" min="7" max="7" width="8.88"/>
    <col customWidth="1" min="8" max="9" width="7.75"/>
    <col customWidth="1" min="10" max="10" width="9.75"/>
    <col customWidth="1" min="11" max="16" width="7.75"/>
  </cols>
  <sheetData>
    <row r="1" ht="26.25" customHeight="1">
      <c r="A1" s="1"/>
      <c r="B1" s="1"/>
      <c r="C1" s="1"/>
      <c r="D1" s="1"/>
      <c r="E1" s="1"/>
      <c r="F1" s="1"/>
      <c r="G1" s="2" t="s">
        <v>0</v>
      </c>
      <c r="H1" s="1"/>
      <c r="I1" s="1"/>
      <c r="J1" s="1"/>
      <c r="K1" s="3" t="s">
        <v>1</v>
      </c>
      <c r="L1" s="1"/>
      <c r="M1" s="1"/>
      <c r="N1" s="3" t="s">
        <v>2</v>
      </c>
      <c r="O1" s="3"/>
      <c r="P1" s="1"/>
    </row>
    <row r="2" ht="12.75" customHeight="1">
      <c r="A2" s="4" t="s">
        <v>3</v>
      </c>
      <c r="B2" s="5"/>
      <c r="C2" s="5"/>
      <c r="D2" s="5"/>
      <c r="E2" s="5"/>
      <c r="F2" s="5"/>
      <c r="G2" s="5"/>
      <c r="H2" s="5"/>
      <c r="I2" s="5"/>
      <c r="J2" s="5"/>
      <c r="K2" s="5"/>
      <c r="L2" s="5"/>
      <c r="M2" s="5"/>
      <c r="N2" s="5"/>
      <c r="O2" s="5"/>
      <c r="P2" s="6"/>
    </row>
    <row r="3" ht="10.5" customHeight="1">
      <c r="A3" s="7"/>
      <c r="B3" s="7"/>
      <c r="C3" s="7"/>
      <c r="D3" s="7"/>
      <c r="E3" s="7"/>
      <c r="F3" s="7"/>
      <c r="G3" s="7"/>
      <c r="H3" s="7"/>
      <c r="I3" s="7"/>
      <c r="J3" s="7"/>
      <c r="K3" s="7"/>
      <c r="L3" s="7"/>
      <c r="M3" s="7"/>
      <c r="N3" s="7"/>
      <c r="O3" s="7"/>
      <c r="P3" s="7"/>
    </row>
    <row r="4" ht="13.5" customHeight="1">
      <c r="A4" s="8" t="s">
        <v>4</v>
      </c>
    </row>
    <row r="5" ht="51.75" customHeight="1">
      <c r="A5" s="9" t="s">
        <v>5</v>
      </c>
    </row>
    <row r="6" ht="11.25" customHeight="1">
      <c r="A6" s="7"/>
      <c r="B6" s="7"/>
      <c r="C6" s="7"/>
      <c r="D6" s="7"/>
      <c r="E6" s="7"/>
      <c r="F6" s="7"/>
      <c r="G6" s="7"/>
      <c r="H6" s="7"/>
      <c r="I6" s="7"/>
      <c r="J6" s="7"/>
      <c r="K6" s="7"/>
      <c r="L6" s="7"/>
      <c r="M6" s="7"/>
      <c r="N6" s="7"/>
      <c r="O6" s="7"/>
      <c r="P6" s="7"/>
    </row>
    <row r="7" ht="17.25" customHeight="1">
      <c r="A7" s="8" t="s">
        <v>6</v>
      </c>
    </row>
    <row r="8" ht="45.0" customHeight="1">
      <c r="A8" s="9" t="s">
        <v>7</v>
      </c>
    </row>
    <row r="9" ht="76.5" customHeight="1">
      <c r="A9" s="9" t="s">
        <v>8</v>
      </c>
    </row>
    <row r="10" ht="13.5" customHeight="1">
      <c r="A10" s="10" t="s">
        <v>9</v>
      </c>
    </row>
    <row r="11" ht="12.0" customHeight="1">
      <c r="A11" s="7"/>
      <c r="B11" s="7"/>
      <c r="C11" s="7"/>
      <c r="D11" s="7"/>
      <c r="E11" s="7"/>
      <c r="F11" s="7"/>
      <c r="G11" s="7"/>
      <c r="H11" s="7"/>
      <c r="I11" s="7"/>
      <c r="J11" s="7"/>
      <c r="K11" s="7"/>
      <c r="L11" s="7"/>
      <c r="M11" s="7"/>
      <c r="N11" s="7"/>
      <c r="O11" s="7"/>
      <c r="P11" s="7"/>
    </row>
    <row r="12" ht="13.5" customHeight="1">
      <c r="A12" s="11" t="s">
        <v>10</v>
      </c>
    </row>
    <row r="13" ht="92.25" customHeight="1">
      <c r="A13" s="12" t="s">
        <v>11</v>
      </c>
    </row>
    <row r="14" ht="7.5" customHeight="1">
      <c r="A14" s="7"/>
      <c r="B14" s="7"/>
      <c r="C14" s="7"/>
      <c r="D14" s="7"/>
      <c r="E14" s="7"/>
      <c r="F14" s="7"/>
      <c r="G14" s="7"/>
      <c r="H14" s="7"/>
      <c r="I14" s="7"/>
      <c r="J14" s="7"/>
      <c r="K14" s="7"/>
      <c r="L14" s="7"/>
      <c r="M14" s="7"/>
      <c r="N14" s="7"/>
      <c r="O14" s="7"/>
      <c r="P14" s="7"/>
    </row>
    <row r="15" ht="92.25" customHeight="1">
      <c r="A15" s="12" t="s">
        <v>12</v>
      </c>
    </row>
    <row r="16" ht="6.75" customHeight="1">
      <c r="A16" s="7"/>
      <c r="B16" s="7"/>
      <c r="C16" s="7"/>
      <c r="D16" s="7"/>
      <c r="E16" s="7"/>
      <c r="F16" s="7"/>
      <c r="G16" s="7"/>
      <c r="H16" s="7"/>
      <c r="I16" s="7"/>
      <c r="J16" s="7"/>
      <c r="K16" s="7"/>
      <c r="L16" s="7"/>
      <c r="M16" s="7"/>
      <c r="N16" s="7"/>
      <c r="O16" s="7"/>
      <c r="P16" s="7"/>
    </row>
    <row r="17" ht="12.75" customHeight="1">
      <c r="A17" s="10" t="s">
        <v>13</v>
      </c>
    </row>
    <row r="18" ht="6.0" customHeight="1">
      <c r="A18" s="7"/>
      <c r="B18" s="7"/>
      <c r="C18" s="7"/>
      <c r="D18" s="7"/>
      <c r="E18" s="7"/>
      <c r="F18" s="7"/>
      <c r="G18" s="7"/>
      <c r="H18" s="7"/>
      <c r="I18" s="7"/>
      <c r="J18" s="7"/>
      <c r="K18" s="7"/>
      <c r="L18" s="7"/>
      <c r="M18" s="7"/>
      <c r="N18" s="7"/>
      <c r="O18" s="7"/>
      <c r="P18" s="7"/>
    </row>
    <row r="19" ht="41.25" customHeight="1">
      <c r="A19" s="13" t="s">
        <v>14</v>
      </c>
    </row>
    <row r="20" ht="12.75" customHeight="1">
      <c r="A20" s="14" t="s">
        <v>15</v>
      </c>
      <c r="B20" s="7"/>
      <c r="C20" s="7"/>
      <c r="D20" s="7"/>
      <c r="E20" s="7"/>
      <c r="F20" s="7"/>
      <c r="G20" s="7"/>
      <c r="H20" s="7"/>
      <c r="I20" s="7"/>
      <c r="J20" s="7"/>
      <c r="K20" s="7"/>
      <c r="L20" s="7"/>
      <c r="M20" s="7"/>
      <c r="N20" s="7"/>
      <c r="O20" s="7"/>
      <c r="P20" s="7"/>
    </row>
    <row r="21" ht="12.75" customHeight="1">
      <c r="A21" s="7"/>
      <c r="B21" s="7"/>
      <c r="C21" s="7"/>
      <c r="D21" s="7"/>
      <c r="E21" s="7"/>
      <c r="F21" s="7"/>
      <c r="G21" s="7"/>
      <c r="H21" s="7"/>
      <c r="I21" s="7"/>
      <c r="J21" s="7"/>
      <c r="K21" s="7"/>
      <c r="L21" s="7"/>
      <c r="M21" s="7"/>
      <c r="N21" s="7"/>
      <c r="O21" s="7"/>
      <c r="P21" s="7"/>
    </row>
    <row r="22">
      <c r="A22" s="15" t="s">
        <v>16</v>
      </c>
    </row>
    <row r="23" ht="40.5" customHeight="1">
      <c r="A23" s="12" t="s">
        <v>17</v>
      </c>
    </row>
    <row r="24" ht="8.25" customHeight="1">
      <c r="A24" s="7"/>
      <c r="B24" s="7"/>
      <c r="C24" s="7"/>
      <c r="D24" s="7"/>
      <c r="E24" s="7"/>
      <c r="F24" s="7"/>
      <c r="G24" s="7"/>
      <c r="H24" s="7"/>
      <c r="I24" s="7"/>
      <c r="J24" s="7"/>
      <c r="K24" s="7"/>
      <c r="L24" s="7"/>
      <c r="M24" s="7"/>
      <c r="N24" s="7"/>
      <c r="O24" s="7"/>
      <c r="P24" s="7"/>
    </row>
    <row r="25" ht="51.0" customHeight="1">
      <c r="A25" s="12" t="s">
        <v>18</v>
      </c>
    </row>
    <row r="26" ht="18.0" customHeight="1">
      <c r="A26" s="16" t="s">
        <v>19</v>
      </c>
    </row>
    <row r="27" ht="42.0" customHeight="1">
      <c r="A27" s="12" t="s">
        <v>20</v>
      </c>
    </row>
    <row r="28" ht="12.75" customHeight="1">
      <c r="A28" s="7"/>
      <c r="B28" s="7"/>
      <c r="C28" s="7"/>
      <c r="D28" s="7"/>
      <c r="E28" s="7"/>
      <c r="F28" s="7"/>
      <c r="G28" s="7"/>
      <c r="H28" s="7"/>
      <c r="I28" s="7"/>
      <c r="J28" s="7"/>
      <c r="K28" s="7"/>
      <c r="L28" s="7"/>
      <c r="M28" s="7"/>
      <c r="N28" s="7"/>
      <c r="O28" s="7"/>
      <c r="P28" s="7"/>
    </row>
    <row r="29">
      <c r="A29" s="15" t="s">
        <v>21</v>
      </c>
    </row>
    <row r="30" ht="28.5" customHeight="1">
      <c r="A30" s="9" t="s">
        <v>22</v>
      </c>
    </row>
    <row r="31" ht="12.75" customHeight="1">
      <c r="A31" s="7"/>
      <c r="B31" s="7"/>
      <c r="C31" s="17" t="str">
        <f>HYPERLINK("http://store.jimwendler.com/SearchResults.asp?Cat=1477","Buy 5/3/1")</f>
        <v>Buy 5/3/1</v>
      </c>
      <c r="D31" s="7"/>
      <c r="E31" s="7"/>
      <c r="F31" s="7"/>
      <c r="G31" s="7"/>
      <c r="H31" s="7"/>
      <c r="I31" s="7"/>
      <c r="J31" s="7"/>
      <c r="K31" s="7"/>
      <c r="L31" s="7"/>
      <c r="M31" s="7"/>
      <c r="N31" s="7"/>
      <c r="O31" s="7"/>
      <c r="P31" s="7"/>
    </row>
    <row r="32" ht="29.25" customHeight="1">
      <c r="A32" s="9" t="s">
        <v>23</v>
      </c>
    </row>
    <row r="33" ht="12.75" customHeight="1">
      <c r="A33" s="7"/>
      <c r="B33" s="7"/>
      <c r="C33" s="7"/>
      <c r="D33" s="7"/>
      <c r="E33" s="7"/>
      <c r="F33" s="7"/>
      <c r="G33" s="7"/>
      <c r="H33" s="7"/>
      <c r="I33" s="7"/>
      <c r="J33" s="7"/>
      <c r="K33" s="7"/>
      <c r="L33" s="7"/>
      <c r="M33" s="7"/>
      <c r="N33" s="7"/>
      <c r="O33" s="7"/>
      <c r="P33" s="7"/>
    </row>
    <row r="34" ht="12.75" customHeight="1">
      <c r="A34" s="7" t="s">
        <v>24</v>
      </c>
      <c r="B34" s="7"/>
      <c r="C34" s="7"/>
      <c r="D34" s="7"/>
      <c r="E34" s="7"/>
      <c r="F34" s="7"/>
      <c r="G34" s="7"/>
      <c r="H34" s="7"/>
      <c r="I34" s="7"/>
      <c r="J34" s="7"/>
      <c r="K34" s="7"/>
      <c r="L34" s="7"/>
      <c r="M34" s="7"/>
      <c r="N34" s="7"/>
      <c r="O34" s="7"/>
      <c r="P34" s="7"/>
    </row>
    <row r="35" ht="12.75" customHeight="1">
      <c r="A35" s="7"/>
      <c r="B35" s="7"/>
      <c r="C35" s="7"/>
      <c r="D35" s="7"/>
      <c r="E35" s="7"/>
      <c r="F35" s="7"/>
      <c r="G35" s="7"/>
      <c r="H35" s="7"/>
      <c r="I35" s="7"/>
      <c r="J35" s="7"/>
      <c r="K35" s="7"/>
      <c r="L35" s="7"/>
      <c r="M35" s="7"/>
      <c r="N35" s="7"/>
      <c r="O35" s="7"/>
      <c r="P35" s="7"/>
    </row>
    <row r="36">
      <c r="A36" s="18"/>
      <c r="B36" s="18"/>
      <c r="C36" s="18"/>
      <c r="D36" s="18"/>
      <c r="E36" s="18"/>
      <c r="F36" s="18"/>
      <c r="G36" s="18"/>
      <c r="H36" s="18"/>
      <c r="I36" s="18"/>
      <c r="J36" s="18"/>
      <c r="K36" s="18"/>
      <c r="L36" s="18"/>
      <c r="M36" s="18"/>
      <c r="N36" s="18"/>
      <c r="O36" s="18"/>
      <c r="P36" s="18"/>
    </row>
    <row r="37">
      <c r="A37" s="18"/>
      <c r="B37" s="18"/>
      <c r="C37" s="18"/>
      <c r="D37" s="18"/>
      <c r="E37" s="18"/>
      <c r="F37" s="18"/>
      <c r="G37" s="18"/>
      <c r="H37" s="18"/>
      <c r="I37" s="18"/>
      <c r="J37" s="18"/>
      <c r="K37" s="18"/>
      <c r="L37" s="18"/>
      <c r="M37" s="18"/>
      <c r="N37" s="18"/>
      <c r="O37" s="18"/>
      <c r="P37" s="18"/>
    </row>
    <row r="38">
      <c r="A38" s="19"/>
      <c r="B38" s="19"/>
      <c r="C38" s="19"/>
      <c r="D38" s="19"/>
      <c r="E38" s="19"/>
      <c r="F38" s="19"/>
      <c r="G38" s="19"/>
      <c r="H38" s="19"/>
      <c r="I38" s="19"/>
      <c r="J38" s="19"/>
      <c r="K38" s="19"/>
      <c r="L38" s="19"/>
      <c r="M38" s="19"/>
      <c r="N38" s="19"/>
      <c r="O38" s="19"/>
      <c r="P38" s="19"/>
    </row>
    <row r="39">
      <c r="A39" s="19"/>
      <c r="B39" s="19"/>
      <c r="C39" s="19"/>
      <c r="D39" s="19"/>
      <c r="E39" s="19"/>
      <c r="F39" s="19"/>
      <c r="G39" s="19"/>
      <c r="H39" s="19"/>
      <c r="I39" s="19"/>
      <c r="J39" s="19"/>
      <c r="K39" s="19"/>
      <c r="L39" s="19"/>
      <c r="M39" s="19"/>
      <c r="N39" s="19"/>
      <c r="O39" s="19"/>
      <c r="P39" s="19"/>
    </row>
    <row r="40">
      <c r="A40" s="19"/>
      <c r="B40" s="19"/>
      <c r="C40" s="19"/>
      <c r="D40" s="19"/>
      <c r="E40" s="19"/>
      <c r="F40" s="19"/>
      <c r="G40" s="19"/>
      <c r="H40" s="19"/>
      <c r="I40" s="19"/>
      <c r="J40" s="19"/>
      <c r="K40" s="19"/>
      <c r="L40" s="19"/>
      <c r="M40" s="19"/>
      <c r="N40" s="19"/>
      <c r="O40" s="19"/>
      <c r="P40" s="19"/>
    </row>
    <row r="41">
      <c r="A41" s="19"/>
      <c r="B41" s="19"/>
      <c r="C41" s="19"/>
      <c r="D41" s="19"/>
      <c r="E41" s="19"/>
      <c r="F41" s="19"/>
      <c r="G41" s="19"/>
      <c r="H41" s="19"/>
      <c r="I41" s="19"/>
      <c r="J41" s="19"/>
      <c r="K41" s="19"/>
      <c r="L41" s="19"/>
      <c r="M41" s="19"/>
      <c r="N41" s="19"/>
      <c r="O41" s="19"/>
      <c r="P41" s="19"/>
    </row>
    <row r="42">
      <c r="A42" s="19"/>
      <c r="B42" s="19"/>
      <c r="C42" s="19"/>
      <c r="D42" s="19"/>
      <c r="E42" s="19"/>
      <c r="F42" s="19"/>
      <c r="G42" s="19"/>
      <c r="H42" s="19"/>
      <c r="I42" s="19"/>
      <c r="J42" s="19"/>
      <c r="K42" s="19"/>
      <c r="L42" s="19"/>
      <c r="M42" s="19"/>
      <c r="N42" s="19"/>
      <c r="O42" s="19"/>
      <c r="P42" s="19"/>
    </row>
    <row r="43">
      <c r="A43" s="19"/>
      <c r="B43" s="19"/>
      <c r="C43" s="19"/>
      <c r="D43" s="19"/>
      <c r="E43" s="19"/>
      <c r="F43" s="19"/>
      <c r="G43" s="19"/>
      <c r="H43" s="19"/>
      <c r="I43" s="19"/>
      <c r="J43" s="19"/>
      <c r="K43" s="19"/>
      <c r="L43" s="19"/>
      <c r="M43" s="19"/>
      <c r="N43" s="19"/>
      <c r="O43" s="19"/>
      <c r="P43" s="19"/>
    </row>
    <row r="44">
      <c r="A44" s="19"/>
      <c r="B44" s="19"/>
      <c r="C44" s="19"/>
      <c r="D44" s="19"/>
      <c r="E44" s="19"/>
      <c r="F44" s="19"/>
      <c r="G44" s="19"/>
      <c r="H44" s="19"/>
      <c r="I44" s="19"/>
      <c r="J44" s="19"/>
      <c r="K44" s="19"/>
      <c r="L44" s="19"/>
      <c r="M44" s="19"/>
      <c r="N44" s="19"/>
      <c r="O44" s="19"/>
      <c r="P44" s="19"/>
    </row>
    <row r="45">
      <c r="A45" s="19"/>
      <c r="B45" s="19"/>
      <c r="C45" s="19"/>
      <c r="D45" s="19"/>
      <c r="E45" s="19"/>
      <c r="F45" s="19"/>
      <c r="G45" s="19"/>
      <c r="H45" s="19"/>
      <c r="I45" s="19"/>
      <c r="J45" s="19"/>
      <c r="K45" s="19"/>
      <c r="L45" s="19"/>
      <c r="M45" s="19"/>
      <c r="N45" s="19"/>
      <c r="O45" s="19"/>
      <c r="P45" s="19"/>
    </row>
    <row r="46">
      <c r="A46" s="19"/>
      <c r="B46" s="19"/>
      <c r="C46" s="19"/>
      <c r="D46" s="19"/>
      <c r="E46" s="19"/>
      <c r="F46" s="19"/>
      <c r="G46" s="19"/>
      <c r="H46" s="19"/>
      <c r="I46" s="19"/>
      <c r="J46" s="19"/>
      <c r="K46" s="19"/>
      <c r="L46" s="19"/>
      <c r="M46" s="19"/>
      <c r="N46" s="19"/>
      <c r="O46" s="19"/>
      <c r="P46" s="19"/>
    </row>
    <row r="47">
      <c r="A47" s="19"/>
      <c r="B47" s="19"/>
      <c r="C47" s="19"/>
      <c r="D47" s="19"/>
      <c r="E47" s="19"/>
      <c r="F47" s="19"/>
      <c r="G47" s="19"/>
      <c r="H47" s="19"/>
      <c r="I47" s="19"/>
      <c r="J47" s="19"/>
      <c r="K47" s="19"/>
      <c r="L47" s="19"/>
      <c r="M47" s="19"/>
      <c r="N47" s="19"/>
      <c r="O47" s="19"/>
      <c r="P47" s="19"/>
    </row>
    <row r="48">
      <c r="A48" s="19"/>
      <c r="B48" s="19"/>
      <c r="C48" s="19"/>
      <c r="D48" s="19"/>
      <c r="E48" s="19"/>
      <c r="F48" s="19"/>
      <c r="G48" s="19"/>
      <c r="H48" s="19"/>
      <c r="I48" s="19"/>
      <c r="J48" s="19"/>
      <c r="K48" s="19"/>
      <c r="L48" s="19"/>
      <c r="M48" s="19"/>
      <c r="N48" s="19"/>
      <c r="O48" s="19"/>
      <c r="P48" s="19"/>
    </row>
    <row r="49">
      <c r="A49" s="19"/>
      <c r="B49" s="19"/>
      <c r="C49" s="19"/>
      <c r="D49" s="19"/>
      <c r="E49" s="19"/>
      <c r="F49" s="19"/>
      <c r="G49" s="19"/>
      <c r="H49" s="19"/>
      <c r="I49" s="19"/>
      <c r="J49" s="19"/>
      <c r="K49" s="19"/>
      <c r="L49" s="19"/>
      <c r="M49" s="19"/>
      <c r="N49" s="19"/>
      <c r="O49" s="19"/>
      <c r="P49" s="19"/>
    </row>
    <row r="50">
      <c r="A50" s="19"/>
      <c r="B50" s="19"/>
      <c r="C50" s="19"/>
      <c r="D50" s="19"/>
      <c r="E50" s="19"/>
      <c r="F50" s="19"/>
      <c r="G50" s="19"/>
      <c r="H50" s="19"/>
      <c r="I50" s="19"/>
      <c r="J50" s="19"/>
      <c r="K50" s="19"/>
      <c r="L50" s="19"/>
      <c r="M50" s="19"/>
      <c r="N50" s="19"/>
      <c r="O50" s="19"/>
      <c r="P50" s="19"/>
    </row>
    <row r="51">
      <c r="A51" s="19"/>
      <c r="B51" s="19"/>
      <c r="C51" s="19"/>
      <c r="D51" s="19"/>
      <c r="E51" s="19"/>
      <c r="F51" s="19"/>
      <c r="G51" s="19"/>
      <c r="H51" s="19"/>
      <c r="I51" s="19"/>
      <c r="J51" s="19"/>
      <c r="K51" s="19"/>
      <c r="L51" s="19"/>
      <c r="M51" s="19"/>
      <c r="N51" s="19"/>
      <c r="O51" s="19"/>
      <c r="P51" s="19"/>
    </row>
    <row r="52">
      <c r="A52" s="19"/>
      <c r="B52" s="19"/>
      <c r="C52" s="19"/>
      <c r="D52" s="19"/>
      <c r="E52" s="19"/>
      <c r="F52" s="19"/>
      <c r="G52" s="19"/>
      <c r="H52" s="19"/>
      <c r="I52" s="19"/>
      <c r="J52" s="19"/>
      <c r="K52" s="19"/>
      <c r="L52" s="19"/>
      <c r="M52" s="19"/>
      <c r="N52" s="19"/>
      <c r="O52" s="19"/>
      <c r="P52" s="19"/>
    </row>
    <row r="53">
      <c r="A53" s="19"/>
      <c r="B53" s="19"/>
      <c r="C53" s="19"/>
      <c r="D53" s="19"/>
      <c r="E53" s="19"/>
      <c r="F53" s="19"/>
      <c r="G53" s="19"/>
      <c r="H53" s="19"/>
      <c r="I53" s="19"/>
      <c r="J53" s="19"/>
      <c r="K53" s="19"/>
      <c r="L53" s="19"/>
      <c r="M53" s="19"/>
      <c r="N53" s="19"/>
      <c r="O53" s="19"/>
      <c r="P53" s="19"/>
    </row>
    <row r="54">
      <c r="A54" s="19"/>
      <c r="B54" s="19"/>
      <c r="C54" s="19"/>
      <c r="D54" s="19"/>
      <c r="E54" s="19"/>
      <c r="F54" s="19"/>
      <c r="G54" s="19"/>
      <c r="H54" s="19"/>
      <c r="I54" s="19"/>
      <c r="J54" s="19"/>
      <c r="K54" s="19"/>
      <c r="L54" s="19"/>
      <c r="M54" s="19"/>
      <c r="N54" s="19"/>
      <c r="O54" s="19"/>
      <c r="P54" s="19"/>
    </row>
    <row r="55">
      <c r="A55" s="19"/>
      <c r="B55" s="19"/>
      <c r="C55" s="19"/>
      <c r="D55" s="19"/>
      <c r="E55" s="19"/>
      <c r="F55" s="19"/>
      <c r="G55" s="19"/>
      <c r="H55" s="19"/>
      <c r="I55" s="19"/>
      <c r="J55" s="19"/>
      <c r="K55" s="19"/>
      <c r="L55" s="19"/>
      <c r="M55" s="19"/>
      <c r="N55" s="19"/>
      <c r="O55" s="19"/>
      <c r="P55" s="19"/>
    </row>
    <row r="56">
      <c r="A56" s="19"/>
      <c r="B56" s="19"/>
      <c r="C56" s="19"/>
      <c r="D56" s="19"/>
      <c r="E56" s="19"/>
      <c r="F56" s="19"/>
      <c r="G56" s="19"/>
      <c r="H56" s="19"/>
      <c r="I56" s="19"/>
      <c r="J56" s="19"/>
      <c r="K56" s="19"/>
      <c r="L56" s="19"/>
      <c r="M56" s="19"/>
      <c r="N56" s="19"/>
      <c r="O56" s="19"/>
      <c r="P56" s="19"/>
    </row>
    <row r="57">
      <c r="A57" s="19"/>
      <c r="B57" s="19"/>
      <c r="C57" s="19"/>
      <c r="D57" s="19"/>
      <c r="E57" s="19"/>
      <c r="F57" s="19"/>
      <c r="G57" s="19"/>
      <c r="H57" s="19"/>
      <c r="I57" s="19"/>
      <c r="J57" s="19"/>
      <c r="K57" s="19"/>
      <c r="L57" s="19"/>
      <c r="M57" s="19"/>
      <c r="N57" s="19"/>
      <c r="O57" s="19"/>
      <c r="P57" s="19"/>
    </row>
    <row r="58">
      <c r="A58" s="19"/>
      <c r="B58" s="19"/>
      <c r="C58" s="19"/>
      <c r="D58" s="19"/>
      <c r="E58" s="19"/>
      <c r="F58" s="19"/>
      <c r="G58" s="19"/>
      <c r="H58" s="19"/>
      <c r="I58" s="19"/>
      <c r="J58" s="19"/>
      <c r="K58" s="19"/>
      <c r="L58" s="19"/>
      <c r="M58" s="19"/>
      <c r="N58" s="19"/>
      <c r="O58" s="19"/>
      <c r="P58" s="19"/>
    </row>
    <row r="59">
      <c r="A59" s="19"/>
      <c r="B59" s="19"/>
      <c r="C59" s="19"/>
      <c r="D59" s="19"/>
      <c r="E59" s="19"/>
      <c r="F59" s="19"/>
      <c r="G59" s="19"/>
      <c r="H59" s="19"/>
      <c r="I59" s="19"/>
      <c r="J59" s="19"/>
      <c r="K59" s="19"/>
      <c r="L59" s="19"/>
      <c r="M59" s="19"/>
      <c r="N59" s="19"/>
      <c r="O59" s="19"/>
      <c r="P59" s="19"/>
    </row>
    <row r="60">
      <c r="A60" s="19"/>
      <c r="B60" s="19"/>
      <c r="C60" s="19"/>
      <c r="D60" s="19"/>
      <c r="E60" s="19"/>
      <c r="F60" s="19"/>
      <c r="G60" s="19"/>
      <c r="H60" s="19"/>
      <c r="I60" s="19"/>
      <c r="J60" s="19"/>
      <c r="K60" s="19"/>
      <c r="L60" s="19"/>
      <c r="M60" s="19"/>
      <c r="N60" s="19"/>
      <c r="O60" s="19"/>
      <c r="P60" s="19"/>
    </row>
    <row r="61">
      <c r="A61" s="19"/>
      <c r="B61" s="19"/>
      <c r="C61" s="19"/>
      <c r="D61" s="19"/>
      <c r="E61" s="19"/>
      <c r="F61" s="19"/>
      <c r="G61" s="19"/>
      <c r="H61" s="19"/>
      <c r="I61" s="19"/>
      <c r="J61" s="19"/>
      <c r="K61" s="19"/>
      <c r="L61" s="19"/>
      <c r="M61" s="19"/>
      <c r="N61" s="19"/>
      <c r="O61" s="19"/>
      <c r="P61" s="19"/>
    </row>
    <row r="62">
      <c r="A62" s="19"/>
      <c r="B62" s="19"/>
      <c r="C62" s="19"/>
      <c r="D62" s="19"/>
      <c r="E62" s="19"/>
      <c r="F62" s="19"/>
      <c r="G62" s="19"/>
      <c r="H62" s="19"/>
      <c r="I62" s="19"/>
      <c r="J62" s="19"/>
      <c r="K62" s="19"/>
      <c r="L62" s="19"/>
      <c r="M62" s="19"/>
      <c r="N62" s="19"/>
      <c r="O62" s="19"/>
      <c r="P62" s="19"/>
    </row>
    <row r="63">
      <c r="A63" s="19"/>
      <c r="B63" s="19"/>
      <c r="C63" s="19"/>
      <c r="D63" s="19"/>
      <c r="E63" s="19"/>
      <c r="F63" s="19"/>
      <c r="G63" s="19"/>
      <c r="H63" s="19"/>
      <c r="I63" s="19"/>
      <c r="J63" s="19"/>
      <c r="K63" s="19"/>
      <c r="L63" s="19"/>
      <c r="M63" s="19"/>
      <c r="N63" s="19"/>
      <c r="O63" s="19"/>
      <c r="P63" s="19"/>
    </row>
    <row r="64">
      <c r="A64" s="19"/>
      <c r="B64" s="19"/>
      <c r="C64" s="19"/>
      <c r="D64" s="19"/>
      <c r="E64" s="19"/>
      <c r="F64" s="19"/>
      <c r="G64" s="19"/>
      <c r="H64" s="19"/>
      <c r="I64" s="19"/>
      <c r="J64" s="19"/>
      <c r="K64" s="19"/>
      <c r="L64" s="19"/>
      <c r="M64" s="19"/>
      <c r="N64" s="19"/>
      <c r="O64" s="19"/>
      <c r="P64" s="19"/>
    </row>
    <row r="65">
      <c r="A65" s="19"/>
      <c r="B65" s="19"/>
      <c r="C65" s="19"/>
      <c r="D65" s="19"/>
      <c r="E65" s="19"/>
      <c r="F65" s="19"/>
      <c r="G65" s="19"/>
      <c r="H65" s="19"/>
      <c r="I65" s="19"/>
      <c r="J65" s="19"/>
      <c r="K65" s="19"/>
      <c r="L65" s="19"/>
      <c r="M65" s="19"/>
      <c r="N65" s="19"/>
      <c r="O65" s="19"/>
      <c r="P65" s="19"/>
    </row>
    <row r="66">
      <c r="A66" s="19"/>
      <c r="B66" s="19"/>
      <c r="C66" s="19"/>
      <c r="D66" s="19"/>
      <c r="E66" s="19"/>
      <c r="F66" s="19"/>
      <c r="G66" s="19"/>
      <c r="H66" s="19"/>
      <c r="I66" s="19"/>
      <c r="J66" s="19"/>
      <c r="K66" s="19"/>
      <c r="L66" s="19"/>
      <c r="M66" s="19"/>
      <c r="N66" s="19"/>
      <c r="O66" s="19"/>
      <c r="P66" s="19"/>
    </row>
    <row r="67">
      <c r="A67" s="19"/>
      <c r="B67" s="19"/>
      <c r="C67" s="19"/>
      <c r="D67" s="19"/>
      <c r="E67" s="19"/>
      <c r="F67" s="19"/>
      <c r="G67" s="19"/>
      <c r="H67" s="19"/>
      <c r="I67" s="19"/>
      <c r="J67" s="19"/>
      <c r="K67" s="19"/>
      <c r="L67" s="19"/>
      <c r="M67" s="19"/>
      <c r="N67" s="19"/>
      <c r="O67" s="19"/>
      <c r="P67" s="19"/>
    </row>
    <row r="68">
      <c r="A68" s="19"/>
      <c r="B68" s="19"/>
      <c r="C68" s="19"/>
      <c r="D68" s="19"/>
      <c r="E68" s="19"/>
      <c r="F68" s="19"/>
      <c r="G68" s="19"/>
      <c r="H68" s="19"/>
      <c r="I68" s="19"/>
      <c r="J68" s="19"/>
      <c r="K68" s="19"/>
      <c r="L68" s="19"/>
      <c r="M68" s="19"/>
      <c r="N68" s="19"/>
      <c r="O68" s="19"/>
      <c r="P68" s="19"/>
    </row>
    <row r="69">
      <c r="A69" s="19"/>
      <c r="B69" s="19"/>
      <c r="C69" s="19"/>
      <c r="D69" s="19"/>
      <c r="E69" s="19"/>
      <c r="F69" s="19"/>
      <c r="G69" s="19"/>
      <c r="H69" s="19"/>
      <c r="I69" s="19"/>
      <c r="J69" s="19"/>
      <c r="K69" s="19"/>
      <c r="L69" s="19"/>
      <c r="M69" s="19"/>
      <c r="N69" s="19"/>
      <c r="O69" s="19"/>
      <c r="P69" s="19"/>
    </row>
    <row r="70">
      <c r="A70" s="19"/>
      <c r="B70" s="19"/>
      <c r="C70" s="19"/>
      <c r="D70" s="19"/>
      <c r="E70" s="19"/>
      <c r="F70" s="19"/>
      <c r="G70" s="19"/>
      <c r="H70" s="19"/>
      <c r="I70" s="19"/>
      <c r="J70" s="19"/>
      <c r="K70" s="19"/>
      <c r="L70" s="19"/>
      <c r="M70" s="19"/>
      <c r="N70" s="19"/>
      <c r="O70" s="19"/>
      <c r="P70" s="19"/>
    </row>
    <row r="71">
      <c r="A71" s="19"/>
      <c r="B71" s="19"/>
      <c r="C71" s="19"/>
      <c r="D71" s="19"/>
      <c r="E71" s="19"/>
      <c r="F71" s="19"/>
      <c r="G71" s="19"/>
      <c r="H71" s="19"/>
      <c r="I71" s="19"/>
      <c r="J71" s="19"/>
      <c r="K71" s="19"/>
      <c r="L71" s="19"/>
      <c r="M71" s="19"/>
      <c r="N71" s="19"/>
      <c r="O71" s="19"/>
      <c r="P71" s="19"/>
    </row>
    <row r="72">
      <c r="A72" s="19"/>
      <c r="B72" s="19"/>
      <c r="C72" s="19"/>
      <c r="D72" s="19"/>
      <c r="E72" s="19"/>
      <c r="F72" s="19"/>
      <c r="G72" s="19"/>
      <c r="H72" s="19"/>
      <c r="I72" s="19"/>
      <c r="J72" s="19"/>
      <c r="K72" s="19"/>
      <c r="L72" s="19"/>
      <c r="M72" s="19"/>
      <c r="N72" s="19"/>
      <c r="O72" s="19"/>
      <c r="P72" s="19"/>
    </row>
    <row r="73">
      <c r="A73" s="19"/>
      <c r="B73" s="19"/>
      <c r="C73" s="19"/>
      <c r="D73" s="19"/>
      <c r="E73" s="19"/>
      <c r="F73" s="19"/>
      <c r="G73" s="19"/>
      <c r="H73" s="19"/>
      <c r="I73" s="19"/>
      <c r="J73" s="19"/>
      <c r="K73" s="19"/>
      <c r="L73" s="19"/>
      <c r="M73" s="19"/>
      <c r="N73" s="19"/>
      <c r="O73" s="19"/>
      <c r="P73" s="19"/>
    </row>
    <row r="74">
      <c r="A74" s="19"/>
      <c r="B74" s="19"/>
      <c r="C74" s="19"/>
      <c r="D74" s="19"/>
      <c r="E74" s="19"/>
      <c r="F74" s="19"/>
      <c r="G74" s="19"/>
      <c r="H74" s="19"/>
      <c r="I74" s="19"/>
      <c r="J74" s="19"/>
      <c r="K74" s="19"/>
      <c r="L74" s="19"/>
      <c r="M74" s="19"/>
      <c r="N74" s="19"/>
      <c r="O74" s="19"/>
      <c r="P74" s="19"/>
    </row>
    <row r="75">
      <c r="A75" s="19"/>
      <c r="B75" s="19"/>
      <c r="C75" s="19"/>
      <c r="D75" s="19"/>
      <c r="E75" s="19"/>
      <c r="F75" s="19"/>
      <c r="G75" s="19"/>
      <c r="H75" s="19"/>
      <c r="I75" s="19"/>
      <c r="J75" s="19"/>
      <c r="K75" s="19"/>
      <c r="L75" s="19"/>
      <c r="M75" s="19"/>
      <c r="N75" s="19"/>
      <c r="O75" s="19"/>
      <c r="P75" s="19"/>
    </row>
    <row r="76">
      <c r="A76" s="19"/>
      <c r="B76" s="19"/>
      <c r="C76" s="19"/>
      <c r="D76" s="19"/>
      <c r="E76" s="19"/>
      <c r="F76" s="19"/>
      <c r="G76" s="19"/>
      <c r="H76" s="19"/>
      <c r="I76" s="19"/>
      <c r="J76" s="19"/>
      <c r="K76" s="19"/>
      <c r="L76" s="19"/>
      <c r="M76" s="19"/>
      <c r="N76" s="19"/>
      <c r="O76" s="19"/>
      <c r="P76" s="19"/>
    </row>
    <row r="77">
      <c r="A77" s="19"/>
      <c r="B77" s="19"/>
      <c r="C77" s="19"/>
      <c r="D77" s="19"/>
      <c r="E77" s="19"/>
      <c r="F77" s="19"/>
      <c r="G77" s="19"/>
      <c r="H77" s="19"/>
      <c r="I77" s="19"/>
      <c r="J77" s="19"/>
      <c r="K77" s="19"/>
      <c r="L77" s="19"/>
      <c r="M77" s="19"/>
      <c r="N77" s="19"/>
      <c r="O77" s="19"/>
      <c r="P77" s="19"/>
    </row>
    <row r="78">
      <c r="A78" s="19"/>
      <c r="B78" s="19"/>
      <c r="C78" s="19"/>
      <c r="D78" s="19"/>
      <c r="E78" s="19"/>
      <c r="F78" s="19"/>
      <c r="G78" s="19"/>
      <c r="H78" s="19"/>
      <c r="I78" s="19"/>
      <c r="J78" s="19"/>
      <c r="K78" s="19"/>
      <c r="L78" s="19"/>
      <c r="M78" s="19"/>
      <c r="N78" s="19"/>
      <c r="O78" s="19"/>
      <c r="P78" s="19"/>
    </row>
    <row r="79">
      <c r="A79" s="19"/>
      <c r="B79" s="19"/>
      <c r="C79" s="19"/>
      <c r="D79" s="19"/>
      <c r="E79" s="19"/>
      <c r="F79" s="19"/>
      <c r="G79" s="19"/>
      <c r="H79" s="19"/>
      <c r="I79" s="19"/>
      <c r="J79" s="19"/>
      <c r="K79" s="19"/>
      <c r="L79" s="19"/>
      <c r="M79" s="19"/>
      <c r="N79" s="19"/>
      <c r="O79" s="19"/>
      <c r="P79" s="19"/>
    </row>
    <row r="80">
      <c r="A80" s="19"/>
      <c r="B80" s="19"/>
      <c r="C80" s="19"/>
      <c r="D80" s="19"/>
      <c r="E80" s="19"/>
      <c r="F80" s="19"/>
      <c r="G80" s="19"/>
      <c r="H80" s="19"/>
      <c r="I80" s="19"/>
      <c r="J80" s="19"/>
      <c r="K80" s="19"/>
      <c r="L80" s="19"/>
      <c r="M80" s="19"/>
      <c r="N80" s="19"/>
      <c r="O80" s="19"/>
      <c r="P80" s="19"/>
    </row>
    <row r="81">
      <c r="A81" s="19"/>
      <c r="B81" s="19"/>
      <c r="C81" s="19"/>
      <c r="D81" s="19"/>
      <c r="E81" s="19"/>
      <c r="F81" s="19"/>
      <c r="G81" s="19"/>
      <c r="H81" s="19"/>
      <c r="I81" s="19"/>
      <c r="J81" s="19"/>
      <c r="K81" s="19"/>
      <c r="L81" s="19"/>
      <c r="M81" s="19"/>
      <c r="N81" s="19"/>
      <c r="O81" s="19"/>
      <c r="P81" s="19"/>
    </row>
    <row r="82">
      <c r="A82" s="19"/>
      <c r="B82" s="19"/>
      <c r="C82" s="19"/>
      <c r="D82" s="19"/>
      <c r="E82" s="19"/>
      <c r="F82" s="19"/>
      <c r="G82" s="19"/>
      <c r="H82" s="19"/>
      <c r="I82" s="19"/>
      <c r="J82" s="19"/>
      <c r="K82" s="19"/>
      <c r="L82" s="19"/>
      <c r="M82" s="19"/>
      <c r="N82" s="19"/>
      <c r="O82" s="19"/>
      <c r="P82" s="19"/>
    </row>
    <row r="83">
      <c r="A83" s="19"/>
      <c r="B83" s="19"/>
      <c r="C83" s="19"/>
      <c r="D83" s="19"/>
      <c r="E83" s="19"/>
      <c r="F83" s="19"/>
      <c r="G83" s="19"/>
      <c r="H83" s="19"/>
      <c r="I83" s="19"/>
      <c r="J83" s="19"/>
      <c r="K83" s="19"/>
      <c r="L83" s="19"/>
      <c r="M83" s="19"/>
      <c r="N83" s="19"/>
      <c r="O83" s="19"/>
      <c r="P83" s="19"/>
    </row>
    <row r="84">
      <c r="A84" s="19"/>
      <c r="B84" s="19"/>
      <c r="C84" s="19"/>
      <c r="D84" s="19"/>
      <c r="E84" s="19"/>
      <c r="F84" s="19"/>
      <c r="G84" s="19"/>
      <c r="H84" s="19"/>
      <c r="I84" s="19"/>
      <c r="J84" s="19"/>
      <c r="K84" s="19"/>
      <c r="L84" s="19"/>
      <c r="M84" s="19"/>
      <c r="N84" s="19"/>
      <c r="O84" s="19"/>
      <c r="P84" s="19"/>
    </row>
    <row r="85">
      <c r="A85" s="19"/>
      <c r="B85" s="19"/>
      <c r="C85" s="19"/>
      <c r="D85" s="19"/>
      <c r="E85" s="19"/>
      <c r="F85" s="19"/>
      <c r="G85" s="19"/>
      <c r="H85" s="19"/>
      <c r="I85" s="19"/>
      <c r="J85" s="19"/>
      <c r="K85" s="19"/>
      <c r="L85" s="19"/>
      <c r="M85" s="19"/>
      <c r="N85" s="19"/>
      <c r="O85" s="19"/>
      <c r="P85" s="19"/>
    </row>
    <row r="86">
      <c r="A86" s="19"/>
      <c r="B86" s="19"/>
      <c r="C86" s="19"/>
      <c r="D86" s="19"/>
      <c r="E86" s="19"/>
      <c r="F86" s="19"/>
      <c r="G86" s="19"/>
      <c r="H86" s="19"/>
      <c r="I86" s="19"/>
      <c r="J86" s="19"/>
      <c r="K86" s="19"/>
      <c r="L86" s="19"/>
      <c r="M86" s="19"/>
      <c r="N86" s="19"/>
      <c r="O86" s="19"/>
      <c r="P86" s="19"/>
    </row>
    <row r="87">
      <c r="A87" s="19"/>
      <c r="B87" s="19"/>
      <c r="C87" s="19"/>
      <c r="D87" s="19"/>
      <c r="E87" s="19"/>
      <c r="F87" s="19"/>
      <c r="G87" s="19"/>
      <c r="H87" s="19"/>
      <c r="I87" s="19"/>
      <c r="J87" s="19"/>
      <c r="K87" s="19"/>
      <c r="L87" s="19"/>
      <c r="M87" s="19"/>
      <c r="N87" s="19"/>
      <c r="O87" s="19"/>
      <c r="P87" s="19"/>
    </row>
    <row r="88">
      <c r="A88" s="19"/>
      <c r="B88" s="19"/>
      <c r="C88" s="19"/>
      <c r="D88" s="19"/>
      <c r="E88" s="19"/>
      <c r="F88" s="19"/>
      <c r="G88" s="19"/>
      <c r="H88" s="19"/>
      <c r="I88" s="19"/>
      <c r="J88" s="19"/>
      <c r="K88" s="19"/>
      <c r="L88" s="19"/>
      <c r="M88" s="19"/>
      <c r="N88" s="19"/>
      <c r="O88" s="19"/>
      <c r="P88" s="19"/>
    </row>
    <row r="89">
      <c r="A89" s="19"/>
      <c r="B89" s="19"/>
      <c r="C89" s="19"/>
      <c r="D89" s="19"/>
      <c r="E89" s="19"/>
      <c r="F89" s="19"/>
      <c r="G89" s="19"/>
      <c r="H89" s="19"/>
      <c r="I89" s="19"/>
      <c r="J89" s="19"/>
      <c r="K89" s="19"/>
      <c r="L89" s="19"/>
      <c r="M89" s="19"/>
      <c r="N89" s="19"/>
      <c r="O89" s="19"/>
      <c r="P89" s="19"/>
    </row>
    <row r="90">
      <c r="A90" s="19"/>
      <c r="B90" s="19"/>
      <c r="C90" s="19"/>
      <c r="D90" s="19"/>
      <c r="E90" s="19"/>
      <c r="F90" s="19"/>
      <c r="G90" s="19"/>
      <c r="H90" s="19"/>
      <c r="I90" s="19"/>
      <c r="J90" s="19"/>
      <c r="K90" s="19"/>
      <c r="L90" s="19"/>
      <c r="M90" s="19"/>
      <c r="N90" s="19"/>
      <c r="O90" s="19"/>
      <c r="P90" s="19"/>
    </row>
    <row r="91">
      <c r="A91" s="19"/>
      <c r="B91" s="19"/>
      <c r="C91" s="19"/>
      <c r="D91" s="19"/>
      <c r="E91" s="19"/>
      <c r="F91" s="19"/>
      <c r="G91" s="19"/>
      <c r="H91" s="19"/>
      <c r="I91" s="19"/>
      <c r="J91" s="19"/>
      <c r="K91" s="19"/>
      <c r="L91" s="19"/>
      <c r="M91" s="19"/>
      <c r="N91" s="19"/>
      <c r="O91" s="19"/>
      <c r="P91" s="19"/>
    </row>
    <row r="92">
      <c r="A92" s="19"/>
      <c r="B92" s="19"/>
      <c r="C92" s="19"/>
      <c r="D92" s="19"/>
      <c r="E92" s="19"/>
      <c r="F92" s="19"/>
      <c r="G92" s="19"/>
      <c r="H92" s="19"/>
      <c r="I92" s="19"/>
      <c r="J92" s="19"/>
      <c r="K92" s="19"/>
      <c r="L92" s="19"/>
      <c r="M92" s="19"/>
      <c r="N92" s="19"/>
      <c r="O92" s="19"/>
      <c r="P92" s="19"/>
    </row>
    <row r="93">
      <c r="A93" s="19"/>
      <c r="B93" s="19"/>
      <c r="C93" s="19"/>
      <c r="D93" s="19"/>
      <c r="E93" s="19"/>
      <c r="F93" s="19"/>
      <c r="G93" s="19"/>
      <c r="H93" s="19"/>
      <c r="I93" s="19"/>
      <c r="J93" s="19"/>
      <c r="K93" s="19"/>
      <c r="L93" s="19"/>
      <c r="M93" s="19"/>
      <c r="N93" s="19"/>
      <c r="O93" s="19"/>
      <c r="P93" s="19"/>
    </row>
    <row r="94">
      <c r="A94" s="19"/>
      <c r="B94" s="19"/>
      <c r="C94" s="19"/>
      <c r="D94" s="19"/>
      <c r="E94" s="19"/>
      <c r="F94" s="19"/>
      <c r="G94" s="19"/>
      <c r="H94" s="19"/>
      <c r="I94" s="19"/>
      <c r="J94" s="19"/>
      <c r="K94" s="19"/>
      <c r="L94" s="19"/>
      <c r="M94" s="19"/>
      <c r="N94" s="19"/>
      <c r="O94" s="19"/>
      <c r="P94" s="19"/>
    </row>
    <row r="95">
      <c r="A95" s="19"/>
      <c r="B95" s="19"/>
      <c r="C95" s="19"/>
      <c r="D95" s="19"/>
      <c r="E95" s="19"/>
      <c r="F95" s="19"/>
      <c r="G95" s="19"/>
      <c r="H95" s="19"/>
      <c r="I95" s="19"/>
      <c r="J95" s="19"/>
      <c r="K95" s="19"/>
      <c r="L95" s="19"/>
      <c r="M95" s="19"/>
      <c r="N95" s="19"/>
      <c r="O95" s="19"/>
      <c r="P95" s="19"/>
    </row>
    <row r="96">
      <c r="A96" s="19"/>
      <c r="B96" s="19"/>
      <c r="C96" s="19"/>
      <c r="D96" s="19"/>
      <c r="E96" s="19"/>
      <c r="F96" s="19"/>
      <c r="G96" s="19"/>
      <c r="H96" s="19"/>
      <c r="I96" s="19"/>
      <c r="J96" s="19"/>
      <c r="K96" s="19"/>
      <c r="L96" s="19"/>
      <c r="M96" s="19"/>
      <c r="N96" s="19"/>
      <c r="O96" s="19"/>
      <c r="P96" s="19"/>
    </row>
    <row r="97">
      <c r="A97" s="19"/>
      <c r="B97" s="19"/>
      <c r="C97" s="19"/>
      <c r="D97" s="19"/>
      <c r="E97" s="19"/>
      <c r="F97" s="19"/>
      <c r="G97" s="19"/>
      <c r="H97" s="19"/>
      <c r="I97" s="19"/>
      <c r="J97" s="19"/>
      <c r="K97" s="19"/>
      <c r="L97" s="19"/>
      <c r="M97" s="19"/>
      <c r="N97" s="19"/>
      <c r="O97" s="19"/>
      <c r="P97" s="19"/>
    </row>
    <row r="98">
      <c r="A98" s="19"/>
      <c r="B98" s="19"/>
      <c r="C98" s="19"/>
      <c r="D98" s="19"/>
      <c r="E98" s="19"/>
      <c r="F98" s="19"/>
      <c r="G98" s="19"/>
      <c r="H98" s="19"/>
      <c r="I98" s="19"/>
      <c r="J98" s="19"/>
      <c r="K98" s="19"/>
      <c r="L98" s="19"/>
      <c r="M98" s="19"/>
      <c r="N98" s="19"/>
      <c r="O98" s="19"/>
      <c r="P98" s="19"/>
    </row>
    <row r="99">
      <c r="A99" s="19"/>
      <c r="B99" s="19"/>
      <c r="C99" s="19"/>
      <c r="D99" s="19"/>
      <c r="E99" s="19"/>
      <c r="F99" s="19"/>
      <c r="G99" s="19"/>
      <c r="H99" s="19"/>
      <c r="I99" s="19"/>
      <c r="J99" s="19"/>
      <c r="K99" s="19"/>
      <c r="L99" s="19"/>
      <c r="M99" s="19"/>
      <c r="N99" s="19"/>
      <c r="O99" s="19"/>
      <c r="P99" s="19"/>
    </row>
    <row r="100">
      <c r="A100" s="19"/>
      <c r="B100" s="19"/>
      <c r="C100" s="19"/>
      <c r="D100" s="19"/>
      <c r="E100" s="19"/>
      <c r="F100" s="19"/>
      <c r="G100" s="19"/>
      <c r="H100" s="19"/>
      <c r="I100" s="19"/>
      <c r="J100" s="19"/>
      <c r="K100" s="19"/>
      <c r="L100" s="19"/>
      <c r="M100" s="19"/>
      <c r="N100" s="19"/>
      <c r="O100" s="19"/>
      <c r="P100" s="19"/>
    </row>
    <row r="101">
      <c r="A101" s="19"/>
      <c r="B101" s="19"/>
      <c r="C101" s="19"/>
      <c r="D101" s="19"/>
      <c r="E101" s="19"/>
      <c r="F101" s="19"/>
      <c r="G101" s="19"/>
      <c r="H101" s="19"/>
      <c r="I101" s="19"/>
      <c r="J101" s="19"/>
      <c r="K101" s="19"/>
      <c r="L101" s="19"/>
      <c r="M101" s="19"/>
      <c r="N101" s="19"/>
      <c r="O101" s="19"/>
      <c r="P101" s="19"/>
    </row>
    <row r="102">
      <c r="A102" s="19"/>
      <c r="B102" s="19"/>
      <c r="C102" s="19"/>
      <c r="D102" s="19"/>
      <c r="E102" s="19"/>
      <c r="F102" s="19"/>
      <c r="G102" s="19"/>
      <c r="H102" s="19"/>
      <c r="I102" s="19"/>
      <c r="J102" s="19"/>
      <c r="K102" s="19"/>
      <c r="L102" s="19"/>
      <c r="M102" s="19"/>
      <c r="N102" s="19"/>
      <c r="O102" s="19"/>
      <c r="P102" s="19"/>
    </row>
    <row r="103">
      <c r="A103" s="19"/>
      <c r="B103" s="19"/>
      <c r="C103" s="19"/>
      <c r="D103" s="19"/>
      <c r="E103" s="19"/>
      <c r="F103" s="19"/>
      <c r="G103" s="19"/>
      <c r="H103" s="19"/>
      <c r="I103" s="19"/>
      <c r="J103" s="19"/>
      <c r="K103" s="19"/>
      <c r="L103" s="19"/>
      <c r="M103" s="19"/>
      <c r="N103" s="19"/>
      <c r="O103" s="19"/>
      <c r="P103" s="19"/>
    </row>
    <row r="104">
      <c r="A104" s="19"/>
      <c r="B104" s="19"/>
      <c r="C104" s="19"/>
      <c r="D104" s="19"/>
      <c r="E104" s="19"/>
      <c r="F104" s="19"/>
      <c r="G104" s="19"/>
      <c r="H104" s="19"/>
      <c r="I104" s="19"/>
      <c r="J104" s="19"/>
      <c r="K104" s="19"/>
      <c r="L104" s="19"/>
      <c r="M104" s="19"/>
      <c r="N104" s="19"/>
      <c r="O104" s="19"/>
      <c r="P104" s="19"/>
    </row>
    <row r="105">
      <c r="A105" s="19"/>
      <c r="B105" s="19"/>
      <c r="C105" s="19"/>
      <c r="D105" s="19"/>
      <c r="E105" s="19"/>
      <c r="F105" s="19"/>
      <c r="G105" s="19"/>
      <c r="H105" s="19"/>
      <c r="I105" s="19"/>
      <c r="J105" s="19"/>
      <c r="K105" s="19"/>
      <c r="L105" s="19"/>
      <c r="M105" s="19"/>
      <c r="N105" s="19"/>
      <c r="O105" s="19"/>
      <c r="P105" s="19"/>
    </row>
    <row r="106">
      <c r="A106" s="19"/>
      <c r="B106" s="19"/>
      <c r="C106" s="19"/>
      <c r="D106" s="19"/>
      <c r="E106" s="19"/>
      <c r="F106" s="19"/>
      <c r="G106" s="19"/>
      <c r="H106" s="19"/>
      <c r="I106" s="19"/>
      <c r="J106" s="19"/>
      <c r="K106" s="19"/>
      <c r="L106" s="19"/>
      <c r="M106" s="19"/>
      <c r="N106" s="19"/>
      <c r="O106" s="19"/>
      <c r="P106" s="19"/>
    </row>
    <row r="107">
      <c r="A107" s="19"/>
      <c r="B107" s="19"/>
      <c r="C107" s="19"/>
      <c r="D107" s="19"/>
      <c r="E107" s="19"/>
      <c r="F107" s="19"/>
      <c r="G107" s="19"/>
      <c r="H107" s="19"/>
      <c r="I107" s="19"/>
      <c r="J107" s="19"/>
      <c r="K107" s="19"/>
      <c r="L107" s="19"/>
      <c r="M107" s="19"/>
      <c r="N107" s="19"/>
      <c r="O107" s="19"/>
      <c r="P107" s="19"/>
    </row>
    <row r="108">
      <c r="A108" s="19"/>
      <c r="B108" s="19"/>
      <c r="C108" s="19"/>
      <c r="D108" s="19"/>
      <c r="E108" s="19"/>
      <c r="F108" s="19"/>
      <c r="G108" s="19"/>
      <c r="H108" s="19"/>
      <c r="I108" s="19"/>
      <c r="J108" s="19"/>
      <c r="K108" s="19"/>
      <c r="L108" s="19"/>
      <c r="M108" s="19"/>
      <c r="N108" s="19"/>
      <c r="O108" s="19"/>
      <c r="P108" s="19"/>
    </row>
    <row r="109">
      <c r="A109" s="19"/>
      <c r="B109" s="19"/>
      <c r="C109" s="19"/>
      <c r="D109" s="19"/>
      <c r="E109" s="19"/>
      <c r="F109" s="19"/>
      <c r="G109" s="19"/>
      <c r="H109" s="19"/>
      <c r="I109" s="19"/>
      <c r="J109" s="19"/>
      <c r="K109" s="19"/>
      <c r="L109" s="19"/>
      <c r="M109" s="19"/>
      <c r="N109" s="19"/>
      <c r="O109" s="19"/>
      <c r="P109" s="19"/>
    </row>
    <row r="110">
      <c r="A110" s="19"/>
      <c r="B110" s="19"/>
      <c r="C110" s="19"/>
      <c r="D110" s="19"/>
      <c r="E110" s="19"/>
      <c r="F110" s="19"/>
      <c r="G110" s="19"/>
      <c r="H110" s="19"/>
      <c r="I110" s="19"/>
      <c r="J110" s="19"/>
      <c r="K110" s="19"/>
      <c r="L110" s="19"/>
      <c r="M110" s="19"/>
      <c r="N110" s="19"/>
      <c r="O110" s="19"/>
      <c r="P110" s="19"/>
    </row>
    <row r="111">
      <c r="A111" s="19"/>
      <c r="B111" s="19"/>
      <c r="C111" s="19"/>
      <c r="D111" s="19"/>
      <c r="E111" s="19"/>
      <c r="F111" s="19"/>
      <c r="G111" s="19"/>
      <c r="H111" s="19"/>
      <c r="I111" s="19"/>
      <c r="J111" s="19"/>
      <c r="K111" s="19"/>
      <c r="L111" s="19"/>
      <c r="M111" s="19"/>
      <c r="N111" s="19"/>
      <c r="O111" s="19"/>
      <c r="P111" s="19"/>
    </row>
    <row r="112">
      <c r="A112" s="19"/>
      <c r="B112" s="19"/>
      <c r="C112" s="19"/>
      <c r="D112" s="19"/>
      <c r="E112" s="19"/>
      <c r="F112" s="19"/>
      <c r="G112" s="19"/>
      <c r="H112" s="19"/>
      <c r="I112" s="19"/>
      <c r="J112" s="19"/>
      <c r="K112" s="19"/>
      <c r="L112" s="19"/>
      <c r="M112" s="19"/>
      <c r="N112" s="19"/>
      <c r="O112" s="19"/>
      <c r="P112" s="19"/>
    </row>
    <row r="113">
      <c r="A113" s="19"/>
      <c r="B113" s="19"/>
      <c r="C113" s="19"/>
      <c r="D113" s="19"/>
      <c r="E113" s="19"/>
      <c r="F113" s="19"/>
      <c r="G113" s="19"/>
      <c r="H113" s="19"/>
      <c r="I113" s="19"/>
      <c r="J113" s="19"/>
      <c r="K113" s="19"/>
      <c r="L113" s="19"/>
      <c r="M113" s="19"/>
      <c r="N113" s="19"/>
      <c r="O113" s="19"/>
      <c r="P113" s="19"/>
    </row>
    <row r="114">
      <c r="A114" s="19"/>
      <c r="B114" s="19"/>
      <c r="C114" s="19"/>
      <c r="D114" s="19"/>
      <c r="E114" s="19"/>
      <c r="F114" s="19"/>
      <c r="G114" s="19"/>
      <c r="H114" s="19"/>
      <c r="I114" s="19"/>
      <c r="J114" s="19"/>
      <c r="K114" s="19"/>
      <c r="L114" s="19"/>
      <c r="M114" s="19"/>
      <c r="N114" s="19"/>
      <c r="O114" s="19"/>
      <c r="P114" s="19"/>
    </row>
    <row r="115">
      <c r="A115" s="19"/>
      <c r="B115" s="19"/>
      <c r="C115" s="19"/>
      <c r="D115" s="19"/>
      <c r="E115" s="19"/>
      <c r="F115" s="19"/>
      <c r="G115" s="19"/>
      <c r="H115" s="19"/>
      <c r="I115" s="19"/>
      <c r="J115" s="19"/>
      <c r="K115" s="19"/>
      <c r="L115" s="19"/>
      <c r="M115" s="19"/>
      <c r="N115" s="19"/>
      <c r="O115" s="19"/>
      <c r="P115" s="19"/>
    </row>
    <row r="116">
      <c r="A116" s="19"/>
      <c r="B116" s="19"/>
      <c r="C116" s="19"/>
      <c r="D116" s="19"/>
      <c r="E116" s="19"/>
      <c r="F116" s="19"/>
      <c r="G116" s="19"/>
      <c r="H116" s="19"/>
      <c r="I116" s="19"/>
      <c r="J116" s="19"/>
      <c r="K116" s="19"/>
      <c r="L116" s="19"/>
      <c r="M116" s="19"/>
      <c r="N116" s="19"/>
      <c r="O116" s="19"/>
      <c r="P116" s="19"/>
    </row>
    <row r="117">
      <c r="A117" s="19"/>
      <c r="B117" s="19"/>
      <c r="C117" s="19"/>
      <c r="D117" s="19"/>
      <c r="E117" s="19"/>
      <c r="F117" s="19"/>
      <c r="G117" s="19"/>
      <c r="H117" s="19"/>
      <c r="I117" s="19"/>
      <c r="J117" s="19"/>
      <c r="K117" s="19"/>
      <c r="L117" s="19"/>
      <c r="M117" s="19"/>
      <c r="N117" s="19"/>
      <c r="O117" s="19"/>
      <c r="P117" s="19"/>
    </row>
    <row r="118">
      <c r="A118" s="19"/>
      <c r="B118" s="19"/>
      <c r="C118" s="19"/>
      <c r="D118" s="19"/>
      <c r="E118" s="19"/>
      <c r="F118" s="19"/>
      <c r="G118" s="19"/>
      <c r="H118" s="19"/>
      <c r="I118" s="19"/>
      <c r="J118" s="19"/>
      <c r="K118" s="19"/>
      <c r="L118" s="19"/>
      <c r="M118" s="19"/>
      <c r="N118" s="19"/>
      <c r="O118" s="19"/>
      <c r="P118" s="19"/>
    </row>
    <row r="119">
      <c r="A119" s="19"/>
      <c r="B119" s="19"/>
      <c r="C119" s="19"/>
      <c r="D119" s="19"/>
      <c r="E119" s="19"/>
      <c r="F119" s="19"/>
      <c r="G119" s="19"/>
      <c r="H119" s="19"/>
      <c r="I119" s="19"/>
      <c r="J119" s="19"/>
      <c r="K119" s="19"/>
      <c r="L119" s="19"/>
      <c r="M119" s="19"/>
      <c r="N119" s="19"/>
      <c r="O119" s="19"/>
      <c r="P119" s="19"/>
    </row>
    <row r="120">
      <c r="A120" s="19"/>
      <c r="B120" s="19"/>
      <c r="C120" s="19"/>
      <c r="D120" s="19"/>
      <c r="E120" s="19"/>
      <c r="F120" s="19"/>
      <c r="G120" s="19"/>
      <c r="H120" s="19"/>
      <c r="I120" s="19"/>
      <c r="J120" s="19"/>
      <c r="K120" s="19"/>
      <c r="L120" s="19"/>
      <c r="M120" s="19"/>
      <c r="N120" s="19"/>
      <c r="O120" s="19"/>
      <c r="P120" s="19"/>
    </row>
    <row r="121">
      <c r="A121" s="19"/>
      <c r="B121" s="19"/>
      <c r="C121" s="19"/>
      <c r="D121" s="19"/>
      <c r="E121" s="19"/>
      <c r="F121" s="19"/>
      <c r="G121" s="19"/>
      <c r="H121" s="19"/>
      <c r="I121" s="19"/>
      <c r="J121" s="19"/>
      <c r="K121" s="19"/>
      <c r="L121" s="19"/>
      <c r="M121" s="19"/>
      <c r="N121" s="19"/>
      <c r="O121" s="19"/>
      <c r="P121" s="19"/>
    </row>
    <row r="122">
      <c r="A122" s="19"/>
      <c r="B122" s="19"/>
      <c r="C122" s="19"/>
      <c r="D122" s="19"/>
      <c r="E122" s="19"/>
      <c r="F122" s="19"/>
      <c r="G122" s="19"/>
      <c r="H122" s="19"/>
      <c r="I122" s="19"/>
      <c r="J122" s="19"/>
      <c r="K122" s="19"/>
      <c r="L122" s="19"/>
      <c r="M122" s="19"/>
      <c r="N122" s="19"/>
      <c r="O122" s="19"/>
      <c r="P122" s="19"/>
    </row>
    <row r="123">
      <c r="A123" s="19"/>
      <c r="B123" s="19"/>
      <c r="C123" s="19"/>
      <c r="D123" s="19"/>
      <c r="E123" s="19"/>
      <c r="F123" s="19"/>
      <c r="G123" s="19"/>
      <c r="H123" s="19"/>
      <c r="I123" s="19"/>
      <c r="J123" s="19"/>
      <c r="K123" s="19"/>
      <c r="L123" s="19"/>
      <c r="M123" s="19"/>
      <c r="N123" s="19"/>
      <c r="O123" s="19"/>
      <c r="P123" s="19"/>
    </row>
    <row r="124">
      <c r="A124" s="19"/>
      <c r="B124" s="19"/>
      <c r="C124" s="19"/>
      <c r="D124" s="19"/>
      <c r="E124" s="19"/>
      <c r="F124" s="19"/>
      <c r="G124" s="19"/>
      <c r="H124" s="19"/>
      <c r="I124" s="19"/>
      <c r="J124" s="19"/>
      <c r="K124" s="19"/>
      <c r="L124" s="19"/>
      <c r="M124" s="19"/>
      <c r="N124" s="19"/>
      <c r="O124" s="19"/>
      <c r="P124" s="19"/>
    </row>
    <row r="125">
      <c r="A125" s="19"/>
      <c r="B125" s="19"/>
      <c r="C125" s="19"/>
      <c r="D125" s="19"/>
      <c r="E125" s="19"/>
      <c r="F125" s="19"/>
      <c r="G125" s="19"/>
      <c r="H125" s="19"/>
      <c r="I125" s="19"/>
      <c r="J125" s="19"/>
      <c r="K125" s="19"/>
      <c r="L125" s="19"/>
      <c r="M125" s="19"/>
      <c r="N125" s="19"/>
      <c r="O125" s="19"/>
      <c r="P125" s="19"/>
    </row>
    <row r="126">
      <c r="A126" s="19"/>
      <c r="B126" s="19"/>
      <c r="C126" s="19"/>
      <c r="D126" s="19"/>
      <c r="E126" s="19"/>
      <c r="F126" s="19"/>
      <c r="G126" s="19"/>
      <c r="H126" s="19"/>
      <c r="I126" s="19"/>
      <c r="J126" s="19"/>
      <c r="K126" s="19"/>
      <c r="L126" s="19"/>
      <c r="M126" s="19"/>
      <c r="N126" s="19"/>
      <c r="O126" s="19"/>
      <c r="P126" s="19"/>
    </row>
    <row r="127">
      <c r="A127" s="19"/>
      <c r="B127" s="19"/>
      <c r="C127" s="19"/>
      <c r="D127" s="19"/>
      <c r="E127" s="19"/>
      <c r="F127" s="19"/>
      <c r="G127" s="19"/>
      <c r="H127" s="19"/>
      <c r="I127" s="19"/>
      <c r="J127" s="19"/>
      <c r="K127" s="19"/>
      <c r="L127" s="19"/>
      <c r="M127" s="19"/>
      <c r="N127" s="19"/>
      <c r="O127" s="19"/>
      <c r="P127" s="19"/>
    </row>
    <row r="128">
      <c r="A128" s="19"/>
      <c r="B128" s="19"/>
      <c r="C128" s="19"/>
      <c r="D128" s="19"/>
      <c r="E128" s="19"/>
      <c r="F128" s="19"/>
      <c r="G128" s="19"/>
      <c r="H128" s="19"/>
      <c r="I128" s="19"/>
      <c r="J128" s="19"/>
      <c r="K128" s="19"/>
      <c r="L128" s="19"/>
      <c r="M128" s="19"/>
      <c r="N128" s="19"/>
      <c r="O128" s="19"/>
      <c r="P128" s="19"/>
    </row>
    <row r="129">
      <c r="A129" s="19"/>
      <c r="B129" s="19"/>
      <c r="C129" s="19"/>
      <c r="D129" s="19"/>
      <c r="E129" s="19"/>
      <c r="F129" s="19"/>
      <c r="G129" s="19"/>
      <c r="H129" s="19"/>
      <c r="I129" s="19"/>
      <c r="J129" s="19"/>
      <c r="K129" s="19"/>
      <c r="L129" s="19"/>
      <c r="M129" s="19"/>
      <c r="N129" s="19"/>
      <c r="O129" s="19"/>
      <c r="P129" s="19"/>
    </row>
    <row r="130">
      <c r="A130" s="19"/>
      <c r="B130" s="19"/>
      <c r="C130" s="19"/>
      <c r="D130" s="19"/>
      <c r="E130" s="19"/>
      <c r="F130" s="19"/>
      <c r="G130" s="19"/>
      <c r="H130" s="19"/>
      <c r="I130" s="19"/>
      <c r="J130" s="19"/>
      <c r="K130" s="19"/>
      <c r="L130" s="19"/>
      <c r="M130" s="19"/>
      <c r="N130" s="19"/>
      <c r="O130" s="19"/>
      <c r="P130" s="19"/>
    </row>
    <row r="131">
      <c r="A131" s="19"/>
      <c r="B131" s="19"/>
      <c r="C131" s="19"/>
      <c r="D131" s="19"/>
      <c r="E131" s="19"/>
      <c r="F131" s="19"/>
      <c r="G131" s="19"/>
      <c r="H131" s="19"/>
      <c r="I131" s="19"/>
      <c r="J131" s="19"/>
      <c r="K131" s="19"/>
      <c r="L131" s="19"/>
      <c r="M131" s="19"/>
      <c r="N131" s="19"/>
      <c r="O131" s="19"/>
      <c r="P131" s="19"/>
    </row>
    <row r="132">
      <c r="A132" s="19"/>
      <c r="B132" s="19"/>
      <c r="C132" s="19"/>
      <c r="D132" s="19"/>
      <c r="E132" s="19"/>
      <c r="F132" s="19"/>
      <c r="G132" s="19"/>
      <c r="H132" s="19"/>
      <c r="I132" s="19"/>
      <c r="J132" s="19"/>
      <c r="K132" s="19"/>
      <c r="L132" s="19"/>
      <c r="M132" s="19"/>
      <c r="N132" s="19"/>
      <c r="O132" s="19"/>
      <c r="P132" s="19"/>
    </row>
    <row r="133">
      <c r="A133" s="19"/>
      <c r="B133" s="19"/>
      <c r="C133" s="19"/>
      <c r="D133" s="19"/>
      <c r="E133" s="19"/>
      <c r="F133" s="19"/>
      <c r="G133" s="19"/>
      <c r="H133" s="19"/>
      <c r="I133" s="19"/>
      <c r="J133" s="19"/>
      <c r="K133" s="19"/>
      <c r="L133" s="19"/>
      <c r="M133" s="19"/>
      <c r="N133" s="19"/>
      <c r="O133" s="19"/>
      <c r="P133" s="19"/>
    </row>
    <row r="134">
      <c r="A134" s="19"/>
      <c r="B134" s="19"/>
      <c r="C134" s="19"/>
      <c r="D134" s="19"/>
      <c r="E134" s="19"/>
      <c r="F134" s="19"/>
      <c r="G134" s="19"/>
      <c r="H134" s="19"/>
      <c r="I134" s="19"/>
      <c r="J134" s="19"/>
      <c r="K134" s="19"/>
      <c r="L134" s="19"/>
      <c r="M134" s="19"/>
      <c r="N134" s="19"/>
      <c r="O134" s="19"/>
      <c r="P134" s="19"/>
    </row>
    <row r="135">
      <c r="A135" s="19"/>
      <c r="B135" s="19"/>
      <c r="C135" s="19"/>
      <c r="D135" s="19"/>
      <c r="E135" s="19"/>
      <c r="F135" s="19"/>
      <c r="G135" s="19"/>
      <c r="H135" s="19"/>
      <c r="I135" s="19"/>
      <c r="J135" s="19"/>
      <c r="K135" s="19"/>
      <c r="L135" s="19"/>
      <c r="M135" s="19"/>
      <c r="N135" s="19"/>
      <c r="O135" s="19"/>
      <c r="P135" s="19"/>
    </row>
    <row r="136">
      <c r="A136" s="19"/>
      <c r="B136" s="19"/>
      <c r="C136" s="19"/>
      <c r="D136" s="19"/>
      <c r="E136" s="19"/>
      <c r="F136" s="19"/>
      <c r="G136" s="19"/>
      <c r="H136" s="19"/>
      <c r="I136" s="19"/>
      <c r="J136" s="19"/>
      <c r="K136" s="19"/>
      <c r="L136" s="19"/>
      <c r="M136" s="19"/>
      <c r="N136" s="19"/>
      <c r="O136" s="19"/>
      <c r="P136" s="19"/>
    </row>
    <row r="137">
      <c r="A137" s="19"/>
      <c r="B137" s="19"/>
      <c r="C137" s="19"/>
      <c r="D137" s="19"/>
      <c r="E137" s="19"/>
      <c r="F137" s="19"/>
      <c r="G137" s="19"/>
      <c r="H137" s="19"/>
      <c r="I137" s="19"/>
      <c r="J137" s="19"/>
      <c r="K137" s="19"/>
      <c r="L137" s="19"/>
      <c r="M137" s="19"/>
      <c r="N137" s="19"/>
      <c r="O137" s="19"/>
      <c r="P137" s="19"/>
    </row>
    <row r="138">
      <c r="A138" s="19"/>
      <c r="B138" s="19"/>
      <c r="C138" s="19"/>
      <c r="D138" s="19"/>
      <c r="E138" s="19"/>
      <c r="F138" s="19"/>
      <c r="G138" s="19"/>
      <c r="H138" s="19"/>
      <c r="I138" s="19"/>
      <c r="J138" s="19"/>
      <c r="K138" s="19"/>
      <c r="L138" s="19"/>
      <c r="M138" s="19"/>
      <c r="N138" s="19"/>
      <c r="O138" s="19"/>
      <c r="P138" s="19"/>
    </row>
    <row r="139">
      <c r="A139" s="19"/>
      <c r="B139" s="19"/>
      <c r="C139" s="19"/>
      <c r="D139" s="19"/>
      <c r="E139" s="19"/>
      <c r="F139" s="19"/>
      <c r="G139" s="19"/>
      <c r="H139" s="19"/>
      <c r="I139" s="19"/>
      <c r="J139" s="19"/>
      <c r="K139" s="19"/>
      <c r="L139" s="19"/>
      <c r="M139" s="19"/>
      <c r="N139" s="19"/>
      <c r="O139" s="19"/>
      <c r="P139" s="19"/>
    </row>
    <row r="140">
      <c r="A140" s="19"/>
      <c r="B140" s="19"/>
      <c r="C140" s="19"/>
      <c r="D140" s="19"/>
      <c r="E140" s="19"/>
      <c r="F140" s="19"/>
      <c r="G140" s="19"/>
      <c r="H140" s="19"/>
      <c r="I140" s="19"/>
      <c r="J140" s="19"/>
      <c r="K140" s="19"/>
      <c r="L140" s="19"/>
      <c r="M140" s="19"/>
      <c r="N140" s="19"/>
      <c r="O140" s="19"/>
      <c r="P140" s="19"/>
    </row>
    <row r="141">
      <c r="A141" s="19"/>
      <c r="B141" s="19"/>
      <c r="C141" s="19"/>
      <c r="D141" s="19"/>
      <c r="E141" s="19"/>
      <c r="F141" s="19"/>
      <c r="G141" s="19"/>
      <c r="H141" s="19"/>
      <c r="I141" s="19"/>
      <c r="J141" s="19"/>
      <c r="K141" s="19"/>
      <c r="L141" s="19"/>
      <c r="M141" s="19"/>
      <c r="N141" s="19"/>
      <c r="O141" s="19"/>
      <c r="P141" s="19"/>
    </row>
    <row r="142">
      <c r="A142" s="19"/>
      <c r="B142" s="19"/>
      <c r="C142" s="19"/>
      <c r="D142" s="19"/>
      <c r="E142" s="19"/>
      <c r="F142" s="19"/>
      <c r="G142" s="19"/>
      <c r="H142" s="19"/>
      <c r="I142" s="19"/>
      <c r="J142" s="19"/>
      <c r="K142" s="19"/>
      <c r="L142" s="19"/>
      <c r="M142" s="19"/>
      <c r="N142" s="19"/>
      <c r="O142" s="19"/>
      <c r="P142" s="19"/>
    </row>
    <row r="143">
      <c r="A143" s="19"/>
      <c r="B143" s="19"/>
      <c r="C143" s="19"/>
      <c r="D143" s="19"/>
      <c r="E143" s="19"/>
      <c r="F143" s="19"/>
      <c r="G143" s="19"/>
      <c r="H143" s="19"/>
      <c r="I143" s="19"/>
      <c r="J143" s="19"/>
      <c r="K143" s="19"/>
      <c r="L143" s="19"/>
      <c r="M143" s="19"/>
      <c r="N143" s="19"/>
      <c r="O143" s="19"/>
      <c r="P143" s="19"/>
    </row>
    <row r="144">
      <c r="A144" s="19"/>
      <c r="B144" s="19"/>
      <c r="C144" s="19"/>
      <c r="D144" s="19"/>
      <c r="E144" s="19"/>
      <c r="F144" s="19"/>
      <c r="G144" s="19"/>
      <c r="H144" s="19"/>
      <c r="I144" s="19"/>
      <c r="J144" s="19"/>
      <c r="K144" s="19"/>
      <c r="L144" s="19"/>
      <c r="M144" s="19"/>
      <c r="N144" s="19"/>
      <c r="O144" s="19"/>
      <c r="P144" s="19"/>
    </row>
    <row r="145">
      <c r="A145" s="19"/>
      <c r="B145" s="19"/>
      <c r="C145" s="19"/>
      <c r="D145" s="19"/>
      <c r="E145" s="19"/>
      <c r="F145" s="19"/>
      <c r="G145" s="19"/>
      <c r="H145" s="19"/>
      <c r="I145" s="19"/>
      <c r="J145" s="19"/>
      <c r="K145" s="19"/>
      <c r="L145" s="19"/>
      <c r="M145" s="19"/>
      <c r="N145" s="19"/>
      <c r="O145" s="19"/>
      <c r="P145" s="19"/>
    </row>
    <row r="146">
      <c r="A146" s="19"/>
      <c r="B146" s="19"/>
      <c r="C146" s="19"/>
      <c r="D146" s="19"/>
      <c r="E146" s="19"/>
      <c r="F146" s="19"/>
      <c r="G146" s="19"/>
      <c r="H146" s="19"/>
      <c r="I146" s="19"/>
      <c r="J146" s="19"/>
      <c r="K146" s="19"/>
      <c r="L146" s="19"/>
      <c r="M146" s="19"/>
      <c r="N146" s="19"/>
      <c r="O146" s="19"/>
      <c r="P146" s="19"/>
    </row>
    <row r="147">
      <c r="A147" s="19"/>
      <c r="B147" s="19"/>
      <c r="C147" s="19"/>
      <c r="D147" s="19"/>
      <c r="E147" s="19"/>
      <c r="F147" s="19"/>
      <c r="G147" s="19"/>
      <c r="H147" s="19"/>
      <c r="I147" s="19"/>
      <c r="J147" s="19"/>
      <c r="K147" s="19"/>
      <c r="L147" s="19"/>
      <c r="M147" s="19"/>
      <c r="N147" s="19"/>
      <c r="O147" s="19"/>
      <c r="P147" s="19"/>
    </row>
    <row r="148">
      <c r="A148" s="19"/>
      <c r="B148" s="19"/>
      <c r="C148" s="19"/>
      <c r="D148" s="19"/>
      <c r="E148" s="19"/>
      <c r="F148" s="19"/>
      <c r="G148" s="19"/>
      <c r="H148" s="19"/>
      <c r="I148" s="19"/>
      <c r="J148" s="19"/>
      <c r="K148" s="19"/>
      <c r="L148" s="19"/>
      <c r="M148" s="19"/>
      <c r="N148" s="19"/>
      <c r="O148" s="19"/>
      <c r="P148" s="19"/>
    </row>
    <row r="149">
      <c r="A149" s="19"/>
      <c r="B149" s="19"/>
      <c r="C149" s="19"/>
      <c r="D149" s="19"/>
      <c r="E149" s="19"/>
      <c r="F149" s="19"/>
      <c r="G149" s="19"/>
      <c r="H149" s="19"/>
      <c r="I149" s="19"/>
      <c r="J149" s="19"/>
      <c r="K149" s="19"/>
      <c r="L149" s="19"/>
      <c r="M149" s="19"/>
      <c r="N149" s="19"/>
      <c r="O149" s="19"/>
      <c r="P149" s="19"/>
    </row>
    <row r="150">
      <c r="A150" s="19"/>
      <c r="B150" s="19"/>
      <c r="C150" s="19"/>
      <c r="D150" s="19"/>
      <c r="E150" s="19"/>
      <c r="F150" s="19"/>
      <c r="G150" s="19"/>
      <c r="H150" s="19"/>
      <c r="I150" s="19"/>
      <c r="J150" s="19"/>
      <c r="K150" s="19"/>
      <c r="L150" s="19"/>
      <c r="M150" s="19"/>
      <c r="N150" s="19"/>
      <c r="O150" s="19"/>
      <c r="P150" s="19"/>
    </row>
    <row r="151">
      <c r="A151" s="19"/>
      <c r="B151" s="19"/>
      <c r="C151" s="19"/>
      <c r="D151" s="19"/>
      <c r="E151" s="19"/>
      <c r="F151" s="19"/>
      <c r="G151" s="19"/>
      <c r="H151" s="19"/>
      <c r="I151" s="19"/>
      <c r="J151" s="19"/>
      <c r="K151" s="19"/>
      <c r="L151" s="19"/>
      <c r="M151" s="19"/>
      <c r="N151" s="19"/>
      <c r="O151" s="19"/>
      <c r="P151" s="19"/>
    </row>
    <row r="152">
      <c r="A152" s="19"/>
      <c r="B152" s="19"/>
      <c r="C152" s="19"/>
      <c r="D152" s="19"/>
      <c r="E152" s="19"/>
      <c r="F152" s="19"/>
      <c r="G152" s="19"/>
      <c r="H152" s="19"/>
      <c r="I152" s="19"/>
      <c r="J152" s="19"/>
      <c r="K152" s="19"/>
      <c r="L152" s="19"/>
      <c r="M152" s="19"/>
      <c r="N152" s="19"/>
      <c r="O152" s="19"/>
      <c r="P152" s="19"/>
    </row>
    <row r="153">
      <c r="A153" s="19"/>
      <c r="B153" s="19"/>
      <c r="C153" s="19"/>
      <c r="D153" s="19"/>
      <c r="E153" s="19"/>
      <c r="F153" s="19"/>
      <c r="G153" s="19"/>
      <c r="H153" s="19"/>
      <c r="I153" s="19"/>
      <c r="J153" s="19"/>
      <c r="K153" s="19"/>
      <c r="L153" s="19"/>
      <c r="M153" s="19"/>
      <c r="N153" s="19"/>
      <c r="O153" s="19"/>
      <c r="P153" s="19"/>
    </row>
    <row r="154">
      <c r="A154" s="19"/>
      <c r="B154" s="19"/>
      <c r="C154" s="19"/>
      <c r="D154" s="19"/>
      <c r="E154" s="19"/>
      <c r="F154" s="19"/>
      <c r="G154" s="19"/>
      <c r="H154" s="19"/>
      <c r="I154" s="19"/>
      <c r="J154" s="19"/>
      <c r="K154" s="19"/>
      <c r="L154" s="19"/>
      <c r="M154" s="19"/>
      <c r="N154" s="19"/>
      <c r="O154" s="19"/>
      <c r="P154" s="19"/>
    </row>
    <row r="155">
      <c r="A155" s="19"/>
      <c r="B155" s="19"/>
      <c r="C155" s="19"/>
      <c r="D155" s="19"/>
      <c r="E155" s="19"/>
      <c r="F155" s="19"/>
      <c r="G155" s="19"/>
      <c r="H155" s="19"/>
      <c r="I155" s="19"/>
      <c r="J155" s="19"/>
      <c r="K155" s="19"/>
      <c r="L155" s="19"/>
      <c r="M155" s="19"/>
      <c r="N155" s="19"/>
      <c r="O155" s="19"/>
      <c r="P155" s="19"/>
    </row>
    <row r="156">
      <c r="A156" s="19"/>
      <c r="B156" s="19"/>
      <c r="C156" s="19"/>
      <c r="D156" s="19"/>
      <c r="E156" s="19"/>
      <c r="F156" s="19"/>
      <c r="G156" s="19"/>
      <c r="H156" s="19"/>
      <c r="I156" s="19"/>
      <c r="J156" s="19"/>
      <c r="K156" s="19"/>
      <c r="L156" s="19"/>
      <c r="M156" s="19"/>
      <c r="N156" s="19"/>
      <c r="O156" s="19"/>
      <c r="P156" s="19"/>
    </row>
    <row r="157">
      <c r="A157" s="19"/>
      <c r="B157" s="19"/>
      <c r="C157" s="19"/>
      <c r="D157" s="19"/>
      <c r="E157" s="19"/>
      <c r="F157" s="19"/>
      <c r="G157" s="19"/>
      <c r="H157" s="19"/>
      <c r="I157" s="19"/>
      <c r="J157" s="19"/>
      <c r="K157" s="19"/>
      <c r="L157" s="19"/>
      <c r="M157" s="19"/>
      <c r="N157" s="19"/>
      <c r="O157" s="19"/>
      <c r="P157" s="19"/>
    </row>
    <row r="158">
      <c r="A158" s="19"/>
      <c r="B158" s="19"/>
      <c r="C158" s="19"/>
      <c r="D158" s="19"/>
      <c r="E158" s="19"/>
      <c r="F158" s="19"/>
      <c r="G158" s="19"/>
      <c r="H158" s="19"/>
      <c r="I158" s="19"/>
      <c r="J158" s="19"/>
      <c r="K158" s="19"/>
      <c r="L158" s="19"/>
      <c r="M158" s="19"/>
      <c r="N158" s="19"/>
      <c r="O158" s="19"/>
      <c r="P158" s="19"/>
    </row>
    <row r="159">
      <c r="A159" s="19"/>
      <c r="B159" s="19"/>
      <c r="C159" s="19"/>
      <c r="D159" s="19"/>
      <c r="E159" s="19"/>
      <c r="F159" s="19"/>
      <c r="G159" s="19"/>
      <c r="H159" s="19"/>
      <c r="I159" s="19"/>
      <c r="J159" s="19"/>
      <c r="K159" s="19"/>
      <c r="L159" s="19"/>
      <c r="M159" s="19"/>
      <c r="N159" s="19"/>
      <c r="O159" s="19"/>
      <c r="P159" s="19"/>
    </row>
    <row r="160">
      <c r="A160" s="19"/>
      <c r="B160" s="19"/>
      <c r="C160" s="19"/>
      <c r="D160" s="19"/>
      <c r="E160" s="19"/>
      <c r="F160" s="19"/>
      <c r="G160" s="19"/>
      <c r="H160" s="19"/>
      <c r="I160" s="19"/>
      <c r="J160" s="19"/>
      <c r="K160" s="19"/>
      <c r="L160" s="19"/>
      <c r="M160" s="19"/>
      <c r="N160" s="19"/>
      <c r="O160" s="19"/>
      <c r="P160" s="19"/>
    </row>
    <row r="161">
      <c r="A161" s="19"/>
      <c r="B161" s="19"/>
      <c r="C161" s="19"/>
      <c r="D161" s="19"/>
      <c r="E161" s="19"/>
      <c r="F161" s="19"/>
      <c r="G161" s="19"/>
      <c r="H161" s="19"/>
      <c r="I161" s="19"/>
      <c r="J161" s="19"/>
      <c r="K161" s="19"/>
      <c r="L161" s="19"/>
      <c r="M161" s="19"/>
      <c r="N161" s="19"/>
      <c r="O161" s="19"/>
      <c r="P161" s="19"/>
    </row>
    <row r="162">
      <c r="A162" s="19"/>
      <c r="B162" s="19"/>
      <c r="C162" s="19"/>
      <c r="D162" s="19"/>
      <c r="E162" s="19"/>
      <c r="F162" s="19"/>
      <c r="G162" s="19"/>
      <c r="H162" s="19"/>
      <c r="I162" s="19"/>
      <c r="J162" s="19"/>
      <c r="K162" s="19"/>
      <c r="L162" s="19"/>
      <c r="M162" s="19"/>
      <c r="N162" s="19"/>
      <c r="O162" s="19"/>
      <c r="P162" s="19"/>
    </row>
    <row r="163">
      <c r="A163" s="19"/>
      <c r="B163" s="19"/>
      <c r="C163" s="19"/>
      <c r="D163" s="19"/>
      <c r="E163" s="19"/>
      <c r="F163" s="19"/>
      <c r="G163" s="19"/>
      <c r="H163" s="19"/>
      <c r="I163" s="19"/>
      <c r="J163" s="19"/>
      <c r="K163" s="19"/>
      <c r="L163" s="19"/>
      <c r="M163" s="19"/>
      <c r="N163" s="19"/>
      <c r="O163" s="19"/>
      <c r="P163" s="19"/>
    </row>
    <row r="164">
      <c r="A164" s="19"/>
      <c r="B164" s="19"/>
      <c r="C164" s="19"/>
      <c r="D164" s="19"/>
      <c r="E164" s="19"/>
      <c r="F164" s="19"/>
      <c r="G164" s="19"/>
      <c r="H164" s="19"/>
      <c r="I164" s="19"/>
      <c r="J164" s="19"/>
      <c r="K164" s="19"/>
      <c r="L164" s="19"/>
      <c r="M164" s="19"/>
      <c r="N164" s="19"/>
      <c r="O164" s="19"/>
      <c r="P164" s="19"/>
    </row>
    <row r="165">
      <c r="A165" s="19"/>
      <c r="B165" s="19"/>
      <c r="C165" s="19"/>
      <c r="D165" s="19"/>
      <c r="E165" s="19"/>
      <c r="F165" s="19"/>
      <c r="G165" s="19"/>
      <c r="H165" s="19"/>
      <c r="I165" s="19"/>
      <c r="J165" s="19"/>
      <c r="K165" s="19"/>
      <c r="L165" s="19"/>
      <c r="M165" s="19"/>
      <c r="N165" s="19"/>
      <c r="O165" s="19"/>
      <c r="P165" s="19"/>
    </row>
    <row r="166">
      <c r="A166" s="19"/>
      <c r="B166" s="19"/>
      <c r="C166" s="19"/>
      <c r="D166" s="19"/>
      <c r="E166" s="19"/>
      <c r="F166" s="19"/>
      <c r="G166" s="19"/>
      <c r="H166" s="19"/>
      <c r="I166" s="19"/>
      <c r="J166" s="19"/>
      <c r="K166" s="19"/>
      <c r="L166" s="19"/>
      <c r="M166" s="19"/>
      <c r="N166" s="19"/>
      <c r="O166" s="19"/>
      <c r="P166" s="19"/>
    </row>
    <row r="167">
      <c r="A167" s="19"/>
      <c r="B167" s="19"/>
      <c r="C167" s="19"/>
      <c r="D167" s="19"/>
      <c r="E167" s="19"/>
      <c r="F167" s="19"/>
      <c r="G167" s="19"/>
      <c r="H167" s="19"/>
      <c r="I167" s="19"/>
      <c r="J167" s="19"/>
      <c r="K167" s="19"/>
      <c r="L167" s="19"/>
      <c r="M167" s="19"/>
      <c r="N167" s="19"/>
      <c r="O167" s="19"/>
      <c r="P167" s="19"/>
    </row>
    <row r="168">
      <c r="A168" s="19"/>
      <c r="B168" s="19"/>
      <c r="C168" s="19"/>
      <c r="D168" s="19"/>
      <c r="E168" s="19"/>
      <c r="F168" s="19"/>
      <c r="G168" s="19"/>
      <c r="H168" s="19"/>
      <c r="I168" s="19"/>
      <c r="J168" s="19"/>
      <c r="K168" s="19"/>
      <c r="L168" s="19"/>
      <c r="M168" s="19"/>
      <c r="N168" s="19"/>
      <c r="O168" s="19"/>
      <c r="P168" s="19"/>
    </row>
    <row r="169">
      <c r="A169" s="19"/>
      <c r="B169" s="19"/>
      <c r="C169" s="19"/>
      <c r="D169" s="19"/>
      <c r="E169" s="19"/>
      <c r="F169" s="19"/>
      <c r="G169" s="19"/>
      <c r="H169" s="19"/>
      <c r="I169" s="19"/>
      <c r="J169" s="19"/>
      <c r="K169" s="19"/>
      <c r="L169" s="19"/>
      <c r="M169" s="19"/>
      <c r="N169" s="19"/>
      <c r="O169" s="19"/>
      <c r="P169" s="19"/>
    </row>
    <row r="170">
      <c r="A170" s="19"/>
      <c r="B170" s="19"/>
      <c r="C170" s="19"/>
      <c r="D170" s="19"/>
      <c r="E170" s="19"/>
      <c r="F170" s="19"/>
      <c r="G170" s="19"/>
      <c r="H170" s="19"/>
      <c r="I170" s="19"/>
      <c r="J170" s="19"/>
      <c r="K170" s="19"/>
      <c r="L170" s="19"/>
      <c r="M170" s="19"/>
      <c r="N170" s="19"/>
      <c r="O170" s="19"/>
      <c r="P170" s="19"/>
    </row>
    <row r="171">
      <c r="A171" s="19"/>
      <c r="B171" s="19"/>
      <c r="C171" s="19"/>
      <c r="D171" s="19"/>
      <c r="E171" s="19"/>
      <c r="F171" s="19"/>
      <c r="G171" s="19"/>
      <c r="H171" s="19"/>
      <c r="I171" s="19"/>
      <c r="J171" s="19"/>
      <c r="K171" s="19"/>
      <c r="L171" s="19"/>
      <c r="M171" s="19"/>
      <c r="N171" s="19"/>
      <c r="O171" s="19"/>
      <c r="P171" s="19"/>
    </row>
    <row r="172">
      <c r="A172" s="19"/>
      <c r="B172" s="19"/>
      <c r="C172" s="19"/>
      <c r="D172" s="19"/>
      <c r="E172" s="19"/>
      <c r="F172" s="19"/>
      <c r="G172" s="19"/>
      <c r="H172" s="19"/>
      <c r="I172" s="19"/>
      <c r="J172" s="19"/>
      <c r="K172" s="19"/>
      <c r="L172" s="19"/>
      <c r="M172" s="19"/>
      <c r="N172" s="19"/>
      <c r="O172" s="19"/>
      <c r="P172" s="19"/>
    </row>
    <row r="173">
      <c r="A173" s="19"/>
      <c r="B173" s="19"/>
      <c r="C173" s="19"/>
      <c r="D173" s="19"/>
      <c r="E173" s="19"/>
      <c r="F173" s="19"/>
      <c r="G173" s="19"/>
      <c r="H173" s="19"/>
      <c r="I173" s="19"/>
      <c r="J173" s="19"/>
      <c r="K173" s="19"/>
      <c r="L173" s="19"/>
      <c r="M173" s="19"/>
      <c r="N173" s="19"/>
      <c r="O173" s="19"/>
      <c r="P173" s="19"/>
    </row>
    <row r="174">
      <c r="A174" s="19"/>
      <c r="B174" s="19"/>
      <c r="C174" s="19"/>
      <c r="D174" s="19"/>
      <c r="E174" s="19"/>
      <c r="F174" s="19"/>
      <c r="G174" s="19"/>
      <c r="H174" s="19"/>
      <c r="I174" s="19"/>
      <c r="J174" s="19"/>
      <c r="K174" s="19"/>
      <c r="L174" s="19"/>
      <c r="M174" s="19"/>
      <c r="N174" s="19"/>
      <c r="O174" s="19"/>
      <c r="P174" s="19"/>
    </row>
    <row r="175">
      <c r="A175" s="19"/>
      <c r="B175" s="19"/>
      <c r="C175" s="19"/>
      <c r="D175" s="19"/>
      <c r="E175" s="19"/>
      <c r="F175" s="19"/>
      <c r="G175" s="19"/>
      <c r="H175" s="19"/>
      <c r="I175" s="19"/>
      <c r="J175" s="19"/>
      <c r="K175" s="19"/>
      <c r="L175" s="19"/>
      <c r="M175" s="19"/>
      <c r="N175" s="19"/>
      <c r="O175" s="19"/>
      <c r="P175" s="19"/>
    </row>
    <row r="176">
      <c r="A176" s="19"/>
      <c r="B176" s="19"/>
      <c r="C176" s="19"/>
      <c r="D176" s="19"/>
      <c r="E176" s="19"/>
      <c r="F176" s="19"/>
      <c r="G176" s="19"/>
      <c r="H176" s="19"/>
      <c r="I176" s="19"/>
      <c r="J176" s="19"/>
      <c r="K176" s="19"/>
      <c r="L176" s="19"/>
      <c r="M176" s="19"/>
      <c r="N176" s="19"/>
      <c r="O176" s="19"/>
      <c r="P176" s="19"/>
    </row>
    <row r="177">
      <c r="A177" s="19"/>
      <c r="B177" s="19"/>
      <c r="C177" s="19"/>
      <c r="D177" s="19"/>
      <c r="E177" s="19"/>
      <c r="F177" s="19"/>
      <c r="G177" s="19"/>
      <c r="H177" s="19"/>
      <c r="I177" s="19"/>
      <c r="J177" s="19"/>
      <c r="K177" s="19"/>
      <c r="L177" s="19"/>
      <c r="M177" s="19"/>
      <c r="N177" s="19"/>
      <c r="O177" s="19"/>
      <c r="P177" s="19"/>
    </row>
    <row r="178">
      <c r="A178" s="19"/>
      <c r="B178" s="19"/>
      <c r="C178" s="19"/>
      <c r="D178" s="19"/>
      <c r="E178" s="19"/>
      <c r="F178" s="19"/>
      <c r="G178" s="19"/>
      <c r="H178" s="19"/>
      <c r="I178" s="19"/>
      <c r="J178" s="19"/>
      <c r="K178" s="19"/>
      <c r="L178" s="19"/>
      <c r="M178" s="19"/>
      <c r="N178" s="19"/>
      <c r="O178" s="19"/>
      <c r="P178" s="19"/>
    </row>
    <row r="179">
      <c r="A179" s="19"/>
      <c r="B179" s="19"/>
      <c r="C179" s="19"/>
      <c r="D179" s="19"/>
      <c r="E179" s="19"/>
      <c r="F179" s="19"/>
      <c r="G179" s="19"/>
      <c r="H179" s="19"/>
      <c r="I179" s="19"/>
      <c r="J179" s="19"/>
      <c r="K179" s="19"/>
      <c r="L179" s="19"/>
      <c r="M179" s="19"/>
      <c r="N179" s="19"/>
      <c r="O179" s="19"/>
      <c r="P179" s="19"/>
    </row>
    <row r="180">
      <c r="A180" s="19"/>
      <c r="B180" s="19"/>
      <c r="C180" s="19"/>
      <c r="D180" s="19"/>
      <c r="E180" s="19"/>
      <c r="F180" s="19"/>
      <c r="G180" s="19"/>
      <c r="H180" s="19"/>
      <c r="I180" s="19"/>
      <c r="J180" s="19"/>
      <c r="K180" s="19"/>
      <c r="L180" s="19"/>
      <c r="M180" s="19"/>
      <c r="N180" s="19"/>
      <c r="O180" s="19"/>
      <c r="P180" s="19"/>
    </row>
    <row r="181">
      <c r="A181" s="19"/>
      <c r="B181" s="19"/>
      <c r="C181" s="19"/>
      <c r="D181" s="19"/>
      <c r="E181" s="19"/>
      <c r="F181" s="19"/>
      <c r="G181" s="19"/>
      <c r="H181" s="19"/>
      <c r="I181" s="19"/>
      <c r="J181" s="19"/>
      <c r="K181" s="19"/>
      <c r="L181" s="19"/>
      <c r="M181" s="19"/>
      <c r="N181" s="19"/>
      <c r="O181" s="19"/>
      <c r="P181" s="19"/>
    </row>
    <row r="182">
      <c r="A182" s="19"/>
      <c r="B182" s="19"/>
      <c r="C182" s="19"/>
      <c r="D182" s="19"/>
      <c r="E182" s="19"/>
      <c r="F182" s="19"/>
      <c r="G182" s="19"/>
      <c r="H182" s="19"/>
      <c r="I182" s="19"/>
      <c r="J182" s="19"/>
      <c r="K182" s="19"/>
      <c r="L182" s="19"/>
      <c r="M182" s="19"/>
      <c r="N182" s="19"/>
      <c r="O182" s="19"/>
      <c r="P182" s="19"/>
    </row>
    <row r="183">
      <c r="A183" s="19"/>
      <c r="B183" s="19"/>
      <c r="C183" s="19"/>
      <c r="D183" s="19"/>
      <c r="E183" s="19"/>
      <c r="F183" s="19"/>
      <c r="G183" s="19"/>
      <c r="H183" s="19"/>
      <c r="I183" s="19"/>
      <c r="J183" s="19"/>
      <c r="K183" s="19"/>
      <c r="L183" s="19"/>
      <c r="M183" s="19"/>
      <c r="N183" s="19"/>
      <c r="O183" s="19"/>
      <c r="P183" s="19"/>
    </row>
    <row r="184">
      <c r="A184" s="19"/>
      <c r="B184" s="19"/>
      <c r="C184" s="19"/>
      <c r="D184" s="19"/>
      <c r="E184" s="19"/>
      <c r="F184" s="19"/>
      <c r="G184" s="19"/>
      <c r="H184" s="19"/>
      <c r="I184" s="19"/>
      <c r="J184" s="19"/>
      <c r="K184" s="19"/>
      <c r="L184" s="19"/>
      <c r="M184" s="19"/>
      <c r="N184" s="19"/>
      <c r="O184" s="19"/>
      <c r="P184" s="19"/>
    </row>
    <row r="185">
      <c r="A185" s="19"/>
      <c r="B185" s="19"/>
      <c r="C185" s="19"/>
      <c r="D185" s="19"/>
      <c r="E185" s="19"/>
      <c r="F185" s="19"/>
      <c r="G185" s="19"/>
      <c r="H185" s="19"/>
      <c r="I185" s="19"/>
      <c r="J185" s="19"/>
      <c r="K185" s="19"/>
      <c r="L185" s="19"/>
      <c r="M185" s="19"/>
      <c r="N185" s="19"/>
      <c r="O185" s="19"/>
      <c r="P185" s="19"/>
    </row>
    <row r="186">
      <c r="A186" s="19"/>
      <c r="B186" s="19"/>
      <c r="C186" s="19"/>
      <c r="D186" s="19"/>
      <c r="E186" s="19"/>
      <c r="F186" s="19"/>
      <c r="G186" s="19"/>
      <c r="H186" s="19"/>
      <c r="I186" s="19"/>
      <c r="J186" s="19"/>
      <c r="K186" s="19"/>
      <c r="L186" s="19"/>
      <c r="M186" s="19"/>
      <c r="N186" s="19"/>
      <c r="O186" s="19"/>
      <c r="P186" s="19"/>
    </row>
    <row r="187">
      <c r="A187" s="19"/>
      <c r="B187" s="19"/>
      <c r="C187" s="19"/>
      <c r="D187" s="19"/>
      <c r="E187" s="19"/>
      <c r="F187" s="19"/>
      <c r="G187" s="19"/>
      <c r="H187" s="19"/>
      <c r="I187" s="19"/>
      <c r="J187" s="19"/>
      <c r="K187" s="19"/>
      <c r="L187" s="19"/>
      <c r="M187" s="19"/>
      <c r="N187" s="19"/>
      <c r="O187" s="19"/>
      <c r="P187" s="19"/>
    </row>
    <row r="188">
      <c r="A188" s="19"/>
      <c r="B188" s="19"/>
      <c r="C188" s="19"/>
      <c r="D188" s="19"/>
      <c r="E188" s="19"/>
      <c r="F188" s="19"/>
      <c r="G188" s="19"/>
      <c r="H188" s="19"/>
      <c r="I188" s="19"/>
      <c r="J188" s="19"/>
      <c r="K188" s="19"/>
      <c r="L188" s="19"/>
      <c r="M188" s="19"/>
      <c r="N188" s="19"/>
      <c r="O188" s="19"/>
      <c r="P188" s="19"/>
    </row>
    <row r="189">
      <c r="A189" s="19"/>
      <c r="B189" s="19"/>
      <c r="C189" s="19"/>
      <c r="D189" s="19"/>
      <c r="E189" s="19"/>
      <c r="F189" s="19"/>
      <c r="G189" s="19"/>
      <c r="H189" s="19"/>
      <c r="I189" s="19"/>
      <c r="J189" s="19"/>
      <c r="K189" s="19"/>
      <c r="L189" s="19"/>
      <c r="M189" s="19"/>
      <c r="N189" s="19"/>
      <c r="O189" s="19"/>
      <c r="P189" s="19"/>
    </row>
    <row r="190">
      <c r="A190" s="19"/>
      <c r="B190" s="19"/>
      <c r="C190" s="19"/>
      <c r="D190" s="19"/>
      <c r="E190" s="19"/>
      <c r="F190" s="19"/>
      <c r="G190" s="19"/>
      <c r="H190" s="19"/>
      <c r="I190" s="19"/>
      <c r="J190" s="19"/>
      <c r="K190" s="19"/>
      <c r="L190" s="19"/>
      <c r="M190" s="19"/>
      <c r="N190" s="19"/>
      <c r="O190" s="19"/>
      <c r="P190" s="19"/>
    </row>
    <row r="191">
      <c r="A191" s="19"/>
      <c r="B191" s="19"/>
      <c r="C191" s="19"/>
      <c r="D191" s="19"/>
      <c r="E191" s="19"/>
      <c r="F191" s="19"/>
      <c r="G191" s="19"/>
      <c r="H191" s="19"/>
      <c r="I191" s="19"/>
      <c r="J191" s="19"/>
      <c r="K191" s="19"/>
      <c r="L191" s="19"/>
      <c r="M191" s="19"/>
      <c r="N191" s="19"/>
      <c r="O191" s="19"/>
      <c r="P191" s="19"/>
    </row>
    <row r="192">
      <c r="A192" s="19"/>
      <c r="B192" s="19"/>
      <c r="C192" s="19"/>
      <c r="D192" s="19"/>
      <c r="E192" s="19"/>
      <c r="F192" s="19"/>
      <c r="G192" s="19"/>
      <c r="H192" s="19"/>
      <c r="I192" s="19"/>
      <c r="J192" s="19"/>
      <c r="K192" s="19"/>
      <c r="L192" s="19"/>
      <c r="M192" s="19"/>
      <c r="N192" s="19"/>
      <c r="O192" s="19"/>
      <c r="P192" s="19"/>
    </row>
    <row r="193">
      <c r="A193" s="19"/>
      <c r="B193" s="19"/>
      <c r="C193" s="19"/>
      <c r="D193" s="19"/>
      <c r="E193" s="19"/>
      <c r="F193" s="19"/>
      <c r="G193" s="19"/>
      <c r="H193" s="19"/>
      <c r="I193" s="19"/>
      <c r="J193" s="19"/>
      <c r="K193" s="19"/>
      <c r="L193" s="19"/>
      <c r="M193" s="19"/>
      <c r="N193" s="19"/>
      <c r="O193" s="19"/>
      <c r="P193" s="19"/>
    </row>
    <row r="194">
      <c r="A194" s="19"/>
      <c r="B194" s="19"/>
      <c r="C194" s="19"/>
      <c r="D194" s="19"/>
      <c r="E194" s="19"/>
      <c r="F194" s="19"/>
      <c r="G194" s="19"/>
      <c r="H194" s="19"/>
      <c r="I194" s="19"/>
      <c r="J194" s="19"/>
      <c r="K194" s="19"/>
      <c r="L194" s="19"/>
      <c r="M194" s="19"/>
      <c r="N194" s="19"/>
      <c r="O194" s="19"/>
      <c r="P194" s="19"/>
    </row>
    <row r="195">
      <c r="A195" s="19"/>
      <c r="B195" s="19"/>
      <c r="C195" s="19"/>
      <c r="D195" s="19"/>
      <c r="E195" s="19"/>
      <c r="F195" s="19"/>
      <c r="G195" s="19"/>
      <c r="H195" s="19"/>
      <c r="I195" s="19"/>
      <c r="J195" s="19"/>
      <c r="K195" s="19"/>
      <c r="L195" s="19"/>
      <c r="M195" s="19"/>
      <c r="N195" s="19"/>
      <c r="O195" s="19"/>
      <c r="P195" s="19"/>
    </row>
    <row r="196">
      <c r="A196" s="19"/>
      <c r="B196" s="19"/>
      <c r="C196" s="19"/>
      <c r="D196" s="19"/>
      <c r="E196" s="19"/>
      <c r="F196" s="19"/>
      <c r="G196" s="19"/>
      <c r="H196" s="19"/>
      <c r="I196" s="19"/>
      <c r="J196" s="19"/>
      <c r="K196" s="19"/>
      <c r="L196" s="19"/>
      <c r="M196" s="19"/>
      <c r="N196" s="19"/>
      <c r="O196" s="19"/>
      <c r="P196" s="19"/>
    </row>
    <row r="197">
      <c r="A197" s="19"/>
      <c r="B197" s="19"/>
      <c r="C197" s="19"/>
      <c r="D197" s="19"/>
      <c r="E197" s="19"/>
      <c r="F197" s="19"/>
      <c r="G197" s="19"/>
      <c r="H197" s="19"/>
      <c r="I197" s="19"/>
      <c r="J197" s="19"/>
      <c r="K197" s="19"/>
      <c r="L197" s="19"/>
      <c r="M197" s="19"/>
      <c r="N197" s="19"/>
      <c r="O197" s="19"/>
      <c r="P197" s="19"/>
    </row>
    <row r="198">
      <c r="A198" s="19"/>
      <c r="B198" s="19"/>
      <c r="C198" s="19"/>
      <c r="D198" s="19"/>
      <c r="E198" s="19"/>
      <c r="F198" s="19"/>
      <c r="G198" s="19"/>
      <c r="H198" s="19"/>
      <c r="I198" s="19"/>
      <c r="J198" s="19"/>
      <c r="K198" s="19"/>
      <c r="L198" s="19"/>
      <c r="M198" s="19"/>
      <c r="N198" s="19"/>
      <c r="O198" s="19"/>
      <c r="P198" s="19"/>
    </row>
    <row r="199">
      <c r="A199" s="19"/>
      <c r="B199" s="19"/>
      <c r="C199" s="19"/>
      <c r="D199" s="19"/>
      <c r="E199" s="19"/>
      <c r="F199" s="19"/>
      <c r="G199" s="19"/>
      <c r="H199" s="19"/>
      <c r="I199" s="19"/>
      <c r="J199" s="19"/>
      <c r="K199" s="19"/>
      <c r="L199" s="19"/>
      <c r="M199" s="19"/>
      <c r="N199" s="19"/>
      <c r="O199" s="19"/>
      <c r="P199" s="19"/>
    </row>
    <row r="200">
      <c r="A200" s="19"/>
      <c r="B200" s="19"/>
      <c r="C200" s="19"/>
      <c r="D200" s="19"/>
      <c r="E200" s="19"/>
      <c r="F200" s="19"/>
      <c r="G200" s="19"/>
      <c r="H200" s="19"/>
      <c r="I200" s="19"/>
      <c r="J200" s="19"/>
      <c r="K200" s="19"/>
      <c r="L200" s="19"/>
      <c r="M200" s="19"/>
      <c r="N200" s="19"/>
      <c r="O200" s="19"/>
      <c r="P200" s="19"/>
    </row>
    <row r="201">
      <c r="A201" s="19"/>
      <c r="B201" s="19"/>
      <c r="C201" s="19"/>
      <c r="D201" s="19"/>
      <c r="E201" s="19"/>
      <c r="F201" s="19"/>
      <c r="G201" s="19"/>
      <c r="H201" s="19"/>
      <c r="I201" s="19"/>
      <c r="J201" s="19"/>
      <c r="K201" s="19"/>
      <c r="L201" s="19"/>
      <c r="M201" s="19"/>
      <c r="N201" s="19"/>
      <c r="O201" s="19"/>
      <c r="P201" s="19"/>
    </row>
    <row r="202">
      <c r="A202" s="19"/>
      <c r="B202" s="19"/>
      <c r="C202" s="19"/>
      <c r="D202" s="19"/>
      <c r="E202" s="19"/>
      <c r="F202" s="19"/>
      <c r="G202" s="19"/>
      <c r="H202" s="19"/>
      <c r="I202" s="19"/>
      <c r="J202" s="19"/>
      <c r="K202" s="19"/>
      <c r="L202" s="19"/>
      <c r="M202" s="19"/>
      <c r="N202" s="19"/>
      <c r="O202" s="19"/>
      <c r="P202" s="19"/>
    </row>
    <row r="203">
      <c r="A203" s="19"/>
      <c r="B203" s="19"/>
      <c r="C203" s="19"/>
      <c r="D203" s="19"/>
      <c r="E203" s="19"/>
      <c r="F203" s="19"/>
      <c r="G203" s="19"/>
      <c r="H203" s="19"/>
      <c r="I203" s="19"/>
      <c r="J203" s="19"/>
      <c r="K203" s="19"/>
      <c r="L203" s="19"/>
      <c r="M203" s="19"/>
      <c r="N203" s="19"/>
      <c r="O203" s="19"/>
      <c r="P203" s="19"/>
    </row>
    <row r="204">
      <c r="A204" s="19"/>
      <c r="B204" s="19"/>
      <c r="C204" s="19"/>
      <c r="D204" s="19"/>
      <c r="E204" s="19"/>
      <c r="F204" s="19"/>
      <c r="G204" s="19"/>
      <c r="H204" s="19"/>
      <c r="I204" s="19"/>
      <c r="J204" s="19"/>
      <c r="K204" s="19"/>
      <c r="L204" s="19"/>
      <c r="M204" s="19"/>
      <c r="N204" s="19"/>
      <c r="O204" s="19"/>
      <c r="P204" s="19"/>
    </row>
    <row r="205">
      <c r="A205" s="19"/>
      <c r="B205" s="19"/>
      <c r="C205" s="19"/>
      <c r="D205" s="19"/>
      <c r="E205" s="19"/>
      <c r="F205" s="19"/>
      <c r="G205" s="19"/>
      <c r="H205" s="19"/>
      <c r="I205" s="19"/>
      <c r="J205" s="19"/>
      <c r="K205" s="19"/>
      <c r="L205" s="19"/>
      <c r="M205" s="19"/>
      <c r="N205" s="19"/>
      <c r="O205" s="19"/>
      <c r="P205" s="19"/>
    </row>
    <row r="206">
      <c r="A206" s="19"/>
      <c r="B206" s="19"/>
      <c r="C206" s="19"/>
      <c r="D206" s="19"/>
      <c r="E206" s="19"/>
      <c r="F206" s="19"/>
      <c r="G206" s="19"/>
      <c r="H206" s="19"/>
      <c r="I206" s="19"/>
      <c r="J206" s="19"/>
      <c r="K206" s="19"/>
      <c r="L206" s="19"/>
      <c r="M206" s="19"/>
      <c r="N206" s="19"/>
      <c r="O206" s="19"/>
      <c r="P206" s="19"/>
    </row>
    <row r="207">
      <c r="A207" s="19"/>
      <c r="B207" s="19"/>
      <c r="C207" s="19"/>
      <c r="D207" s="19"/>
      <c r="E207" s="19"/>
      <c r="F207" s="19"/>
      <c r="G207" s="19"/>
      <c r="H207" s="19"/>
      <c r="I207" s="19"/>
      <c r="J207" s="19"/>
      <c r="K207" s="19"/>
      <c r="L207" s="19"/>
      <c r="M207" s="19"/>
      <c r="N207" s="19"/>
      <c r="O207" s="19"/>
      <c r="P207" s="19"/>
    </row>
    <row r="208">
      <c r="A208" s="19"/>
      <c r="B208" s="19"/>
      <c r="C208" s="19"/>
      <c r="D208" s="19"/>
      <c r="E208" s="19"/>
      <c r="F208" s="19"/>
      <c r="G208" s="19"/>
      <c r="H208" s="19"/>
      <c r="I208" s="19"/>
      <c r="J208" s="19"/>
      <c r="K208" s="19"/>
      <c r="L208" s="19"/>
      <c r="M208" s="19"/>
      <c r="N208" s="19"/>
      <c r="O208" s="19"/>
      <c r="P208" s="19"/>
    </row>
    <row r="209">
      <c r="A209" s="19"/>
      <c r="B209" s="19"/>
      <c r="C209" s="19"/>
      <c r="D209" s="19"/>
      <c r="E209" s="19"/>
      <c r="F209" s="19"/>
      <c r="G209" s="19"/>
      <c r="H209" s="19"/>
      <c r="I209" s="19"/>
      <c r="J209" s="19"/>
      <c r="K209" s="19"/>
      <c r="L209" s="19"/>
      <c r="M209" s="19"/>
      <c r="N209" s="19"/>
      <c r="O209" s="19"/>
      <c r="P209" s="19"/>
    </row>
    <row r="210">
      <c r="A210" s="19"/>
      <c r="B210" s="19"/>
      <c r="C210" s="19"/>
      <c r="D210" s="19"/>
      <c r="E210" s="19"/>
      <c r="F210" s="19"/>
      <c r="G210" s="19"/>
      <c r="H210" s="19"/>
      <c r="I210" s="19"/>
      <c r="J210" s="19"/>
      <c r="K210" s="19"/>
      <c r="L210" s="19"/>
      <c r="M210" s="19"/>
      <c r="N210" s="19"/>
      <c r="O210" s="19"/>
      <c r="P210" s="19"/>
    </row>
    <row r="211">
      <c r="A211" s="19"/>
      <c r="B211" s="19"/>
      <c r="C211" s="19"/>
      <c r="D211" s="19"/>
      <c r="E211" s="19"/>
      <c r="F211" s="19"/>
      <c r="G211" s="19"/>
      <c r="H211" s="19"/>
      <c r="I211" s="19"/>
      <c r="J211" s="19"/>
      <c r="K211" s="19"/>
      <c r="L211" s="19"/>
      <c r="M211" s="19"/>
      <c r="N211" s="19"/>
      <c r="O211" s="19"/>
      <c r="P211" s="19"/>
    </row>
    <row r="212">
      <c r="A212" s="19"/>
      <c r="B212" s="19"/>
      <c r="C212" s="19"/>
      <c r="D212" s="19"/>
      <c r="E212" s="19"/>
      <c r="F212" s="19"/>
      <c r="G212" s="19"/>
      <c r="H212" s="19"/>
      <c r="I212" s="19"/>
      <c r="J212" s="19"/>
      <c r="K212" s="19"/>
      <c r="L212" s="19"/>
      <c r="M212" s="19"/>
      <c r="N212" s="19"/>
      <c r="O212" s="19"/>
      <c r="P212" s="19"/>
    </row>
    <row r="213">
      <c r="A213" s="19"/>
      <c r="B213" s="19"/>
      <c r="C213" s="19"/>
      <c r="D213" s="19"/>
      <c r="E213" s="19"/>
      <c r="F213" s="19"/>
      <c r="G213" s="19"/>
      <c r="H213" s="19"/>
      <c r="I213" s="19"/>
      <c r="J213" s="19"/>
      <c r="K213" s="19"/>
      <c r="L213" s="19"/>
      <c r="M213" s="19"/>
      <c r="N213" s="19"/>
      <c r="O213" s="19"/>
      <c r="P213" s="19"/>
    </row>
    <row r="214">
      <c r="A214" s="19"/>
      <c r="B214" s="19"/>
      <c r="C214" s="19"/>
      <c r="D214" s="19"/>
      <c r="E214" s="19"/>
      <c r="F214" s="19"/>
      <c r="G214" s="19"/>
      <c r="H214" s="19"/>
      <c r="I214" s="19"/>
      <c r="J214" s="19"/>
      <c r="K214" s="19"/>
      <c r="L214" s="19"/>
      <c r="M214" s="19"/>
      <c r="N214" s="19"/>
      <c r="O214" s="19"/>
      <c r="P214" s="19"/>
    </row>
    <row r="215">
      <c r="A215" s="19"/>
      <c r="B215" s="19"/>
      <c r="C215" s="19"/>
      <c r="D215" s="19"/>
      <c r="E215" s="19"/>
      <c r="F215" s="19"/>
      <c r="G215" s="19"/>
      <c r="H215" s="19"/>
      <c r="I215" s="19"/>
      <c r="J215" s="19"/>
      <c r="K215" s="19"/>
      <c r="L215" s="19"/>
      <c r="M215" s="19"/>
      <c r="N215" s="19"/>
      <c r="O215" s="19"/>
      <c r="P215" s="19"/>
    </row>
    <row r="216">
      <c r="A216" s="19"/>
      <c r="B216" s="19"/>
      <c r="C216" s="19"/>
      <c r="D216" s="19"/>
      <c r="E216" s="19"/>
      <c r="F216" s="19"/>
      <c r="G216" s="19"/>
      <c r="H216" s="19"/>
      <c r="I216" s="19"/>
      <c r="J216" s="19"/>
      <c r="K216" s="19"/>
      <c r="L216" s="19"/>
      <c r="M216" s="19"/>
      <c r="N216" s="19"/>
      <c r="O216" s="19"/>
      <c r="P216" s="19"/>
    </row>
    <row r="217">
      <c r="A217" s="19"/>
      <c r="B217" s="19"/>
      <c r="C217" s="19"/>
      <c r="D217" s="19"/>
      <c r="E217" s="19"/>
      <c r="F217" s="19"/>
      <c r="G217" s="19"/>
      <c r="H217" s="19"/>
      <c r="I217" s="19"/>
      <c r="J217" s="19"/>
      <c r="K217" s="19"/>
      <c r="L217" s="19"/>
      <c r="M217" s="19"/>
      <c r="N217" s="19"/>
      <c r="O217" s="19"/>
      <c r="P217" s="19"/>
    </row>
    <row r="218">
      <c r="A218" s="19"/>
      <c r="B218" s="19"/>
      <c r="C218" s="19"/>
      <c r="D218" s="19"/>
      <c r="E218" s="19"/>
      <c r="F218" s="19"/>
      <c r="G218" s="19"/>
      <c r="H218" s="19"/>
      <c r="I218" s="19"/>
      <c r="J218" s="19"/>
      <c r="K218" s="19"/>
      <c r="L218" s="19"/>
      <c r="M218" s="19"/>
      <c r="N218" s="19"/>
      <c r="O218" s="19"/>
      <c r="P218" s="19"/>
    </row>
    <row r="219">
      <c r="A219" s="19"/>
      <c r="B219" s="19"/>
      <c r="C219" s="19"/>
      <c r="D219" s="19"/>
      <c r="E219" s="19"/>
      <c r="F219" s="19"/>
      <c r="G219" s="19"/>
      <c r="H219" s="19"/>
      <c r="I219" s="19"/>
      <c r="J219" s="19"/>
      <c r="K219" s="19"/>
      <c r="L219" s="19"/>
      <c r="M219" s="19"/>
      <c r="N219" s="19"/>
      <c r="O219" s="19"/>
      <c r="P219" s="19"/>
    </row>
    <row r="220">
      <c r="A220" s="19"/>
      <c r="B220" s="19"/>
      <c r="C220" s="19"/>
      <c r="D220" s="19"/>
      <c r="E220" s="19"/>
      <c r="F220" s="19"/>
      <c r="G220" s="19"/>
      <c r="H220" s="19"/>
      <c r="I220" s="19"/>
      <c r="J220" s="19"/>
      <c r="K220" s="19"/>
      <c r="L220" s="19"/>
      <c r="M220" s="19"/>
      <c r="N220" s="19"/>
      <c r="O220" s="19"/>
      <c r="P220" s="19"/>
    </row>
    <row r="221">
      <c r="A221" s="19"/>
      <c r="B221" s="19"/>
      <c r="C221" s="19"/>
      <c r="D221" s="19"/>
      <c r="E221" s="19"/>
      <c r="F221" s="19"/>
      <c r="G221" s="19"/>
      <c r="H221" s="19"/>
      <c r="I221" s="19"/>
      <c r="J221" s="19"/>
      <c r="K221" s="19"/>
      <c r="L221" s="19"/>
      <c r="M221" s="19"/>
      <c r="N221" s="19"/>
      <c r="O221" s="19"/>
      <c r="P221" s="19"/>
    </row>
    <row r="222">
      <c r="A222" s="19"/>
      <c r="B222" s="19"/>
      <c r="C222" s="19"/>
      <c r="D222" s="19"/>
      <c r="E222" s="19"/>
      <c r="F222" s="19"/>
      <c r="G222" s="19"/>
      <c r="H222" s="19"/>
      <c r="I222" s="19"/>
      <c r="J222" s="19"/>
      <c r="K222" s="19"/>
      <c r="L222" s="19"/>
      <c r="M222" s="19"/>
      <c r="N222" s="19"/>
      <c r="O222" s="19"/>
      <c r="P222" s="19"/>
    </row>
    <row r="223">
      <c r="A223" s="19"/>
      <c r="B223" s="19"/>
      <c r="C223" s="19"/>
      <c r="D223" s="19"/>
      <c r="E223" s="19"/>
      <c r="F223" s="19"/>
      <c r="G223" s="19"/>
      <c r="H223" s="19"/>
      <c r="I223" s="19"/>
      <c r="J223" s="19"/>
      <c r="K223" s="19"/>
      <c r="L223" s="19"/>
      <c r="M223" s="19"/>
      <c r="N223" s="19"/>
      <c r="O223" s="19"/>
      <c r="P223" s="19"/>
    </row>
    <row r="224">
      <c r="A224" s="19"/>
      <c r="B224" s="19"/>
      <c r="C224" s="19"/>
      <c r="D224" s="19"/>
      <c r="E224" s="19"/>
      <c r="F224" s="19"/>
      <c r="G224" s="19"/>
      <c r="H224" s="19"/>
      <c r="I224" s="19"/>
      <c r="J224" s="19"/>
      <c r="K224" s="19"/>
      <c r="L224" s="19"/>
      <c r="M224" s="19"/>
      <c r="N224" s="19"/>
      <c r="O224" s="19"/>
      <c r="P224" s="19"/>
    </row>
    <row r="225">
      <c r="A225" s="19"/>
      <c r="B225" s="19"/>
      <c r="C225" s="19"/>
      <c r="D225" s="19"/>
      <c r="E225" s="19"/>
      <c r="F225" s="19"/>
      <c r="G225" s="19"/>
      <c r="H225" s="19"/>
      <c r="I225" s="19"/>
      <c r="J225" s="19"/>
      <c r="K225" s="19"/>
      <c r="L225" s="19"/>
      <c r="M225" s="19"/>
      <c r="N225" s="19"/>
      <c r="O225" s="19"/>
      <c r="P225" s="19"/>
    </row>
    <row r="226">
      <c r="A226" s="19"/>
      <c r="B226" s="19"/>
      <c r="C226" s="19"/>
      <c r="D226" s="19"/>
      <c r="E226" s="19"/>
      <c r="F226" s="19"/>
      <c r="G226" s="19"/>
      <c r="H226" s="19"/>
      <c r="I226" s="19"/>
      <c r="J226" s="19"/>
      <c r="K226" s="19"/>
      <c r="L226" s="19"/>
      <c r="M226" s="19"/>
      <c r="N226" s="19"/>
      <c r="O226" s="19"/>
      <c r="P226" s="19"/>
    </row>
    <row r="227">
      <c r="A227" s="19"/>
      <c r="B227" s="19"/>
      <c r="C227" s="19"/>
      <c r="D227" s="19"/>
      <c r="E227" s="19"/>
      <c r="F227" s="19"/>
      <c r="G227" s="19"/>
      <c r="H227" s="19"/>
      <c r="I227" s="19"/>
      <c r="J227" s="19"/>
      <c r="K227" s="19"/>
      <c r="L227" s="19"/>
      <c r="M227" s="19"/>
      <c r="N227" s="19"/>
      <c r="O227" s="19"/>
      <c r="P227" s="19"/>
    </row>
    <row r="228">
      <c r="A228" s="19"/>
      <c r="B228" s="19"/>
      <c r="C228" s="19"/>
      <c r="D228" s="19"/>
      <c r="E228" s="19"/>
      <c r="F228" s="19"/>
      <c r="G228" s="19"/>
      <c r="H228" s="19"/>
      <c r="I228" s="19"/>
      <c r="J228" s="19"/>
      <c r="K228" s="19"/>
      <c r="L228" s="19"/>
      <c r="M228" s="19"/>
      <c r="N228" s="19"/>
      <c r="O228" s="19"/>
      <c r="P228" s="19"/>
    </row>
    <row r="229">
      <c r="A229" s="19"/>
      <c r="B229" s="19"/>
      <c r="C229" s="19"/>
      <c r="D229" s="19"/>
      <c r="E229" s="19"/>
      <c r="F229" s="19"/>
      <c r="G229" s="19"/>
      <c r="H229" s="19"/>
      <c r="I229" s="19"/>
      <c r="J229" s="19"/>
      <c r="K229" s="19"/>
      <c r="L229" s="19"/>
      <c r="M229" s="19"/>
      <c r="N229" s="19"/>
      <c r="O229" s="19"/>
      <c r="P229" s="19"/>
    </row>
    <row r="230">
      <c r="A230" s="19"/>
      <c r="B230" s="19"/>
      <c r="C230" s="19"/>
      <c r="D230" s="19"/>
      <c r="E230" s="19"/>
      <c r="F230" s="19"/>
      <c r="G230" s="19"/>
      <c r="H230" s="19"/>
      <c r="I230" s="19"/>
      <c r="J230" s="19"/>
      <c r="K230" s="19"/>
      <c r="L230" s="19"/>
      <c r="M230" s="19"/>
      <c r="N230" s="19"/>
      <c r="O230" s="19"/>
      <c r="P230" s="19"/>
    </row>
    <row r="231">
      <c r="A231" s="19"/>
      <c r="B231" s="19"/>
      <c r="C231" s="19"/>
      <c r="D231" s="19"/>
      <c r="E231" s="19"/>
      <c r="F231" s="19"/>
      <c r="G231" s="19"/>
      <c r="H231" s="19"/>
      <c r="I231" s="19"/>
      <c r="J231" s="19"/>
      <c r="K231" s="19"/>
      <c r="L231" s="19"/>
      <c r="M231" s="19"/>
      <c r="N231" s="19"/>
      <c r="O231" s="19"/>
      <c r="P231" s="19"/>
    </row>
    <row r="232">
      <c r="A232" s="19"/>
      <c r="B232" s="19"/>
      <c r="C232" s="19"/>
      <c r="D232" s="19"/>
      <c r="E232" s="19"/>
      <c r="F232" s="19"/>
      <c r="G232" s="19"/>
      <c r="H232" s="19"/>
      <c r="I232" s="19"/>
      <c r="J232" s="19"/>
      <c r="K232" s="19"/>
      <c r="L232" s="19"/>
      <c r="M232" s="19"/>
      <c r="N232" s="19"/>
      <c r="O232" s="19"/>
      <c r="P232" s="19"/>
    </row>
    <row r="233">
      <c r="A233" s="19"/>
      <c r="B233" s="19"/>
      <c r="C233" s="19"/>
      <c r="D233" s="19"/>
      <c r="E233" s="19"/>
      <c r="F233" s="19"/>
      <c r="G233" s="19"/>
      <c r="H233" s="19"/>
      <c r="I233" s="19"/>
      <c r="J233" s="19"/>
      <c r="K233" s="19"/>
      <c r="L233" s="19"/>
      <c r="M233" s="19"/>
      <c r="N233" s="19"/>
      <c r="O233" s="19"/>
      <c r="P233" s="19"/>
    </row>
    <row r="234">
      <c r="A234" s="19"/>
      <c r="B234" s="19"/>
      <c r="C234" s="19"/>
      <c r="D234" s="19"/>
      <c r="E234" s="19"/>
      <c r="F234" s="19"/>
      <c r="G234" s="19"/>
      <c r="H234" s="19"/>
      <c r="I234" s="19"/>
      <c r="J234" s="19"/>
      <c r="K234" s="19"/>
      <c r="L234" s="19"/>
      <c r="M234" s="19"/>
      <c r="N234" s="19"/>
      <c r="O234" s="19"/>
      <c r="P234" s="19"/>
    </row>
    <row r="235">
      <c r="A235" s="19"/>
      <c r="B235" s="19"/>
      <c r="C235" s="19"/>
      <c r="D235" s="19"/>
      <c r="E235" s="19"/>
      <c r="F235" s="19"/>
      <c r="G235" s="19"/>
      <c r="H235" s="19"/>
      <c r="I235" s="19"/>
      <c r="J235" s="19"/>
      <c r="K235" s="19"/>
      <c r="L235" s="19"/>
      <c r="M235" s="19"/>
      <c r="N235" s="19"/>
      <c r="O235" s="19"/>
      <c r="P235" s="19"/>
    </row>
    <row r="236">
      <c r="A236" s="19"/>
      <c r="B236" s="19"/>
      <c r="C236" s="19"/>
      <c r="D236" s="19"/>
      <c r="E236" s="19"/>
      <c r="F236" s="19"/>
      <c r="G236" s="19"/>
      <c r="H236" s="19"/>
      <c r="I236" s="19"/>
      <c r="J236" s="19"/>
      <c r="K236" s="19"/>
      <c r="L236" s="19"/>
      <c r="M236" s="19"/>
      <c r="N236" s="19"/>
      <c r="O236" s="19"/>
      <c r="P236" s="19"/>
    </row>
    <row r="237">
      <c r="A237" s="19"/>
      <c r="B237" s="19"/>
      <c r="C237" s="19"/>
      <c r="D237" s="19"/>
      <c r="E237" s="19"/>
      <c r="F237" s="19"/>
      <c r="G237" s="19"/>
      <c r="H237" s="19"/>
      <c r="I237" s="19"/>
      <c r="J237" s="19"/>
      <c r="K237" s="19"/>
      <c r="L237" s="19"/>
      <c r="M237" s="19"/>
      <c r="N237" s="19"/>
      <c r="O237" s="19"/>
      <c r="P237" s="19"/>
    </row>
    <row r="238">
      <c r="A238" s="19"/>
      <c r="B238" s="19"/>
      <c r="C238" s="19"/>
      <c r="D238" s="19"/>
      <c r="E238" s="19"/>
      <c r="F238" s="19"/>
      <c r="G238" s="19"/>
      <c r="H238" s="19"/>
      <c r="I238" s="19"/>
      <c r="J238" s="19"/>
      <c r="K238" s="19"/>
      <c r="L238" s="19"/>
      <c r="M238" s="19"/>
      <c r="N238" s="19"/>
      <c r="O238" s="19"/>
      <c r="P238" s="19"/>
    </row>
    <row r="239">
      <c r="A239" s="19"/>
      <c r="B239" s="19"/>
      <c r="C239" s="19"/>
      <c r="D239" s="19"/>
      <c r="E239" s="19"/>
      <c r="F239" s="19"/>
      <c r="G239" s="19"/>
      <c r="H239" s="19"/>
      <c r="I239" s="19"/>
      <c r="J239" s="19"/>
      <c r="K239" s="19"/>
      <c r="L239" s="19"/>
      <c r="M239" s="19"/>
      <c r="N239" s="19"/>
      <c r="O239" s="19"/>
      <c r="P239" s="19"/>
    </row>
    <row r="240">
      <c r="A240" s="19"/>
      <c r="B240" s="19"/>
      <c r="C240" s="19"/>
      <c r="D240" s="19"/>
      <c r="E240" s="19"/>
      <c r="F240" s="19"/>
      <c r="G240" s="19"/>
      <c r="H240" s="19"/>
      <c r="I240" s="19"/>
      <c r="J240" s="19"/>
      <c r="K240" s="19"/>
      <c r="L240" s="19"/>
      <c r="M240" s="19"/>
      <c r="N240" s="19"/>
      <c r="O240" s="19"/>
      <c r="P240" s="19"/>
    </row>
    <row r="241">
      <c r="A241" s="19"/>
      <c r="B241" s="19"/>
      <c r="C241" s="19"/>
      <c r="D241" s="19"/>
      <c r="E241" s="19"/>
      <c r="F241" s="19"/>
      <c r="G241" s="19"/>
      <c r="H241" s="19"/>
      <c r="I241" s="19"/>
      <c r="J241" s="19"/>
      <c r="K241" s="19"/>
      <c r="L241" s="19"/>
      <c r="M241" s="19"/>
      <c r="N241" s="19"/>
      <c r="O241" s="19"/>
      <c r="P241" s="19"/>
    </row>
    <row r="242">
      <c r="A242" s="19"/>
      <c r="B242" s="19"/>
      <c r="C242" s="19"/>
      <c r="D242" s="19"/>
      <c r="E242" s="19"/>
      <c r="F242" s="19"/>
      <c r="G242" s="19"/>
      <c r="H242" s="19"/>
      <c r="I242" s="19"/>
      <c r="J242" s="19"/>
      <c r="K242" s="19"/>
      <c r="L242" s="19"/>
      <c r="M242" s="19"/>
      <c r="N242" s="19"/>
      <c r="O242" s="19"/>
      <c r="P242" s="19"/>
    </row>
    <row r="243">
      <c r="A243" s="19"/>
      <c r="B243" s="19"/>
      <c r="C243" s="19"/>
      <c r="D243" s="19"/>
      <c r="E243" s="19"/>
      <c r="F243" s="19"/>
      <c r="G243" s="19"/>
      <c r="H243" s="19"/>
      <c r="I243" s="19"/>
      <c r="J243" s="19"/>
      <c r="K243" s="19"/>
      <c r="L243" s="19"/>
      <c r="M243" s="19"/>
      <c r="N243" s="19"/>
      <c r="O243" s="19"/>
      <c r="P243" s="19"/>
    </row>
    <row r="244">
      <c r="A244" s="19"/>
      <c r="B244" s="19"/>
      <c r="C244" s="19"/>
      <c r="D244" s="19"/>
      <c r="E244" s="19"/>
      <c r="F244" s="19"/>
      <c r="G244" s="19"/>
      <c r="H244" s="19"/>
      <c r="I244" s="19"/>
      <c r="J244" s="19"/>
      <c r="K244" s="19"/>
      <c r="L244" s="19"/>
      <c r="M244" s="19"/>
      <c r="N244" s="19"/>
      <c r="O244" s="19"/>
      <c r="P244" s="19"/>
    </row>
    <row r="245">
      <c r="A245" s="19"/>
      <c r="B245" s="19"/>
      <c r="C245" s="19"/>
      <c r="D245" s="19"/>
      <c r="E245" s="19"/>
      <c r="F245" s="19"/>
      <c r="G245" s="19"/>
      <c r="H245" s="19"/>
      <c r="I245" s="19"/>
      <c r="J245" s="19"/>
      <c r="K245" s="19"/>
      <c r="L245" s="19"/>
      <c r="M245" s="19"/>
      <c r="N245" s="19"/>
      <c r="O245" s="19"/>
      <c r="P245" s="19"/>
    </row>
    <row r="246">
      <c r="A246" s="19"/>
      <c r="B246" s="19"/>
      <c r="C246" s="19"/>
      <c r="D246" s="19"/>
      <c r="E246" s="19"/>
      <c r="F246" s="19"/>
      <c r="G246" s="19"/>
      <c r="H246" s="19"/>
      <c r="I246" s="19"/>
      <c r="J246" s="19"/>
      <c r="K246" s="19"/>
      <c r="L246" s="19"/>
      <c r="M246" s="19"/>
      <c r="N246" s="19"/>
      <c r="O246" s="19"/>
      <c r="P246" s="19"/>
    </row>
    <row r="247">
      <c r="A247" s="19"/>
      <c r="B247" s="19"/>
      <c r="C247" s="19"/>
      <c r="D247" s="19"/>
      <c r="E247" s="19"/>
      <c r="F247" s="19"/>
      <c r="G247" s="19"/>
      <c r="H247" s="19"/>
      <c r="I247" s="19"/>
      <c r="J247" s="19"/>
      <c r="K247" s="19"/>
      <c r="L247" s="19"/>
      <c r="M247" s="19"/>
      <c r="N247" s="19"/>
      <c r="O247" s="19"/>
      <c r="P247" s="19"/>
    </row>
    <row r="248">
      <c r="A248" s="19"/>
      <c r="B248" s="19"/>
      <c r="C248" s="19"/>
      <c r="D248" s="19"/>
      <c r="E248" s="19"/>
      <c r="F248" s="19"/>
      <c r="G248" s="19"/>
      <c r="H248" s="19"/>
      <c r="I248" s="19"/>
      <c r="J248" s="19"/>
      <c r="K248" s="19"/>
      <c r="L248" s="19"/>
      <c r="M248" s="19"/>
      <c r="N248" s="19"/>
      <c r="O248" s="19"/>
      <c r="P248" s="19"/>
    </row>
    <row r="249">
      <c r="A249" s="19"/>
      <c r="B249" s="19"/>
      <c r="C249" s="19"/>
      <c r="D249" s="19"/>
      <c r="E249" s="19"/>
      <c r="F249" s="19"/>
      <c r="G249" s="19"/>
      <c r="H249" s="19"/>
      <c r="I249" s="19"/>
      <c r="J249" s="19"/>
      <c r="K249" s="19"/>
      <c r="L249" s="19"/>
      <c r="M249" s="19"/>
      <c r="N249" s="19"/>
      <c r="O249" s="19"/>
      <c r="P249" s="19"/>
    </row>
    <row r="250">
      <c r="A250" s="19"/>
      <c r="B250" s="19"/>
      <c r="C250" s="19"/>
      <c r="D250" s="19"/>
      <c r="E250" s="19"/>
      <c r="F250" s="19"/>
      <c r="G250" s="19"/>
      <c r="H250" s="19"/>
      <c r="I250" s="19"/>
      <c r="J250" s="19"/>
      <c r="K250" s="19"/>
      <c r="L250" s="19"/>
      <c r="M250" s="19"/>
      <c r="N250" s="19"/>
      <c r="O250" s="19"/>
      <c r="P250" s="19"/>
    </row>
    <row r="251">
      <c r="A251" s="19"/>
      <c r="B251" s="19"/>
      <c r="C251" s="19"/>
      <c r="D251" s="19"/>
      <c r="E251" s="19"/>
      <c r="F251" s="19"/>
      <c r="G251" s="19"/>
      <c r="H251" s="19"/>
      <c r="I251" s="19"/>
      <c r="J251" s="19"/>
      <c r="K251" s="19"/>
      <c r="L251" s="19"/>
      <c r="M251" s="19"/>
      <c r="N251" s="19"/>
      <c r="O251" s="19"/>
      <c r="P251" s="19"/>
    </row>
    <row r="252">
      <c r="A252" s="19"/>
      <c r="B252" s="19"/>
      <c r="C252" s="19"/>
      <c r="D252" s="19"/>
      <c r="E252" s="19"/>
      <c r="F252" s="19"/>
      <c r="G252" s="19"/>
      <c r="H252" s="19"/>
      <c r="I252" s="19"/>
      <c r="J252" s="19"/>
      <c r="K252" s="19"/>
      <c r="L252" s="19"/>
      <c r="M252" s="19"/>
      <c r="N252" s="19"/>
      <c r="O252" s="19"/>
      <c r="P252" s="19"/>
    </row>
    <row r="253">
      <c r="A253" s="19"/>
      <c r="B253" s="19"/>
      <c r="C253" s="19"/>
      <c r="D253" s="19"/>
      <c r="E253" s="19"/>
      <c r="F253" s="19"/>
      <c r="G253" s="19"/>
      <c r="H253" s="19"/>
      <c r="I253" s="19"/>
      <c r="J253" s="19"/>
      <c r="K253" s="19"/>
      <c r="L253" s="19"/>
      <c r="M253" s="19"/>
      <c r="N253" s="19"/>
      <c r="O253" s="19"/>
      <c r="P253" s="19"/>
    </row>
    <row r="254">
      <c r="A254" s="19"/>
      <c r="B254" s="19"/>
      <c r="C254" s="19"/>
      <c r="D254" s="19"/>
      <c r="E254" s="19"/>
      <c r="F254" s="19"/>
      <c r="G254" s="19"/>
      <c r="H254" s="19"/>
      <c r="I254" s="19"/>
      <c r="J254" s="19"/>
      <c r="K254" s="19"/>
      <c r="L254" s="19"/>
      <c r="M254" s="19"/>
      <c r="N254" s="19"/>
      <c r="O254" s="19"/>
      <c r="P254" s="19"/>
    </row>
    <row r="255">
      <c r="A255" s="19"/>
      <c r="B255" s="19"/>
      <c r="C255" s="19"/>
      <c r="D255" s="19"/>
      <c r="E255" s="19"/>
      <c r="F255" s="19"/>
      <c r="G255" s="19"/>
      <c r="H255" s="19"/>
      <c r="I255" s="19"/>
      <c r="J255" s="19"/>
      <c r="K255" s="19"/>
      <c r="L255" s="19"/>
      <c r="M255" s="19"/>
      <c r="N255" s="19"/>
      <c r="O255" s="19"/>
      <c r="P255" s="19"/>
    </row>
    <row r="256">
      <c r="A256" s="19"/>
      <c r="B256" s="19"/>
      <c r="C256" s="19"/>
      <c r="D256" s="19"/>
      <c r="E256" s="19"/>
      <c r="F256" s="19"/>
      <c r="G256" s="19"/>
      <c r="H256" s="19"/>
      <c r="I256" s="19"/>
      <c r="J256" s="19"/>
      <c r="K256" s="19"/>
      <c r="L256" s="19"/>
      <c r="M256" s="19"/>
      <c r="N256" s="19"/>
      <c r="O256" s="19"/>
      <c r="P256" s="19"/>
    </row>
    <row r="257">
      <c r="A257" s="19"/>
      <c r="B257" s="19"/>
      <c r="C257" s="19"/>
      <c r="D257" s="19"/>
      <c r="E257" s="19"/>
      <c r="F257" s="19"/>
      <c r="G257" s="19"/>
      <c r="H257" s="19"/>
      <c r="I257" s="19"/>
      <c r="J257" s="19"/>
      <c r="K257" s="19"/>
      <c r="L257" s="19"/>
      <c r="M257" s="19"/>
      <c r="N257" s="19"/>
      <c r="O257" s="19"/>
      <c r="P257" s="19"/>
    </row>
    <row r="258">
      <c r="A258" s="19"/>
      <c r="B258" s="19"/>
      <c r="C258" s="19"/>
      <c r="D258" s="19"/>
      <c r="E258" s="19"/>
      <c r="F258" s="19"/>
      <c r="G258" s="19"/>
      <c r="H258" s="19"/>
      <c r="I258" s="19"/>
      <c r="J258" s="19"/>
      <c r="K258" s="19"/>
      <c r="L258" s="19"/>
      <c r="M258" s="19"/>
      <c r="N258" s="19"/>
      <c r="O258" s="19"/>
      <c r="P258" s="19"/>
    </row>
    <row r="259">
      <c r="A259" s="19"/>
      <c r="B259" s="19"/>
      <c r="C259" s="19"/>
      <c r="D259" s="19"/>
      <c r="E259" s="19"/>
      <c r="F259" s="19"/>
      <c r="G259" s="19"/>
      <c r="H259" s="19"/>
      <c r="I259" s="19"/>
      <c r="J259" s="19"/>
      <c r="K259" s="19"/>
      <c r="L259" s="19"/>
      <c r="M259" s="19"/>
      <c r="N259" s="19"/>
      <c r="O259" s="19"/>
      <c r="P259" s="19"/>
    </row>
    <row r="260">
      <c r="A260" s="19"/>
      <c r="B260" s="19"/>
      <c r="C260" s="19"/>
      <c r="D260" s="19"/>
      <c r="E260" s="19"/>
      <c r="F260" s="19"/>
      <c r="G260" s="19"/>
      <c r="H260" s="19"/>
      <c r="I260" s="19"/>
      <c r="J260" s="19"/>
      <c r="K260" s="19"/>
      <c r="L260" s="19"/>
      <c r="M260" s="19"/>
      <c r="N260" s="19"/>
      <c r="O260" s="19"/>
      <c r="P260" s="19"/>
    </row>
    <row r="261">
      <c r="A261" s="19"/>
      <c r="B261" s="19"/>
      <c r="C261" s="19"/>
      <c r="D261" s="19"/>
      <c r="E261" s="19"/>
      <c r="F261" s="19"/>
      <c r="G261" s="19"/>
      <c r="H261" s="19"/>
      <c r="I261" s="19"/>
      <c r="J261" s="19"/>
      <c r="K261" s="19"/>
      <c r="L261" s="19"/>
      <c r="M261" s="19"/>
      <c r="N261" s="19"/>
      <c r="O261" s="19"/>
      <c r="P261" s="19"/>
    </row>
    <row r="262">
      <c r="A262" s="19"/>
      <c r="B262" s="19"/>
      <c r="C262" s="19"/>
      <c r="D262" s="19"/>
      <c r="E262" s="19"/>
      <c r="F262" s="19"/>
      <c r="G262" s="19"/>
      <c r="H262" s="19"/>
      <c r="I262" s="19"/>
      <c r="J262" s="19"/>
      <c r="K262" s="19"/>
      <c r="L262" s="19"/>
      <c r="M262" s="19"/>
      <c r="N262" s="19"/>
      <c r="O262" s="19"/>
      <c r="P262" s="19"/>
    </row>
    <row r="263">
      <c r="A263" s="19"/>
      <c r="B263" s="19"/>
      <c r="C263" s="19"/>
      <c r="D263" s="19"/>
      <c r="E263" s="19"/>
      <c r="F263" s="19"/>
      <c r="G263" s="19"/>
      <c r="H263" s="19"/>
      <c r="I263" s="19"/>
      <c r="J263" s="19"/>
      <c r="K263" s="19"/>
      <c r="L263" s="19"/>
      <c r="M263" s="19"/>
      <c r="N263" s="19"/>
      <c r="O263" s="19"/>
      <c r="P263" s="19"/>
    </row>
    <row r="264">
      <c r="A264" s="19"/>
      <c r="B264" s="19"/>
      <c r="C264" s="19"/>
      <c r="D264" s="19"/>
      <c r="E264" s="19"/>
      <c r="F264" s="19"/>
      <c r="G264" s="19"/>
      <c r="H264" s="19"/>
      <c r="I264" s="19"/>
      <c r="J264" s="19"/>
      <c r="K264" s="19"/>
      <c r="L264" s="19"/>
      <c r="M264" s="19"/>
      <c r="N264" s="19"/>
      <c r="O264" s="19"/>
      <c r="P264" s="19"/>
    </row>
    <row r="265">
      <c r="A265" s="19"/>
      <c r="B265" s="19"/>
      <c r="C265" s="19"/>
      <c r="D265" s="19"/>
      <c r="E265" s="19"/>
      <c r="F265" s="19"/>
      <c r="G265" s="19"/>
      <c r="H265" s="19"/>
      <c r="I265" s="19"/>
      <c r="J265" s="19"/>
      <c r="K265" s="19"/>
      <c r="L265" s="19"/>
      <c r="M265" s="19"/>
      <c r="N265" s="19"/>
      <c r="O265" s="19"/>
      <c r="P265" s="19"/>
    </row>
    <row r="266">
      <c r="A266" s="19"/>
      <c r="B266" s="19"/>
      <c r="C266" s="19"/>
      <c r="D266" s="19"/>
      <c r="E266" s="19"/>
      <c r="F266" s="19"/>
      <c r="G266" s="19"/>
      <c r="H266" s="19"/>
      <c r="I266" s="19"/>
      <c r="J266" s="19"/>
      <c r="K266" s="19"/>
      <c r="L266" s="19"/>
      <c r="M266" s="19"/>
      <c r="N266" s="19"/>
      <c r="O266" s="19"/>
      <c r="P266" s="19"/>
    </row>
    <row r="267">
      <c r="A267" s="19"/>
      <c r="B267" s="19"/>
      <c r="C267" s="19"/>
      <c r="D267" s="19"/>
      <c r="E267" s="19"/>
      <c r="F267" s="19"/>
      <c r="G267" s="19"/>
      <c r="H267" s="19"/>
      <c r="I267" s="19"/>
      <c r="J267" s="19"/>
      <c r="K267" s="19"/>
      <c r="L267" s="19"/>
      <c r="M267" s="19"/>
      <c r="N267" s="19"/>
      <c r="O267" s="19"/>
      <c r="P267" s="19"/>
    </row>
    <row r="268">
      <c r="A268" s="19"/>
      <c r="B268" s="19"/>
      <c r="C268" s="19"/>
      <c r="D268" s="19"/>
      <c r="E268" s="19"/>
      <c r="F268" s="19"/>
      <c r="G268" s="19"/>
      <c r="H268" s="19"/>
      <c r="I268" s="19"/>
      <c r="J268" s="19"/>
      <c r="K268" s="19"/>
      <c r="L268" s="19"/>
      <c r="M268" s="19"/>
      <c r="N268" s="19"/>
      <c r="O268" s="19"/>
      <c r="P268" s="19"/>
    </row>
    <row r="269">
      <c r="A269" s="19"/>
      <c r="B269" s="19"/>
      <c r="C269" s="19"/>
      <c r="D269" s="19"/>
      <c r="E269" s="19"/>
      <c r="F269" s="19"/>
      <c r="G269" s="19"/>
      <c r="H269" s="19"/>
      <c r="I269" s="19"/>
      <c r="J269" s="19"/>
      <c r="K269" s="19"/>
      <c r="L269" s="19"/>
      <c r="M269" s="19"/>
      <c r="N269" s="19"/>
      <c r="O269" s="19"/>
      <c r="P269" s="19"/>
    </row>
    <row r="270">
      <c r="A270" s="19"/>
      <c r="B270" s="19"/>
      <c r="C270" s="19"/>
      <c r="D270" s="19"/>
      <c r="E270" s="19"/>
      <c r="F270" s="19"/>
      <c r="G270" s="19"/>
      <c r="H270" s="19"/>
      <c r="I270" s="19"/>
      <c r="J270" s="19"/>
      <c r="K270" s="19"/>
      <c r="L270" s="19"/>
      <c r="M270" s="19"/>
      <c r="N270" s="19"/>
      <c r="O270" s="19"/>
      <c r="P270" s="19"/>
    </row>
    <row r="271">
      <c r="A271" s="19"/>
      <c r="B271" s="19"/>
      <c r="C271" s="19"/>
      <c r="D271" s="19"/>
      <c r="E271" s="19"/>
      <c r="F271" s="19"/>
      <c r="G271" s="19"/>
      <c r="H271" s="19"/>
      <c r="I271" s="19"/>
      <c r="J271" s="19"/>
      <c r="K271" s="19"/>
      <c r="L271" s="19"/>
      <c r="M271" s="19"/>
      <c r="N271" s="19"/>
      <c r="O271" s="19"/>
      <c r="P271" s="19"/>
    </row>
    <row r="272">
      <c r="A272" s="19"/>
      <c r="B272" s="19"/>
      <c r="C272" s="19"/>
      <c r="D272" s="19"/>
      <c r="E272" s="19"/>
      <c r="F272" s="19"/>
      <c r="G272" s="19"/>
      <c r="H272" s="19"/>
      <c r="I272" s="19"/>
      <c r="J272" s="19"/>
      <c r="K272" s="19"/>
      <c r="L272" s="19"/>
      <c r="M272" s="19"/>
      <c r="N272" s="19"/>
      <c r="O272" s="19"/>
      <c r="P272" s="19"/>
    </row>
    <row r="273">
      <c r="A273" s="19"/>
      <c r="B273" s="19"/>
      <c r="C273" s="19"/>
      <c r="D273" s="19"/>
      <c r="E273" s="19"/>
      <c r="F273" s="19"/>
      <c r="G273" s="19"/>
      <c r="H273" s="19"/>
      <c r="I273" s="19"/>
      <c r="J273" s="19"/>
      <c r="K273" s="19"/>
      <c r="L273" s="19"/>
      <c r="M273" s="19"/>
      <c r="N273" s="19"/>
      <c r="O273" s="19"/>
      <c r="P273" s="19"/>
    </row>
    <row r="274">
      <c r="A274" s="19"/>
      <c r="B274" s="19"/>
      <c r="C274" s="19"/>
      <c r="D274" s="19"/>
      <c r="E274" s="19"/>
      <c r="F274" s="19"/>
      <c r="G274" s="19"/>
      <c r="H274" s="19"/>
      <c r="I274" s="19"/>
      <c r="J274" s="19"/>
      <c r="K274" s="19"/>
      <c r="L274" s="19"/>
      <c r="M274" s="19"/>
      <c r="N274" s="19"/>
      <c r="O274" s="19"/>
      <c r="P274" s="19"/>
    </row>
    <row r="275">
      <c r="A275" s="19"/>
      <c r="B275" s="19"/>
      <c r="C275" s="19"/>
      <c r="D275" s="19"/>
      <c r="E275" s="19"/>
      <c r="F275" s="19"/>
      <c r="G275" s="19"/>
      <c r="H275" s="19"/>
      <c r="I275" s="19"/>
      <c r="J275" s="19"/>
      <c r="K275" s="19"/>
      <c r="L275" s="19"/>
      <c r="M275" s="19"/>
      <c r="N275" s="19"/>
      <c r="O275" s="19"/>
      <c r="P275" s="19"/>
    </row>
    <row r="276">
      <c r="A276" s="19"/>
      <c r="B276" s="19"/>
      <c r="C276" s="19"/>
      <c r="D276" s="19"/>
      <c r="E276" s="19"/>
      <c r="F276" s="19"/>
      <c r="G276" s="19"/>
      <c r="H276" s="19"/>
      <c r="I276" s="19"/>
      <c r="J276" s="19"/>
      <c r="K276" s="19"/>
      <c r="L276" s="19"/>
      <c r="M276" s="19"/>
      <c r="N276" s="19"/>
      <c r="O276" s="19"/>
      <c r="P276" s="19"/>
    </row>
    <row r="277">
      <c r="A277" s="19"/>
      <c r="B277" s="19"/>
      <c r="C277" s="19"/>
      <c r="D277" s="19"/>
      <c r="E277" s="19"/>
      <c r="F277" s="19"/>
      <c r="G277" s="19"/>
      <c r="H277" s="19"/>
      <c r="I277" s="19"/>
      <c r="J277" s="19"/>
      <c r="K277" s="19"/>
      <c r="L277" s="19"/>
      <c r="M277" s="19"/>
      <c r="N277" s="19"/>
      <c r="O277" s="19"/>
      <c r="P277" s="19"/>
    </row>
    <row r="278">
      <c r="A278" s="19"/>
      <c r="B278" s="19"/>
      <c r="C278" s="19"/>
      <c r="D278" s="19"/>
      <c r="E278" s="19"/>
      <c r="F278" s="19"/>
      <c r="G278" s="19"/>
      <c r="H278" s="19"/>
      <c r="I278" s="19"/>
      <c r="J278" s="19"/>
      <c r="K278" s="19"/>
      <c r="L278" s="19"/>
      <c r="M278" s="19"/>
      <c r="N278" s="19"/>
      <c r="O278" s="19"/>
      <c r="P278" s="19"/>
    </row>
    <row r="279">
      <c r="A279" s="19"/>
      <c r="B279" s="19"/>
      <c r="C279" s="19"/>
      <c r="D279" s="19"/>
      <c r="E279" s="19"/>
      <c r="F279" s="19"/>
      <c r="G279" s="19"/>
      <c r="H279" s="19"/>
      <c r="I279" s="19"/>
      <c r="J279" s="19"/>
      <c r="K279" s="19"/>
      <c r="L279" s="19"/>
      <c r="M279" s="19"/>
      <c r="N279" s="19"/>
      <c r="O279" s="19"/>
      <c r="P279" s="19"/>
    </row>
    <row r="280">
      <c r="A280" s="19"/>
      <c r="B280" s="19"/>
      <c r="C280" s="19"/>
      <c r="D280" s="19"/>
      <c r="E280" s="19"/>
      <c r="F280" s="19"/>
      <c r="G280" s="19"/>
      <c r="H280" s="19"/>
      <c r="I280" s="19"/>
      <c r="J280" s="19"/>
      <c r="K280" s="19"/>
      <c r="L280" s="19"/>
      <c r="M280" s="19"/>
      <c r="N280" s="19"/>
      <c r="O280" s="19"/>
      <c r="P280" s="19"/>
    </row>
    <row r="281">
      <c r="A281" s="19"/>
      <c r="B281" s="19"/>
      <c r="C281" s="19"/>
      <c r="D281" s="19"/>
      <c r="E281" s="19"/>
      <c r="F281" s="19"/>
      <c r="G281" s="19"/>
      <c r="H281" s="19"/>
      <c r="I281" s="19"/>
      <c r="J281" s="19"/>
      <c r="K281" s="19"/>
      <c r="L281" s="19"/>
      <c r="M281" s="19"/>
      <c r="N281" s="19"/>
      <c r="O281" s="19"/>
      <c r="P281" s="19"/>
    </row>
    <row r="282">
      <c r="A282" s="19"/>
      <c r="B282" s="19"/>
      <c r="C282" s="19"/>
      <c r="D282" s="19"/>
      <c r="E282" s="19"/>
      <c r="F282" s="19"/>
      <c r="G282" s="19"/>
      <c r="H282" s="19"/>
      <c r="I282" s="19"/>
      <c r="J282" s="19"/>
      <c r="K282" s="19"/>
      <c r="L282" s="19"/>
      <c r="M282" s="19"/>
      <c r="N282" s="19"/>
      <c r="O282" s="19"/>
      <c r="P282" s="19"/>
    </row>
    <row r="283">
      <c r="A283" s="19"/>
      <c r="B283" s="19"/>
      <c r="C283" s="19"/>
      <c r="D283" s="19"/>
      <c r="E283" s="19"/>
      <c r="F283" s="19"/>
      <c r="G283" s="19"/>
      <c r="H283" s="19"/>
      <c r="I283" s="19"/>
      <c r="J283" s="19"/>
      <c r="K283" s="19"/>
      <c r="L283" s="19"/>
      <c r="M283" s="19"/>
      <c r="N283" s="19"/>
      <c r="O283" s="19"/>
      <c r="P283" s="19"/>
    </row>
    <row r="284">
      <c r="A284" s="19"/>
      <c r="B284" s="19"/>
      <c r="C284" s="19"/>
      <c r="D284" s="19"/>
      <c r="E284" s="19"/>
      <c r="F284" s="19"/>
      <c r="G284" s="19"/>
      <c r="H284" s="19"/>
      <c r="I284" s="19"/>
      <c r="J284" s="19"/>
      <c r="K284" s="19"/>
      <c r="L284" s="19"/>
      <c r="M284" s="19"/>
      <c r="N284" s="19"/>
      <c r="O284" s="19"/>
      <c r="P284" s="19"/>
    </row>
    <row r="285">
      <c r="A285" s="19"/>
      <c r="B285" s="19"/>
      <c r="C285" s="19"/>
      <c r="D285" s="19"/>
      <c r="E285" s="19"/>
      <c r="F285" s="19"/>
      <c r="G285" s="19"/>
      <c r="H285" s="19"/>
      <c r="I285" s="19"/>
      <c r="J285" s="19"/>
      <c r="K285" s="19"/>
      <c r="L285" s="19"/>
      <c r="M285" s="19"/>
      <c r="N285" s="19"/>
      <c r="O285" s="19"/>
      <c r="P285" s="19"/>
    </row>
    <row r="286">
      <c r="A286" s="19"/>
      <c r="B286" s="19"/>
      <c r="C286" s="19"/>
      <c r="D286" s="19"/>
      <c r="E286" s="19"/>
      <c r="F286" s="19"/>
      <c r="G286" s="19"/>
      <c r="H286" s="19"/>
      <c r="I286" s="19"/>
      <c r="J286" s="19"/>
      <c r="K286" s="19"/>
      <c r="L286" s="19"/>
      <c r="M286" s="19"/>
      <c r="N286" s="19"/>
      <c r="O286" s="19"/>
      <c r="P286" s="19"/>
    </row>
    <row r="287">
      <c r="A287" s="19"/>
      <c r="B287" s="19"/>
      <c r="C287" s="19"/>
      <c r="D287" s="19"/>
      <c r="E287" s="19"/>
      <c r="F287" s="19"/>
      <c r="G287" s="19"/>
      <c r="H287" s="19"/>
      <c r="I287" s="19"/>
      <c r="J287" s="19"/>
      <c r="K287" s="19"/>
      <c r="L287" s="19"/>
      <c r="M287" s="19"/>
      <c r="N287" s="19"/>
      <c r="O287" s="19"/>
      <c r="P287" s="19"/>
    </row>
    <row r="288">
      <c r="A288" s="19"/>
      <c r="B288" s="19"/>
      <c r="C288" s="19"/>
      <c r="D288" s="19"/>
      <c r="E288" s="19"/>
      <c r="F288" s="19"/>
      <c r="G288" s="19"/>
      <c r="H288" s="19"/>
      <c r="I288" s="19"/>
      <c r="J288" s="19"/>
      <c r="K288" s="19"/>
      <c r="L288" s="19"/>
      <c r="M288" s="19"/>
      <c r="N288" s="19"/>
      <c r="O288" s="19"/>
      <c r="P288" s="19"/>
    </row>
    <row r="289">
      <c r="A289" s="19"/>
      <c r="B289" s="19"/>
      <c r="C289" s="19"/>
      <c r="D289" s="19"/>
      <c r="E289" s="19"/>
      <c r="F289" s="19"/>
      <c r="G289" s="19"/>
      <c r="H289" s="19"/>
      <c r="I289" s="19"/>
      <c r="J289" s="19"/>
      <c r="K289" s="19"/>
      <c r="L289" s="19"/>
      <c r="M289" s="19"/>
      <c r="N289" s="19"/>
      <c r="O289" s="19"/>
      <c r="P289" s="19"/>
    </row>
    <row r="290">
      <c r="A290" s="19"/>
      <c r="B290" s="19"/>
      <c r="C290" s="19"/>
      <c r="D290" s="19"/>
      <c r="E290" s="19"/>
      <c r="F290" s="19"/>
      <c r="G290" s="19"/>
      <c r="H290" s="19"/>
      <c r="I290" s="19"/>
      <c r="J290" s="19"/>
      <c r="K290" s="19"/>
      <c r="L290" s="19"/>
      <c r="M290" s="19"/>
      <c r="N290" s="19"/>
      <c r="O290" s="19"/>
      <c r="P290" s="19"/>
    </row>
    <row r="291">
      <c r="A291" s="19"/>
      <c r="B291" s="19"/>
      <c r="C291" s="19"/>
      <c r="D291" s="19"/>
      <c r="E291" s="19"/>
      <c r="F291" s="19"/>
      <c r="G291" s="19"/>
      <c r="H291" s="19"/>
      <c r="I291" s="19"/>
      <c r="J291" s="19"/>
      <c r="K291" s="19"/>
      <c r="L291" s="19"/>
      <c r="M291" s="19"/>
      <c r="N291" s="19"/>
      <c r="O291" s="19"/>
      <c r="P291" s="19"/>
    </row>
    <row r="292">
      <c r="A292" s="19"/>
      <c r="B292" s="19"/>
      <c r="C292" s="19"/>
      <c r="D292" s="19"/>
      <c r="E292" s="19"/>
      <c r="F292" s="19"/>
      <c r="G292" s="19"/>
      <c r="H292" s="19"/>
      <c r="I292" s="19"/>
      <c r="J292" s="19"/>
      <c r="K292" s="19"/>
      <c r="L292" s="19"/>
      <c r="M292" s="19"/>
      <c r="N292" s="19"/>
      <c r="O292" s="19"/>
      <c r="P292" s="19"/>
    </row>
    <row r="293">
      <c r="A293" s="19"/>
      <c r="B293" s="19"/>
      <c r="C293" s="19"/>
      <c r="D293" s="19"/>
      <c r="E293" s="19"/>
      <c r="F293" s="19"/>
      <c r="G293" s="19"/>
      <c r="H293" s="19"/>
      <c r="I293" s="19"/>
      <c r="J293" s="19"/>
      <c r="K293" s="19"/>
      <c r="L293" s="19"/>
      <c r="M293" s="19"/>
      <c r="N293" s="19"/>
      <c r="O293" s="19"/>
      <c r="P293" s="19"/>
    </row>
    <row r="294">
      <c r="A294" s="19"/>
      <c r="B294" s="19"/>
      <c r="C294" s="19"/>
      <c r="D294" s="19"/>
      <c r="E294" s="19"/>
      <c r="F294" s="19"/>
      <c r="G294" s="19"/>
      <c r="H294" s="19"/>
      <c r="I294" s="19"/>
      <c r="J294" s="19"/>
      <c r="K294" s="19"/>
      <c r="L294" s="19"/>
      <c r="M294" s="19"/>
      <c r="N294" s="19"/>
      <c r="O294" s="19"/>
      <c r="P294" s="19"/>
    </row>
    <row r="295">
      <c r="A295" s="19"/>
      <c r="B295" s="19"/>
      <c r="C295" s="19"/>
      <c r="D295" s="19"/>
      <c r="E295" s="19"/>
      <c r="F295" s="19"/>
      <c r="G295" s="19"/>
      <c r="H295" s="19"/>
      <c r="I295" s="19"/>
      <c r="J295" s="19"/>
      <c r="K295" s="19"/>
      <c r="L295" s="19"/>
      <c r="M295" s="19"/>
      <c r="N295" s="19"/>
      <c r="O295" s="19"/>
      <c r="P295" s="19"/>
    </row>
    <row r="296">
      <c r="A296" s="19"/>
      <c r="B296" s="19"/>
      <c r="C296" s="19"/>
      <c r="D296" s="19"/>
      <c r="E296" s="19"/>
      <c r="F296" s="19"/>
      <c r="G296" s="19"/>
      <c r="H296" s="19"/>
      <c r="I296" s="19"/>
      <c r="J296" s="19"/>
      <c r="K296" s="19"/>
      <c r="L296" s="19"/>
      <c r="M296" s="19"/>
      <c r="N296" s="19"/>
      <c r="O296" s="19"/>
      <c r="P296" s="19"/>
    </row>
    <row r="297">
      <c r="A297" s="19"/>
      <c r="B297" s="19"/>
      <c r="C297" s="19"/>
      <c r="D297" s="19"/>
      <c r="E297" s="19"/>
      <c r="F297" s="19"/>
      <c r="G297" s="19"/>
      <c r="H297" s="19"/>
      <c r="I297" s="19"/>
      <c r="J297" s="19"/>
      <c r="K297" s="19"/>
      <c r="L297" s="19"/>
      <c r="M297" s="19"/>
      <c r="N297" s="19"/>
      <c r="O297" s="19"/>
      <c r="P297" s="19"/>
    </row>
    <row r="298">
      <c r="A298" s="19"/>
      <c r="B298" s="19"/>
      <c r="C298" s="19"/>
      <c r="D298" s="19"/>
      <c r="E298" s="19"/>
      <c r="F298" s="19"/>
      <c r="G298" s="19"/>
      <c r="H298" s="19"/>
      <c r="I298" s="19"/>
      <c r="J298" s="19"/>
      <c r="K298" s="19"/>
      <c r="L298" s="19"/>
      <c r="M298" s="19"/>
      <c r="N298" s="19"/>
      <c r="O298" s="19"/>
      <c r="P298" s="19"/>
    </row>
    <row r="299">
      <c r="A299" s="19"/>
      <c r="B299" s="19"/>
      <c r="C299" s="19"/>
      <c r="D299" s="19"/>
      <c r="E299" s="19"/>
      <c r="F299" s="19"/>
      <c r="G299" s="19"/>
      <c r="H299" s="19"/>
      <c r="I299" s="19"/>
      <c r="J299" s="19"/>
      <c r="K299" s="19"/>
      <c r="L299" s="19"/>
      <c r="M299" s="19"/>
      <c r="N299" s="19"/>
      <c r="O299" s="19"/>
      <c r="P299" s="19"/>
    </row>
    <row r="300">
      <c r="A300" s="19"/>
      <c r="B300" s="19"/>
      <c r="C300" s="19"/>
      <c r="D300" s="19"/>
      <c r="E300" s="19"/>
      <c r="F300" s="19"/>
      <c r="G300" s="19"/>
      <c r="H300" s="19"/>
      <c r="I300" s="19"/>
      <c r="J300" s="19"/>
      <c r="K300" s="19"/>
      <c r="L300" s="19"/>
      <c r="M300" s="19"/>
      <c r="N300" s="19"/>
      <c r="O300" s="19"/>
      <c r="P300" s="19"/>
    </row>
    <row r="301">
      <c r="A301" s="19"/>
      <c r="B301" s="19"/>
      <c r="C301" s="19"/>
      <c r="D301" s="19"/>
      <c r="E301" s="19"/>
      <c r="F301" s="19"/>
      <c r="G301" s="19"/>
      <c r="H301" s="19"/>
      <c r="I301" s="19"/>
      <c r="J301" s="19"/>
      <c r="K301" s="19"/>
      <c r="L301" s="19"/>
      <c r="M301" s="19"/>
      <c r="N301" s="19"/>
      <c r="O301" s="19"/>
      <c r="P301" s="19"/>
    </row>
    <row r="302">
      <c r="A302" s="19"/>
      <c r="B302" s="19"/>
      <c r="C302" s="19"/>
      <c r="D302" s="19"/>
      <c r="E302" s="19"/>
      <c r="F302" s="19"/>
      <c r="G302" s="19"/>
      <c r="H302" s="19"/>
      <c r="I302" s="19"/>
      <c r="J302" s="19"/>
      <c r="K302" s="19"/>
      <c r="L302" s="19"/>
      <c r="M302" s="19"/>
      <c r="N302" s="19"/>
      <c r="O302" s="19"/>
      <c r="P302" s="19"/>
    </row>
    <row r="303">
      <c r="A303" s="19"/>
      <c r="B303" s="19"/>
      <c r="C303" s="19"/>
      <c r="D303" s="19"/>
      <c r="E303" s="19"/>
      <c r="F303" s="19"/>
      <c r="G303" s="19"/>
      <c r="H303" s="19"/>
      <c r="I303" s="19"/>
      <c r="J303" s="19"/>
      <c r="K303" s="19"/>
      <c r="L303" s="19"/>
      <c r="M303" s="19"/>
      <c r="N303" s="19"/>
      <c r="O303" s="19"/>
      <c r="P303" s="19"/>
    </row>
    <row r="304">
      <c r="A304" s="19"/>
      <c r="B304" s="19"/>
      <c r="C304" s="19"/>
      <c r="D304" s="19"/>
      <c r="E304" s="19"/>
      <c r="F304" s="19"/>
      <c r="G304" s="19"/>
      <c r="H304" s="19"/>
      <c r="I304" s="19"/>
      <c r="J304" s="19"/>
      <c r="K304" s="19"/>
      <c r="L304" s="19"/>
      <c r="M304" s="19"/>
      <c r="N304" s="19"/>
      <c r="O304" s="19"/>
      <c r="P304" s="19"/>
    </row>
    <row r="305">
      <c r="A305" s="19"/>
      <c r="B305" s="19"/>
      <c r="C305" s="19"/>
      <c r="D305" s="19"/>
      <c r="E305" s="19"/>
      <c r="F305" s="19"/>
      <c r="G305" s="19"/>
      <c r="H305" s="19"/>
      <c r="I305" s="19"/>
      <c r="J305" s="19"/>
      <c r="K305" s="19"/>
      <c r="L305" s="19"/>
      <c r="M305" s="19"/>
      <c r="N305" s="19"/>
      <c r="O305" s="19"/>
      <c r="P305" s="19"/>
    </row>
    <row r="306">
      <c r="A306" s="19"/>
      <c r="B306" s="19"/>
      <c r="C306" s="19"/>
      <c r="D306" s="19"/>
      <c r="E306" s="19"/>
      <c r="F306" s="19"/>
      <c r="G306" s="19"/>
      <c r="H306" s="19"/>
      <c r="I306" s="19"/>
      <c r="J306" s="19"/>
      <c r="K306" s="19"/>
      <c r="L306" s="19"/>
      <c r="M306" s="19"/>
      <c r="N306" s="19"/>
      <c r="O306" s="19"/>
      <c r="P306" s="19"/>
    </row>
    <row r="307">
      <c r="A307" s="19"/>
      <c r="B307" s="19"/>
      <c r="C307" s="19"/>
      <c r="D307" s="19"/>
      <c r="E307" s="19"/>
      <c r="F307" s="19"/>
      <c r="G307" s="19"/>
      <c r="H307" s="19"/>
      <c r="I307" s="19"/>
      <c r="J307" s="19"/>
      <c r="K307" s="19"/>
      <c r="L307" s="19"/>
      <c r="M307" s="19"/>
      <c r="N307" s="19"/>
      <c r="O307" s="19"/>
      <c r="P307" s="19"/>
    </row>
    <row r="308">
      <c r="A308" s="19"/>
      <c r="B308" s="19"/>
      <c r="C308" s="19"/>
      <c r="D308" s="19"/>
      <c r="E308" s="19"/>
      <c r="F308" s="19"/>
      <c r="G308" s="19"/>
      <c r="H308" s="19"/>
      <c r="I308" s="19"/>
      <c r="J308" s="19"/>
      <c r="K308" s="19"/>
      <c r="L308" s="19"/>
      <c r="M308" s="19"/>
      <c r="N308" s="19"/>
      <c r="O308" s="19"/>
      <c r="P308" s="19"/>
    </row>
    <row r="309">
      <c r="A309" s="19"/>
      <c r="B309" s="19"/>
      <c r="C309" s="19"/>
      <c r="D309" s="19"/>
      <c r="E309" s="19"/>
      <c r="F309" s="19"/>
      <c r="G309" s="19"/>
      <c r="H309" s="19"/>
      <c r="I309" s="19"/>
      <c r="J309" s="19"/>
      <c r="K309" s="19"/>
      <c r="L309" s="19"/>
      <c r="M309" s="19"/>
      <c r="N309" s="19"/>
      <c r="O309" s="19"/>
      <c r="P309" s="19"/>
    </row>
    <row r="310">
      <c r="A310" s="19"/>
      <c r="B310" s="19"/>
      <c r="C310" s="19"/>
      <c r="D310" s="19"/>
      <c r="E310" s="19"/>
      <c r="F310" s="19"/>
      <c r="G310" s="19"/>
      <c r="H310" s="19"/>
      <c r="I310" s="19"/>
      <c r="J310" s="19"/>
      <c r="K310" s="19"/>
      <c r="L310" s="19"/>
      <c r="M310" s="19"/>
      <c r="N310" s="19"/>
      <c r="O310" s="19"/>
      <c r="P310" s="19"/>
    </row>
    <row r="311">
      <c r="A311" s="19"/>
      <c r="B311" s="19"/>
      <c r="C311" s="19"/>
      <c r="D311" s="19"/>
      <c r="E311" s="19"/>
      <c r="F311" s="19"/>
      <c r="G311" s="19"/>
      <c r="H311" s="19"/>
      <c r="I311" s="19"/>
      <c r="J311" s="19"/>
      <c r="K311" s="19"/>
      <c r="L311" s="19"/>
      <c r="M311" s="19"/>
      <c r="N311" s="19"/>
      <c r="O311" s="19"/>
      <c r="P311" s="19"/>
    </row>
    <row r="312">
      <c r="A312" s="19"/>
      <c r="B312" s="19"/>
      <c r="C312" s="19"/>
      <c r="D312" s="19"/>
      <c r="E312" s="19"/>
      <c r="F312" s="19"/>
      <c r="G312" s="19"/>
      <c r="H312" s="19"/>
      <c r="I312" s="19"/>
      <c r="J312" s="19"/>
      <c r="K312" s="19"/>
      <c r="L312" s="19"/>
      <c r="M312" s="19"/>
      <c r="N312" s="19"/>
      <c r="O312" s="19"/>
      <c r="P312" s="19"/>
    </row>
    <row r="313">
      <c r="A313" s="19"/>
      <c r="B313" s="19"/>
      <c r="C313" s="19"/>
      <c r="D313" s="19"/>
      <c r="E313" s="19"/>
      <c r="F313" s="19"/>
      <c r="G313" s="19"/>
      <c r="H313" s="19"/>
      <c r="I313" s="19"/>
      <c r="J313" s="19"/>
      <c r="K313" s="19"/>
      <c r="L313" s="19"/>
      <c r="M313" s="19"/>
      <c r="N313" s="19"/>
      <c r="O313" s="19"/>
      <c r="P313" s="19"/>
    </row>
    <row r="314">
      <c r="A314" s="19"/>
      <c r="B314" s="19"/>
      <c r="C314" s="19"/>
      <c r="D314" s="19"/>
      <c r="E314" s="19"/>
      <c r="F314" s="19"/>
      <c r="G314" s="19"/>
      <c r="H314" s="19"/>
      <c r="I314" s="19"/>
      <c r="J314" s="19"/>
      <c r="K314" s="19"/>
      <c r="L314" s="19"/>
      <c r="M314" s="19"/>
      <c r="N314" s="19"/>
      <c r="O314" s="19"/>
      <c r="P314" s="19"/>
    </row>
    <row r="315">
      <c r="A315" s="19"/>
      <c r="B315" s="19"/>
      <c r="C315" s="19"/>
      <c r="D315" s="19"/>
      <c r="E315" s="19"/>
      <c r="F315" s="19"/>
      <c r="G315" s="19"/>
      <c r="H315" s="19"/>
      <c r="I315" s="19"/>
      <c r="J315" s="19"/>
      <c r="K315" s="19"/>
      <c r="L315" s="19"/>
      <c r="M315" s="19"/>
      <c r="N315" s="19"/>
      <c r="O315" s="19"/>
      <c r="P315" s="19"/>
    </row>
    <row r="316">
      <c r="A316" s="19"/>
      <c r="B316" s="19"/>
      <c r="C316" s="19"/>
      <c r="D316" s="19"/>
      <c r="E316" s="19"/>
      <c r="F316" s="19"/>
      <c r="G316" s="19"/>
      <c r="H316" s="19"/>
      <c r="I316" s="19"/>
      <c r="J316" s="19"/>
      <c r="K316" s="19"/>
      <c r="L316" s="19"/>
      <c r="M316" s="19"/>
      <c r="N316" s="19"/>
      <c r="O316" s="19"/>
      <c r="P316" s="19"/>
    </row>
    <row r="317">
      <c r="A317" s="19"/>
      <c r="B317" s="19"/>
      <c r="C317" s="19"/>
      <c r="D317" s="19"/>
      <c r="E317" s="19"/>
      <c r="F317" s="19"/>
      <c r="G317" s="19"/>
      <c r="H317" s="19"/>
      <c r="I317" s="19"/>
      <c r="J317" s="19"/>
      <c r="K317" s="19"/>
      <c r="L317" s="19"/>
      <c r="M317" s="19"/>
      <c r="N317" s="19"/>
      <c r="O317" s="19"/>
      <c r="P317" s="19"/>
    </row>
    <row r="318">
      <c r="A318" s="19"/>
      <c r="B318" s="19"/>
      <c r="C318" s="19"/>
      <c r="D318" s="19"/>
      <c r="E318" s="19"/>
      <c r="F318" s="19"/>
      <c r="G318" s="19"/>
      <c r="H318" s="19"/>
      <c r="I318" s="19"/>
      <c r="J318" s="19"/>
      <c r="K318" s="19"/>
      <c r="L318" s="19"/>
      <c r="M318" s="19"/>
      <c r="N318" s="19"/>
      <c r="O318" s="19"/>
      <c r="P318" s="19"/>
    </row>
    <row r="319">
      <c r="A319" s="19"/>
      <c r="B319" s="19"/>
      <c r="C319" s="19"/>
      <c r="D319" s="19"/>
      <c r="E319" s="19"/>
      <c r="F319" s="19"/>
      <c r="G319" s="19"/>
      <c r="H319" s="19"/>
      <c r="I319" s="19"/>
      <c r="J319" s="19"/>
      <c r="K319" s="19"/>
      <c r="L319" s="19"/>
      <c r="M319" s="19"/>
      <c r="N319" s="19"/>
      <c r="O319" s="19"/>
      <c r="P319" s="19"/>
    </row>
    <row r="320">
      <c r="A320" s="19"/>
      <c r="B320" s="19"/>
      <c r="C320" s="19"/>
      <c r="D320" s="19"/>
      <c r="E320" s="19"/>
      <c r="F320" s="19"/>
      <c r="G320" s="19"/>
      <c r="H320" s="19"/>
      <c r="I320" s="19"/>
      <c r="J320" s="19"/>
      <c r="K320" s="19"/>
      <c r="L320" s="19"/>
      <c r="M320" s="19"/>
      <c r="N320" s="19"/>
      <c r="O320" s="19"/>
      <c r="P320" s="19"/>
    </row>
    <row r="321">
      <c r="A321" s="19"/>
      <c r="B321" s="19"/>
      <c r="C321" s="19"/>
      <c r="D321" s="19"/>
      <c r="E321" s="19"/>
      <c r="F321" s="19"/>
      <c r="G321" s="19"/>
      <c r="H321" s="19"/>
      <c r="I321" s="19"/>
      <c r="J321" s="19"/>
      <c r="K321" s="19"/>
      <c r="L321" s="19"/>
      <c r="M321" s="19"/>
      <c r="N321" s="19"/>
      <c r="O321" s="19"/>
      <c r="P321" s="19"/>
    </row>
    <row r="322">
      <c r="A322" s="19"/>
      <c r="B322" s="19"/>
      <c r="C322" s="19"/>
      <c r="D322" s="19"/>
      <c r="E322" s="19"/>
      <c r="F322" s="19"/>
      <c r="G322" s="19"/>
      <c r="H322" s="19"/>
      <c r="I322" s="19"/>
      <c r="J322" s="19"/>
      <c r="K322" s="19"/>
      <c r="L322" s="19"/>
      <c r="M322" s="19"/>
      <c r="N322" s="19"/>
      <c r="O322" s="19"/>
      <c r="P322" s="19"/>
    </row>
    <row r="323">
      <c r="A323" s="19"/>
      <c r="B323" s="19"/>
      <c r="C323" s="19"/>
      <c r="D323" s="19"/>
      <c r="E323" s="19"/>
      <c r="F323" s="19"/>
      <c r="G323" s="19"/>
      <c r="H323" s="19"/>
      <c r="I323" s="19"/>
      <c r="J323" s="19"/>
      <c r="K323" s="19"/>
      <c r="L323" s="19"/>
      <c r="M323" s="19"/>
      <c r="N323" s="19"/>
      <c r="O323" s="19"/>
      <c r="P323" s="19"/>
    </row>
    <row r="324">
      <c r="A324" s="19"/>
      <c r="B324" s="19"/>
      <c r="C324" s="19"/>
      <c r="D324" s="19"/>
      <c r="E324" s="19"/>
      <c r="F324" s="19"/>
      <c r="G324" s="19"/>
      <c r="H324" s="19"/>
      <c r="I324" s="19"/>
      <c r="J324" s="19"/>
      <c r="K324" s="19"/>
      <c r="L324" s="19"/>
      <c r="M324" s="19"/>
      <c r="N324" s="19"/>
      <c r="O324" s="19"/>
      <c r="P324" s="19"/>
    </row>
    <row r="325">
      <c r="A325" s="19"/>
      <c r="B325" s="19"/>
      <c r="C325" s="19"/>
      <c r="D325" s="19"/>
      <c r="E325" s="19"/>
      <c r="F325" s="19"/>
      <c r="G325" s="19"/>
      <c r="H325" s="19"/>
      <c r="I325" s="19"/>
      <c r="J325" s="19"/>
      <c r="K325" s="19"/>
      <c r="L325" s="19"/>
      <c r="M325" s="19"/>
      <c r="N325" s="19"/>
      <c r="O325" s="19"/>
      <c r="P325" s="19"/>
    </row>
    <row r="326">
      <c r="A326" s="19"/>
      <c r="B326" s="19"/>
      <c r="C326" s="19"/>
      <c r="D326" s="19"/>
      <c r="E326" s="19"/>
      <c r="F326" s="19"/>
      <c r="G326" s="19"/>
      <c r="H326" s="19"/>
      <c r="I326" s="19"/>
      <c r="J326" s="19"/>
      <c r="K326" s="19"/>
      <c r="L326" s="19"/>
      <c r="M326" s="19"/>
      <c r="N326" s="19"/>
      <c r="O326" s="19"/>
      <c r="P326" s="19"/>
    </row>
    <row r="327">
      <c r="A327" s="19"/>
      <c r="B327" s="19"/>
      <c r="C327" s="19"/>
      <c r="D327" s="19"/>
      <c r="E327" s="19"/>
      <c r="F327" s="19"/>
      <c r="G327" s="19"/>
      <c r="H327" s="19"/>
      <c r="I327" s="19"/>
      <c r="J327" s="19"/>
      <c r="K327" s="19"/>
      <c r="L327" s="19"/>
      <c r="M327" s="19"/>
      <c r="N327" s="19"/>
      <c r="O327" s="19"/>
      <c r="P327" s="19"/>
    </row>
    <row r="328">
      <c r="A328" s="19"/>
      <c r="B328" s="19"/>
      <c r="C328" s="19"/>
      <c r="D328" s="19"/>
      <c r="E328" s="19"/>
      <c r="F328" s="19"/>
      <c r="G328" s="19"/>
      <c r="H328" s="19"/>
      <c r="I328" s="19"/>
      <c r="J328" s="19"/>
      <c r="K328" s="19"/>
      <c r="L328" s="19"/>
      <c r="M328" s="19"/>
      <c r="N328" s="19"/>
      <c r="O328" s="19"/>
      <c r="P328" s="19"/>
    </row>
    <row r="329">
      <c r="A329" s="19"/>
      <c r="B329" s="19"/>
      <c r="C329" s="19"/>
      <c r="D329" s="19"/>
      <c r="E329" s="19"/>
      <c r="F329" s="19"/>
      <c r="G329" s="19"/>
      <c r="H329" s="19"/>
      <c r="I329" s="19"/>
      <c r="J329" s="19"/>
      <c r="K329" s="19"/>
      <c r="L329" s="19"/>
      <c r="M329" s="19"/>
      <c r="N329" s="19"/>
      <c r="O329" s="19"/>
      <c r="P329" s="19"/>
    </row>
    <row r="330">
      <c r="A330" s="19"/>
      <c r="B330" s="19"/>
      <c r="C330" s="19"/>
      <c r="D330" s="19"/>
      <c r="E330" s="19"/>
      <c r="F330" s="19"/>
      <c r="G330" s="19"/>
      <c r="H330" s="19"/>
      <c r="I330" s="19"/>
      <c r="J330" s="19"/>
      <c r="K330" s="19"/>
      <c r="L330" s="19"/>
      <c r="M330" s="19"/>
      <c r="N330" s="19"/>
      <c r="O330" s="19"/>
      <c r="P330" s="19"/>
    </row>
    <row r="331">
      <c r="A331" s="19"/>
      <c r="B331" s="19"/>
      <c r="C331" s="19"/>
      <c r="D331" s="19"/>
      <c r="E331" s="19"/>
      <c r="F331" s="19"/>
      <c r="G331" s="19"/>
      <c r="H331" s="19"/>
      <c r="I331" s="19"/>
      <c r="J331" s="19"/>
      <c r="K331" s="19"/>
      <c r="L331" s="19"/>
      <c r="M331" s="19"/>
      <c r="N331" s="19"/>
      <c r="O331" s="19"/>
      <c r="P331" s="19"/>
    </row>
    <row r="332">
      <c r="A332" s="19"/>
      <c r="B332" s="19"/>
      <c r="C332" s="19"/>
      <c r="D332" s="19"/>
      <c r="E332" s="19"/>
      <c r="F332" s="19"/>
      <c r="G332" s="19"/>
      <c r="H332" s="19"/>
      <c r="I332" s="19"/>
      <c r="J332" s="19"/>
      <c r="K332" s="19"/>
      <c r="L332" s="19"/>
      <c r="M332" s="19"/>
      <c r="N332" s="19"/>
      <c r="O332" s="19"/>
      <c r="P332" s="19"/>
    </row>
    <row r="333">
      <c r="A333" s="19"/>
      <c r="B333" s="19"/>
      <c r="C333" s="19"/>
      <c r="D333" s="19"/>
      <c r="E333" s="19"/>
      <c r="F333" s="19"/>
      <c r="G333" s="19"/>
      <c r="H333" s="19"/>
      <c r="I333" s="19"/>
      <c r="J333" s="19"/>
      <c r="K333" s="19"/>
      <c r="L333" s="19"/>
      <c r="M333" s="19"/>
      <c r="N333" s="19"/>
      <c r="O333" s="19"/>
      <c r="P333" s="19"/>
    </row>
    <row r="334">
      <c r="A334" s="19"/>
      <c r="B334" s="19"/>
      <c r="C334" s="19"/>
      <c r="D334" s="19"/>
      <c r="E334" s="19"/>
      <c r="F334" s="19"/>
      <c r="G334" s="19"/>
      <c r="H334" s="19"/>
      <c r="I334" s="19"/>
      <c r="J334" s="19"/>
      <c r="K334" s="19"/>
      <c r="L334" s="19"/>
      <c r="M334" s="19"/>
      <c r="N334" s="19"/>
      <c r="O334" s="19"/>
      <c r="P334" s="19"/>
    </row>
    <row r="335">
      <c r="A335" s="19"/>
      <c r="B335" s="19"/>
      <c r="C335" s="19"/>
      <c r="D335" s="19"/>
      <c r="E335" s="19"/>
      <c r="F335" s="19"/>
      <c r="G335" s="19"/>
      <c r="H335" s="19"/>
      <c r="I335" s="19"/>
      <c r="J335" s="19"/>
      <c r="K335" s="19"/>
      <c r="L335" s="19"/>
      <c r="M335" s="19"/>
      <c r="N335" s="19"/>
      <c r="O335" s="19"/>
      <c r="P335" s="19"/>
    </row>
    <row r="336">
      <c r="A336" s="19"/>
      <c r="B336" s="19"/>
      <c r="C336" s="19"/>
      <c r="D336" s="19"/>
      <c r="E336" s="19"/>
      <c r="F336" s="19"/>
      <c r="G336" s="19"/>
      <c r="H336" s="19"/>
      <c r="I336" s="19"/>
      <c r="J336" s="19"/>
      <c r="K336" s="19"/>
      <c r="L336" s="19"/>
      <c r="M336" s="19"/>
      <c r="N336" s="19"/>
      <c r="O336" s="19"/>
      <c r="P336" s="19"/>
    </row>
    <row r="337">
      <c r="A337" s="19"/>
      <c r="B337" s="19"/>
      <c r="C337" s="19"/>
      <c r="D337" s="19"/>
      <c r="E337" s="19"/>
      <c r="F337" s="19"/>
      <c r="G337" s="19"/>
      <c r="H337" s="19"/>
      <c r="I337" s="19"/>
      <c r="J337" s="19"/>
      <c r="K337" s="19"/>
      <c r="L337" s="19"/>
      <c r="M337" s="19"/>
      <c r="N337" s="19"/>
      <c r="O337" s="19"/>
      <c r="P337" s="19"/>
    </row>
    <row r="338">
      <c r="A338" s="19"/>
      <c r="B338" s="19"/>
      <c r="C338" s="19"/>
      <c r="D338" s="19"/>
      <c r="E338" s="19"/>
      <c r="F338" s="19"/>
      <c r="G338" s="19"/>
      <c r="H338" s="19"/>
      <c r="I338" s="19"/>
      <c r="J338" s="19"/>
      <c r="K338" s="19"/>
      <c r="L338" s="19"/>
      <c r="M338" s="19"/>
      <c r="N338" s="19"/>
      <c r="O338" s="19"/>
      <c r="P338" s="19"/>
    </row>
    <row r="339">
      <c r="A339" s="19"/>
      <c r="B339" s="19"/>
      <c r="C339" s="19"/>
      <c r="D339" s="19"/>
      <c r="E339" s="19"/>
      <c r="F339" s="19"/>
      <c r="G339" s="19"/>
      <c r="H339" s="19"/>
      <c r="I339" s="19"/>
      <c r="J339" s="19"/>
      <c r="K339" s="19"/>
      <c r="L339" s="19"/>
      <c r="M339" s="19"/>
      <c r="N339" s="19"/>
      <c r="O339" s="19"/>
      <c r="P339" s="19"/>
    </row>
    <row r="340">
      <c r="A340" s="19"/>
      <c r="B340" s="19"/>
      <c r="C340" s="19"/>
      <c r="D340" s="19"/>
      <c r="E340" s="19"/>
      <c r="F340" s="19"/>
      <c r="G340" s="19"/>
      <c r="H340" s="19"/>
      <c r="I340" s="19"/>
      <c r="J340" s="19"/>
      <c r="K340" s="19"/>
      <c r="L340" s="19"/>
      <c r="M340" s="19"/>
      <c r="N340" s="19"/>
      <c r="O340" s="19"/>
      <c r="P340" s="19"/>
    </row>
    <row r="341">
      <c r="A341" s="19"/>
      <c r="B341" s="19"/>
      <c r="C341" s="19"/>
      <c r="D341" s="19"/>
      <c r="E341" s="19"/>
      <c r="F341" s="19"/>
      <c r="G341" s="19"/>
      <c r="H341" s="19"/>
      <c r="I341" s="19"/>
      <c r="J341" s="19"/>
      <c r="K341" s="19"/>
      <c r="L341" s="19"/>
      <c r="M341" s="19"/>
      <c r="N341" s="19"/>
      <c r="O341" s="19"/>
      <c r="P341" s="19"/>
    </row>
    <row r="342">
      <c r="A342" s="19"/>
      <c r="B342" s="19"/>
      <c r="C342" s="19"/>
      <c r="D342" s="19"/>
      <c r="E342" s="19"/>
      <c r="F342" s="19"/>
      <c r="G342" s="19"/>
      <c r="H342" s="19"/>
      <c r="I342" s="19"/>
      <c r="J342" s="19"/>
      <c r="K342" s="19"/>
      <c r="L342" s="19"/>
      <c r="M342" s="19"/>
      <c r="N342" s="19"/>
      <c r="O342" s="19"/>
      <c r="P342" s="19"/>
    </row>
    <row r="343">
      <c r="A343" s="19"/>
      <c r="B343" s="19"/>
      <c r="C343" s="19"/>
      <c r="D343" s="19"/>
      <c r="E343" s="19"/>
      <c r="F343" s="19"/>
      <c r="G343" s="19"/>
      <c r="H343" s="19"/>
      <c r="I343" s="19"/>
      <c r="J343" s="19"/>
      <c r="K343" s="19"/>
      <c r="L343" s="19"/>
      <c r="M343" s="19"/>
      <c r="N343" s="19"/>
      <c r="O343" s="19"/>
      <c r="P343" s="19"/>
    </row>
    <row r="344">
      <c r="A344" s="19"/>
      <c r="B344" s="19"/>
      <c r="C344" s="19"/>
      <c r="D344" s="19"/>
      <c r="E344" s="19"/>
      <c r="F344" s="19"/>
      <c r="G344" s="19"/>
      <c r="H344" s="19"/>
      <c r="I344" s="19"/>
      <c r="J344" s="19"/>
      <c r="K344" s="19"/>
      <c r="L344" s="19"/>
      <c r="M344" s="19"/>
      <c r="N344" s="19"/>
      <c r="O344" s="19"/>
      <c r="P344" s="19"/>
    </row>
    <row r="345">
      <c r="A345" s="19"/>
      <c r="B345" s="19"/>
      <c r="C345" s="19"/>
      <c r="D345" s="19"/>
      <c r="E345" s="19"/>
      <c r="F345" s="19"/>
      <c r="G345" s="19"/>
      <c r="H345" s="19"/>
      <c r="I345" s="19"/>
      <c r="J345" s="19"/>
      <c r="K345" s="19"/>
      <c r="L345" s="19"/>
      <c r="M345" s="19"/>
      <c r="N345" s="19"/>
      <c r="O345" s="19"/>
      <c r="P345" s="19"/>
    </row>
    <row r="346">
      <c r="A346" s="19"/>
      <c r="B346" s="19"/>
      <c r="C346" s="19"/>
      <c r="D346" s="19"/>
      <c r="E346" s="19"/>
      <c r="F346" s="19"/>
      <c r="G346" s="19"/>
      <c r="H346" s="19"/>
      <c r="I346" s="19"/>
      <c r="J346" s="19"/>
      <c r="K346" s="19"/>
      <c r="L346" s="19"/>
      <c r="M346" s="19"/>
      <c r="N346" s="19"/>
      <c r="O346" s="19"/>
      <c r="P346" s="19"/>
    </row>
    <row r="347">
      <c r="A347" s="19"/>
      <c r="B347" s="19"/>
      <c r="C347" s="19"/>
      <c r="D347" s="19"/>
      <c r="E347" s="19"/>
      <c r="F347" s="19"/>
      <c r="G347" s="19"/>
      <c r="H347" s="19"/>
      <c r="I347" s="19"/>
      <c r="J347" s="19"/>
      <c r="K347" s="19"/>
      <c r="L347" s="19"/>
      <c r="M347" s="19"/>
      <c r="N347" s="19"/>
      <c r="O347" s="19"/>
      <c r="P347" s="19"/>
    </row>
    <row r="348">
      <c r="A348" s="19"/>
      <c r="B348" s="19"/>
      <c r="C348" s="19"/>
      <c r="D348" s="19"/>
      <c r="E348" s="19"/>
      <c r="F348" s="19"/>
      <c r="G348" s="19"/>
      <c r="H348" s="19"/>
      <c r="I348" s="19"/>
      <c r="J348" s="19"/>
      <c r="K348" s="19"/>
      <c r="L348" s="19"/>
      <c r="M348" s="19"/>
      <c r="N348" s="19"/>
      <c r="O348" s="19"/>
      <c r="P348" s="19"/>
    </row>
    <row r="349">
      <c r="A349" s="19"/>
      <c r="B349" s="19"/>
      <c r="C349" s="19"/>
      <c r="D349" s="19"/>
      <c r="E349" s="19"/>
      <c r="F349" s="19"/>
      <c r="G349" s="19"/>
      <c r="H349" s="19"/>
      <c r="I349" s="19"/>
      <c r="J349" s="19"/>
      <c r="K349" s="19"/>
      <c r="L349" s="19"/>
      <c r="M349" s="19"/>
      <c r="N349" s="19"/>
      <c r="O349" s="19"/>
      <c r="P349" s="19"/>
    </row>
    <row r="350">
      <c r="A350" s="19"/>
      <c r="B350" s="19"/>
      <c r="C350" s="19"/>
      <c r="D350" s="19"/>
      <c r="E350" s="19"/>
      <c r="F350" s="19"/>
      <c r="G350" s="19"/>
      <c r="H350" s="19"/>
      <c r="I350" s="19"/>
      <c r="J350" s="19"/>
      <c r="K350" s="19"/>
      <c r="L350" s="19"/>
      <c r="M350" s="19"/>
      <c r="N350" s="19"/>
      <c r="O350" s="19"/>
      <c r="P350" s="19"/>
    </row>
    <row r="351">
      <c r="A351" s="19"/>
      <c r="B351" s="19"/>
      <c r="C351" s="19"/>
      <c r="D351" s="19"/>
      <c r="E351" s="19"/>
      <c r="F351" s="19"/>
      <c r="G351" s="19"/>
      <c r="H351" s="19"/>
      <c r="I351" s="19"/>
      <c r="J351" s="19"/>
      <c r="K351" s="19"/>
      <c r="L351" s="19"/>
      <c r="M351" s="19"/>
      <c r="N351" s="19"/>
      <c r="O351" s="19"/>
      <c r="P351" s="19"/>
    </row>
    <row r="352">
      <c r="A352" s="19"/>
      <c r="B352" s="19"/>
      <c r="C352" s="19"/>
      <c r="D352" s="19"/>
      <c r="E352" s="19"/>
      <c r="F352" s="19"/>
      <c r="G352" s="19"/>
      <c r="H352" s="19"/>
      <c r="I352" s="19"/>
      <c r="J352" s="19"/>
      <c r="K352" s="19"/>
      <c r="L352" s="19"/>
      <c r="M352" s="19"/>
      <c r="N352" s="19"/>
      <c r="O352" s="19"/>
      <c r="P352" s="19"/>
    </row>
    <row r="353">
      <c r="A353" s="19"/>
      <c r="B353" s="19"/>
      <c r="C353" s="19"/>
      <c r="D353" s="19"/>
      <c r="E353" s="19"/>
      <c r="F353" s="19"/>
      <c r="G353" s="19"/>
      <c r="H353" s="19"/>
      <c r="I353" s="19"/>
      <c r="J353" s="19"/>
      <c r="K353" s="19"/>
      <c r="L353" s="19"/>
      <c r="M353" s="19"/>
      <c r="N353" s="19"/>
      <c r="O353" s="19"/>
      <c r="P353" s="19"/>
    </row>
    <row r="354">
      <c r="A354" s="19"/>
      <c r="B354" s="19"/>
      <c r="C354" s="19"/>
      <c r="D354" s="19"/>
      <c r="E354" s="19"/>
      <c r="F354" s="19"/>
      <c r="G354" s="19"/>
      <c r="H354" s="19"/>
      <c r="I354" s="19"/>
      <c r="J354" s="19"/>
      <c r="K354" s="19"/>
      <c r="L354" s="19"/>
      <c r="M354" s="19"/>
      <c r="N354" s="19"/>
      <c r="O354" s="19"/>
      <c r="P354" s="19"/>
    </row>
    <row r="355">
      <c r="A355" s="19"/>
      <c r="B355" s="19"/>
      <c r="C355" s="19"/>
      <c r="D355" s="19"/>
      <c r="E355" s="19"/>
      <c r="F355" s="19"/>
      <c r="G355" s="19"/>
      <c r="H355" s="19"/>
      <c r="I355" s="19"/>
      <c r="J355" s="19"/>
      <c r="K355" s="19"/>
      <c r="L355" s="19"/>
      <c r="M355" s="19"/>
      <c r="N355" s="19"/>
      <c r="O355" s="19"/>
      <c r="P355" s="19"/>
    </row>
    <row r="356">
      <c r="A356" s="19"/>
      <c r="B356" s="19"/>
      <c r="C356" s="19"/>
      <c r="D356" s="19"/>
      <c r="E356" s="19"/>
      <c r="F356" s="19"/>
      <c r="G356" s="19"/>
      <c r="H356" s="19"/>
      <c r="I356" s="19"/>
      <c r="J356" s="19"/>
      <c r="K356" s="19"/>
      <c r="L356" s="19"/>
      <c r="M356" s="19"/>
      <c r="N356" s="19"/>
      <c r="O356" s="19"/>
      <c r="P356" s="19"/>
    </row>
    <row r="357">
      <c r="A357" s="19"/>
      <c r="B357" s="19"/>
      <c r="C357" s="19"/>
      <c r="D357" s="19"/>
      <c r="E357" s="19"/>
      <c r="F357" s="19"/>
      <c r="G357" s="19"/>
      <c r="H357" s="19"/>
      <c r="I357" s="19"/>
      <c r="J357" s="19"/>
      <c r="K357" s="19"/>
      <c r="L357" s="19"/>
      <c r="M357" s="19"/>
      <c r="N357" s="19"/>
      <c r="O357" s="19"/>
      <c r="P357" s="19"/>
    </row>
    <row r="358">
      <c r="A358" s="19"/>
      <c r="B358" s="19"/>
      <c r="C358" s="19"/>
      <c r="D358" s="19"/>
      <c r="E358" s="19"/>
      <c r="F358" s="19"/>
      <c r="G358" s="19"/>
      <c r="H358" s="19"/>
      <c r="I358" s="19"/>
      <c r="J358" s="19"/>
      <c r="K358" s="19"/>
      <c r="L358" s="19"/>
      <c r="M358" s="19"/>
      <c r="N358" s="19"/>
      <c r="O358" s="19"/>
      <c r="P358" s="19"/>
    </row>
    <row r="359">
      <c r="A359" s="19"/>
      <c r="B359" s="19"/>
      <c r="C359" s="19"/>
      <c r="D359" s="19"/>
      <c r="E359" s="19"/>
      <c r="F359" s="19"/>
      <c r="G359" s="19"/>
      <c r="H359" s="19"/>
      <c r="I359" s="19"/>
      <c r="J359" s="19"/>
      <c r="K359" s="19"/>
      <c r="L359" s="19"/>
      <c r="M359" s="19"/>
      <c r="N359" s="19"/>
      <c r="O359" s="19"/>
      <c r="P359" s="19"/>
    </row>
    <row r="360">
      <c r="A360" s="19"/>
      <c r="B360" s="19"/>
      <c r="C360" s="19"/>
      <c r="D360" s="19"/>
      <c r="E360" s="19"/>
      <c r="F360" s="19"/>
      <c r="G360" s="19"/>
      <c r="H360" s="19"/>
      <c r="I360" s="19"/>
      <c r="J360" s="19"/>
      <c r="K360" s="19"/>
      <c r="L360" s="19"/>
      <c r="M360" s="19"/>
      <c r="N360" s="19"/>
      <c r="O360" s="19"/>
      <c r="P360" s="19"/>
    </row>
    <row r="361">
      <c r="A361" s="19"/>
      <c r="B361" s="19"/>
      <c r="C361" s="19"/>
      <c r="D361" s="19"/>
      <c r="E361" s="19"/>
      <c r="F361" s="19"/>
      <c r="G361" s="19"/>
      <c r="H361" s="19"/>
      <c r="I361" s="19"/>
      <c r="J361" s="19"/>
      <c r="K361" s="19"/>
      <c r="L361" s="19"/>
      <c r="M361" s="19"/>
      <c r="N361" s="19"/>
      <c r="O361" s="19"/>
      <c r="P361" s="19"/>
    </row>
    <row r="362">
      <c r="A362" s="19"/>
      <c r="B362" s="19"/>
      <c r="C362" s="19"/>
      <c r="D362" s="19"/>
      <c r="E362" s="19"/>
      <c r="F362" s="19"/>
      <c r="G362" s="19"/>
      <c r="H362" s="19"/>
      <c r="I362" s="19"/>
      <c r="J362" s="19"/>
      <c r="K362" s="19"/>
      <c r="L362" s="19"/>
      <c r="M362" s="19"/>
      <c r="N362" s="19"/>
      <c r="O362" s="19"/>
      <c r="P362" s="19"/>
    </row>
    <row r="363">
      <c r="A363" s="19"/>
      <c r="B363" s="19"/>
      <c r="C363" s="19"/>
      <c r="D363" s="19"/>
      <c r="E363" s="19"/>
      <c r="F363" s="19"/>
      <c r="G363" s="19"/>
      <c r="H363" s="19"/>
      <c r="I363" s="19"/>
      <c r="J363" s="19"/>
      <c r="K363" s="19"/>
      <c r="L363" s="19"/>
      <c r="M363" s="19"/>
      <c r="N363" s="19"/>
      <c r="O363" s="19"/>
      <c r="P363" s="19"/>
    </row>
    <row r="364">
      <c r="A364" s="19"/>
      <c r="B364" s="19"/>
      <c r="C364" s="19"/>
      <c r="D364" s="19"/>
      <c r="E364" s="19"/>
      <c r="F364" s="19"/>
      <c r="G364" s="19"/>
      <c r="H364" s="19"/>
      <c r="I364" s="19"/>
      <c r="J364" s="19"/>
      <c r="K364" s="19"/>
      <c r="L364" s="19"/>
      <c r="M364" s="19"/>
      <c r="N364" s="19"/>
      <c r="O364" s="19"/>
      <c r="P364" s="19"/>
    </row>
    <row r="365">
      <c r="A365" s="19"/>
      <c r="B365" s="19"/>
      <c r="C365" s="19"/>
      <c r="D365" s="19"/>
      <c r="E365" s="19"/>
      <c r="F365" s="19"/>
      <c r="G365" s="19"/>
      <c r="H365" s="19"/>
      <c r="I365" s="19"/>
      <c r="J365" s="19"/>
      <c r="K365" s="19"/>
      <c r="L365" s="19"/>
      <c r="M365" s="19"/>
      <c r="N365" s="19"/>
      <c r="O365" s="19"/>
      <c r="P365" s="19"/>
    </row>
    <row r="366">
      <c r="A366" s="19"/>
      <c r="B366" s="19"/>
      <c r="C366" s="19"/>
      <c r="D366" s="19"/>
      <c r="E366" s="19"/>
      <c r="F366" s="19"/>
      <c r="G366" s="19"/>
      <c r="H366" s="19"/>
      <c r="I366" s="19"/>
      <c r="J366" s="19"/>
      <c r="K366" s="19"/>
      <c r="L366" s="19"/>
      <c r="M366" s="19"/>
      <c r="N366" s="19"/>
      <c r="O366" s="19"/>
      <c r="P366" s="19"/>
    </row>
    <row r="367">
      <c r="A367" s="19"/>
      <c r="B367" s="19"/>
      <c r="C367" s="19"/>
      <c r="D367" s="19"/>
      <c r="E367" s="19"/>
      <c r="F367" s="19"/>
      <c r="G367" s="19"/>
      <c r="H367" s="19"/>
      <c r="I367" s="19"/>
      <c r="J367" s="19"/>
      <c r="K367" s="19"/>
      <c r="L367" s="19"/>
      <c r="M367" s="19"/>
      <c r="N367" s="19"/>
      <c r="O367" s="19"/>
      <c r="P367" s="19"/>
    </row>
    <row r="368">
      <c r="A368" s="19"/>
      <c r="B368" s="19"/>
      <c r="C368" s="19"/>
      <c r="D368" s="19"/>
      <c r="E368" s="19"/>
      <c r="F368" s="19"/>
      <c r="G368" s="19"/>
      <c r="H368" s="19"/>
      <c r="I368" s="19"/>
      <c r="J368" s="19"/>
      <c r="K368" s="19"/>
      <c r="L368" s="19"/>
      <c r="M368" s="19"/>
      <c r="N368" s="19"/>
      <c r="O368" s="19"/>
      <c r="P368" s="19"/>
    </row>
    <row r="369">
      <c r="A369" s="19"/>
      <c r="B369" s="19"/>
      <c r="C369" s="19"/>
      <c r="D369" s="19"/>
      <c r="E369" s="19"/>
      <c r="F369" s="19"/>
      <c r="G369" s="19"/>
      <c r="H369" s="19"/>
      <c r="I369" s="19"/>
      <c r="J369" s="19"/>
      <c r="K369" s="19"/>
      <c r="L369" s="19"/>
      <c r="M369" s="19"/>
      <c r="N369" s="19"/>
      <c r="O369" s="19"/>
      <c r="P369" s="19"/>
    </row>
    <row r="370">
      <c r="A370" s="19"/>
      <c r="B370" s="19"/>
      <c r="C370" s="19"/>
      <c r="D370" s="19"/>
      <c r="E370" s="19"/>
      <c r="F370" s="19"/>
      <c r="G370" s="19"/>
      <c r="H370" s="19"/>
      <c r="I370" s="19"/>
      <c r="J370" s="19"/>
      <c r="K370" s="19"/>
      <c r="L370" s="19"/>
      <c r="M370" s="19"/>
      <c r="N370" s="19"/>
      <c r="O370" s="19"/>
      <c r="P370" s="19"/>
    </row>
    <row r="371">
      <c r="A371" s="19"/>
      <c r="B371" s="19"/>
      <c r="C371" s="19"/>
      <c r="D371" s="19"/>
      <c r="E371" s="19"/>
      <c r="F371" s="19"/>
      <c r="G371" s="19"/>
      <c r="H371" s="19"/>
      <c r="I371" s="19"/>
      <c r="J371" s="19"/>
      <c r="K371" s="19"/>
      <c r="L371" s="19"/>
      <c r="M371" s="19"/>
      <c r="N371" s="19"/>
      <c r="O371" s="19"/>
      <c r="P371" s="19"/>
    </row>
    <row r="372">
      <c r="A372" s="19"/>
      <c r="B372" s="19"/>
      <c r="C372" s="19"/>
      <c r="D372" s="19"/>
      <c r="E372" s="19"/>
      <c r="F372" s="19"/>
      <c r="G372" s="19"/>
      <c r="H372" s="19"/>
      <c r="I372" s="19"/>
      <c r="J372" s="19"/>
      <c r="K372" s="19"/>
      <c r="L372" s="19"/>
      <c r="M372" s="19"/>
      <c r="N372" s="19"/>
      <c r="O372" s="19"/>
      <c r="P372" s="19"/>
    </row>
    <row r="373">
      <c r="A373" s="19"/>
      <c r="B373" s="19"/>
      <c r="C373" s="19"/>
      <c r="D373" s="19"/>
      <c r="E373" s="19"/>
      <c r="F373" s="19"/>
      <c r="G373" s="19"/>
      <c r="H373" s="19"/>
      <c r="I373" s="19"/>
      <c r="J373" s="19"/>
      <c r="K373" s="19"/>
      <c r="L373" s="19"/>
      <c r="M373" s="19"/>
      <c r="N373" s="19"/>
      <c r="O373" s="19"/>
      <c r="P373" s="19"/>
    </row>
    <row r="374">
      <c r="A374" s="19"/>
      <c r="B374" s="19"/>
      <c r="C374" s="19"/>
      <c r="D374" s="19"/>
      <c r="E374" s="19"/>
      <c r="F374" s="19"/>
      <c r="G374" s="19"/>
      <c r="H374" s="19"/>
      <c r="I374" s="19"/>
      <c r="J374" s="19"/>
      <c r="K374" s="19"/>
      <c r="L374" s="19"/>
      <c r="M374" s="19"/>
      <c r="N374" s="19"/>
      <c r="O374" s="19"/>
      <c r="P374" s="19"/>
    </row>
    <row r="375">
      <c r="A375" s="19"/>
      <c r="B375" s="19"/>
      <c r="C375" s="19"/>
      <c r="D375" s="19"/>
      <c r="E375" s="19"/>
      <c r="F375" s="19"/>
      <c r="G375" s="19"/>
      <c r="H375" s="19"/>
      <c r="I375" s="19"/>
      <c r="J375" s="19"/>
      <c r="K375" s="19"/>
      <c r="L375" s="19"/>
      <c r="M375" s="19"/>
      <c r="N375" s="19"/>
      <c r="O375" s="19"/>
      <c r="P375" s="19"/>
    </row>
    <row r="376">
      <c r="A376" s="19"/>
      <c r="B376" s="19"/>
      <c r="C376" s="19"/>
      <c r="D376" s="19"/>
      <c r="E376" s="19"/>
      <c r="F376" s="19"/>
      <c r="G376" s="19"/>
      <c r="H376" s="19"/>
      <c r="I376" s="19"/>
      <c r="J376" s="19"/>
      <c r="K376" s="19"/>
      <c r="L376" s="19"/>
      <c r="M376" s="19"/>
      <c r="N376" s="19"/>
      <c r="O376" s="19"/>
      <c r="P376" s="19"/>
    </row>
    <row r="377">
      <c r="A377" s="19"/>
      <c r="B377" s="19"/>
      <c r="C377" s="19"/>
      <c r="D377" s="19"/>
      <c r="E377" s="19"/>
      <c r="F377" s="19"/>
      <c r="G377" s="19"/>
      <c r="H377" s="19"/>
      <c r="I377" s="19"/>
      <c r="J377" s="19"/>
      <c r="K377" s="19"/>
      <c r="L377" s="19"/>
      <c r="M377" s="19"/>
      <c r="N377" s="19"/>
      <c r="O377" s="19"/>
      <c r="P377" s="19"/>
    </row>
    <row r="378">
      <c r="A378" s="19"/>
      <c r="B378" s="19"/>
      <c r="C378" s="19"/>
      <c r="D378" s="19"/>
      <c r="E378" s="19"/>
      <c r="F378" s="19"/>
      <c r="G378" s="19"/>
      <c r="H378" s="19"/>
      <c r="I378" s="19"/>
      <c r="J378" s="19"/>
      <c r="K378" s="19"/>
      <c r="L378" s="19"/>
      <c r="M378" s="19"/>
      <c r="N378" s="19"/>
      <c r="O378" s="19"/>
      <c r="P378" s="19"/>
    </row>
    <row r="379">
      <c r="A379" s="19"/>
      <c r="B379" s="19"/>
      <c r="C379" s="19"/>
      <c r="D379" s="19"/>
      <c r="E379" s="19"/>
      <c r="F379" s="19"/>
      <c r="G379" s="19"/>
      <c r="H379" s="19"/>
      <c r="I379" s="19"/>
      <c r="J379" s="19"/>
      <c r="K379" s="19"/>
      <c r="L379" s="19"/>
      <c r="M379" s="19"/>
      <c r="N379" s="19"/>
      <c r="O379" s="19"/>
      <c r="P379" s="19"/>
    </row>
    <row r="380">
      <c r="A380" s="19"/>
      <c r="B380" s="19"/>
      <c r="C380" s="19"/>
      <c r="D380" s="19"/>
      <c r="E380" s="19"/>
      <c r="F380" s="19"/>
      <c r="G380" s="19"/>
      <c r="H380" s="19"/>
      <c r="I380" s="19"/>
      <c r="J380" s="19"/>
      <c r="K380" s="19"/>
      <c r="L380" s="19"/>
      <c r="M380" s="19"/>
      <c r="N380" s="19"/>
      <c r="O380" s="19"/>
      <c r="P380" s="19"/>
    </row>
    <row r="381">
      <c r="A381" s="19"/>
      <c r="B381" s="19"/>
      <c r="C381" s="19"/>
      <c r="D381" s="19"/>
      <c r="E381" s="19"/>
      <c r="F381" s="19"/>
      <c r="G381" s="19"/>
      <c r="H381" s="19"/>
      <c r="I381" s="19"/>
      <c r="J381" s="19"/>
      <c r="K381" s="19"/>
      <c r="L381" s="19"/>
      <c r="M381" s="19"/>
      <c r="N381" s="19"/>
      <c r="O381" s="19"/>
      <c r="P381" s="19"/>
    </row>
    <row r="382">
      <c r="A382" s="19"/>
      <c r="B382" s="19"/>
      <c r="C382" s="19"/>
      <c r="D382" s="19"/>
      <c r="E382" s="19"/>
      <c r="F382" s="19"/>
      <c r="G382" s="19"/>
      <c r="H382" s="19"/>
      <c r="I382" s="19"/>
      <c r="J382" s="19"/>
      <c r="K382" s="19"/>
      <c r="L382" s="19"/>
      <c r="M382" s="19"/>
      <c r="N382" s="19"/>
      <c r="O382" s="19"/>
      <c r="P382" s="19"/>
    </row>
    <row r="383">
      <c r="A383" s="19"/>
      <c r="B383" s="19"/>
      <c r="C383" s="19"/>
      <c r="D383" s="19"/>
      <c r="E383" s="19"/>
      <c r="F383" s="19"/>
      <c r="G383" s="19"/>
      <c r="H383" s="19"/>
      <c r="I383" s="19"/>
      <c r="J383" s="19"/>
      <c r="K383" s="19"/>
      <c r="L383" s="19"/>
      <c r="M383" s="19"/>
      <c r="N383" s="19"/>
      <c r="O383" s="19"/>
      <c r="P383" s="19"/>
    </row>
    <row r="384">
      <c r="A384" s="19"/>
      <c r="B384" s="19"/>
      <c r="C384" s="19"/>
      <c r="D384" s="19"/>
      <c r="E384" s="19"/>
      <c r="F384" s="19"/>
      <c r="G384" s="19"/>
      <c r="H384" s="19"/>
      <c r="I384" s="19"/>
      <c r="J384" s="19"/>
      <c r="K384" s="19"/>
      <c r="L384" s="19"/>
      <c r="M384" s="19"/>
      <c r="N384" s="19"/>
      <c r="O384" s="19"/>
      <c r="P384" s="19"/>
    </row>
    <row r="385">
      <c r="A385" s="19"/>
      <c r="B385" s="19"/>
      <c r="C385" s="19"/>
      <c r="D385" s="19"/>
      <c r="E385" s="19"/>
      <c r="F385" s="19"/>
      <c r="G385" s="19"/>
      <c r="H385" s="19"/>
      <c r="I385" s="19"/>
      <c r="J385" s="19"/>
      <c r="K385" s="19"/>
      <c r="L385" s="19"/>
      <c r="M385" s="19"/>
      <c r="N385" s="19"/>
      <c r="O385" s="19"/>
      <c r="P385" s="19"/>
    </row>
    <row r="386">
      <c r="A386" s="19"/>
      <c r="B386" s="19"/>
      <c r="C386" s="19"/>
      <c r="D386" s="19"/>
      <c r="E386" s="19"/>
      <c r="F386" s="19"/>
      <c r="G386" s="19"/>
      <c r="H386" s="19"/>
      <c r="I386" s="19"/>
      <c r="J386" s="19"/>
      <c r="K386" s="19"/>
      <c r="L386" s="19"/>
      <c r="M386" s="19"/>
      <c r="N386" s="19"/>
      <c r="O386" s="19"/>
      <c r="P386" s="19"/>
    </row>
    <row r="387">
      <c r="A387" s="19"/>
      <c r="B387" s="19"/>
      <c r="C387" s="19"/>
      <c r="D387" s="19"/>
      <c r="E387" s="19"/>
      <c r="F387" s="19"/>
      <c r="G387" s="19"/>
      <c r="H387" s="19"/>
      <c r="I387" s="19"/>
      <c r="J387" s="19"/>
      <c r="K387" s="19"/>
      <c r="L387" s="19"/>
      <c r="M387" s="19"/>
      <c r="N387" s="19"/>
      <c r="O387" s="19"/>
      <c r="P387" s="19"/>
    </row>
    <row r="388">
      <c r="A388" s="19"/>
      <c r="B388" s="19"/>
      <c r="C388" s="19"/>
      <c r="D388" s="19"/>
      <c r="E388" s="19"/>
      <c r="F388" s="19"/>
      <c r="G388" s="19"/>
      <c r="H388" s="19"/>
      <c r="I388" s="19"/>
      <c r="J388" s="19"/>
      <c r="K388" s="19"/>
      <c r="L388" s="19"/>
      <c r="M388" s="19"/>
      <c r="N388" s="19"/>
      <c r="O388" s="19"/>
      <c r="P388" s="19"/>
    </row>
    <row r="389">
      <c r="A389" s="19"/>
      <c r="B389" s="19"/>
      <c r="C389" s="19"/>
      <c r="D389" s="19"/>
      <c r="E389" s="19"/>
      <c r="F389" s="19"/>
      <c r="G389" s="19"/>
      <c r="H389" s="19"/>
      <c r="I389" s="19"/>
      <c r="J389" s="19"/>
      <c r="K389" s="19"/>
      <c r="L389" s="19"/>
      <c r="M389" s="19"/>
      <c r="N389" s="19"/>
      <c r="O389" s="19"/>
      <c r="P389" s="19"/>
    </row>
    <row r="390">
      <c r="A390" s="19"/>
      <c r="B390" s="19"/>
      <c r="C390" s="19"/>
      <c r="D390" s="19"/>
      <c r="E390" s="19"/>
      <c r="F390" s="19"/>
      <c r="G390" s="19"/>
      <c r="H390" s="19"/>
      <c r="I390" s="19"/>
      <c r="J390" s="19"/>
      <c r="K390" s="19"/>
      <c r="L390" s="19"/>
      <c r="M390" s="19"/>
      <c r="N390" s="19"/>
      <c r="O390" s="19"/>
      <c r="P390" s="19"/>
    </row>
    <row r="391">
      <c r="A391" s="19"/>
      <c r="B391" s="19"/>
      <c r="C391" s="19"/>
      <c r="D391" s="19"/>
      <c r="E391" s="19"/>
      <c r="F391" s="19"/>
      <c r="G391" s="19"/>
      <c r="H391" s="19"/>
      <c r="I391" s="19"/>
      <c r="J391" s="19"/>
      <c r="K391" s="19"/>
      <c r="L391" s="19"/>
      <c r="M391" s="19"/>
      <c r="N391" s="19"/>
      <c r="O391" s="19"/>
      <c r="P391" s="19"/>
    </row>
    <row r="392">
      <c r="A392" s="19"/>
      <c r="B392" s="19"/>
      <c r="C392" s="19"/>
      <c r="D392" s="19"/>
      <c r="E392" s="19"/>
      <c r="F392" s="19"/>
      <c r="G392" s="19"/>
      <c r="H392" s="19"/>
      <c r="I392" s="19"/>
      <c r="J392" s="19"/>
      <c r="K392" s="19"/>
      <c r="L392" s="19"/>
      <c r="M392" s="19"/>
      <c r="N392" s="19"/>
      <c r="O392" s="19"/>
      <c r="P392" s="19"/>
    </row>
    <row r="393">
      <c r="A393" s="19"/>
      <c r="B393" s="19"/>
      <c r="C393" s="19"/>
      <c r="D393" s="19"/>
      <c r="E393" s="19"/>
      <c r="F393" s="19"/>
      <c r="G393" s="19"/>
      <c r="H393" s="19"/>
      <c r="I393" s="19"/>
      <c r="J393" s="19"/>
      <c r="K393" s="19"/>
      <c r="L393" s="19"/>
      <c r="M393" s="19"/>
      <c r="N393" s="19"/>
      <c r="O393" s="19"/>
      <c r="P393" s="19"/>
    </row>
    <row r="394">
      <c r="A394" s="19"/>
      <c r="B394" s="19"/>
      <c r="C394" s="19"/>
      <c r="D394" s="19"/>
      <c r="E394" s="19"/>
      <c r="F394" s="19"/>
      <c r="G394" s="19"/>
      <c r="H394" s="19"/>
      <c r="I394" s="19"/>
      <c r="J394" s="19"/>
      <c r="K394" s="19"/>
      <c r="L394" s="19"/>
      <c r="M394" s="19"/>
      <c r="N394" s="19"/>
      <c r="O394" s="19"/>
      <c r="P394" s="19"/>
    </row>
    <row r="395">
      <c r="A395" s="19"/>
      <c r="B395" s="19"/>
      <c r="C395" s="19"/>
      <c r="D395" s="19"/>
      <c r="E395" s="19"/>
      <c r="F395" s="19"/>
      <c r="G395" s="19"/>
      <c r="H395" s="19"/>
      <c r="I395" s="19"/>
      <c r="J395" s="19"/>
      <c r="K395" s="19"/>
      <c r="L395" s="19"/>
      <c r="M395" s="19"/>
      <c r="N395" s="19"/>
      <c r="O395" s="19"/>
      <c r="P395" s="19"/>
    </row>
    <row r="396">
      <c r="A396" s="19"/>
      <c r="B396" s="19"/>
      <c r="C396" s="19"/>
      <c r="D396" s="19"/>
      <c r="E396" s="19"/>
      <c r="F396" s="19"/>
      <c r="G396" s="19"/>
      <c r="H396" s="19"/>
      <c r="I396" s="19"/>
      <c r="J396" s="19"/>
      <c r="K396" s="19"/>
      <c r="L396" s="19"/>
      <c r="M396" s="19"/>
      <c r="N396" s="19"/>
      <c r="O396" s="19"/>
      <c r="P396" s="19"/>
    </row>
    <row r="397">
      <c r="A397" s="19"/>
      <c r="B397" s="19"/>
      <c r="C397" s="19"/>
      <c r="D397" s="19"/>
      <c r="E397" s="19"/>
      <c r="F397" s="19"/>
      <c r="G397" s="19"/>
      <c r="H397" s="19"/>
      <c r="I397" s="19"/>
      <c r="J397" s="19"/>
      <c r="K397" s="19"/>
      <c r="L397" s="19"/>
      <c r="M397" s="19"/>
      <c r="N397" s="19"/>
      <c r="O397" s="19"/>
      <c r="P397" s="19"/>
    </row>
    <row r="398">
      <c r="A398" s="19"/>
      <c r="B398" s="19"/>
      <c r="C398" s="19"/>
      <c r="D398" s="19"/>
      <c r="E398" s="19"/>
      <c r="F398" s="19"/>
      <c r="G398" s="19"/>
      <c r="H398" s="19"/>
      <c r="I398" s="19"/>
      <c r="J398" s="19"/>
      <c r="K398" s="19"/>
      <c r="L398" s="19"/>
      <c r="M398" s="19"/>
      <c r="N398" s="19"/>
      <c r="O398" s="19"/>
      <c r="P398" s="19"/>
    </row>
    <row r="399">
      <c r="A399" s="19"/>
      <c r="B399" s="19"/>
      <c r="C399" s="19"/>
      <c r="D399" s="19"/>
      <c r="E399" s="19"/>
      <c r="F399" s="19"/>
      <c r="G399" s="19"/>
      <c r="H399" s="19"/>
      <c r="I399" s="19"/>
      <c r="J399" s="19"/>
      <c r="K399" s="19"/>
      <c r="L399" s="19"/>
      <c r="M399" s="19"/>
      <c r="N399" s="19"/>
      <c r="O399" s="19"/>
      <c r="P399" s="19"/>
    </row>
    <row r="400">
      <c r="A400" s="19"/>
      <c r="B400" s="19"/>
      <c r="C400" s="19"/>
      <c r="D400" s="19"/>
      <c r="E400" s="19"/>
      <c r="F400" s="19"/>
      <c r="G400" s="19"/>
      <c r="H400" s="19"/>
      <c r="I400" s="19"/>
      <c r="J400" s="19"/>
      <c r="K400" s="19"/>
      <c r="L400" s="19"/>
      <c r="M400" s="19"/>
      <c r="N400" s="19"/>
      <c r="O400" s="19"/>
      <c r="P400" s="19"/>
    </row>
    <row r="401">
      <c r="A401" s="19"/>
      <c r="B401" s="19"/>
      <c r="C401" s="19"/>
      <c r="D401" s="19"/>
      <c r="E401" s="19"/>
      <c r="F401" s="19"/>
      <c r="G401" s="19"/>
      <c r="H401" s="19"/>
      <c r="I401" s="19"/>
      <c r="J401" s="19"/>
      <c r="K401" s="19"/>
      <c r="L401" s="19"/>
      <c r="M401" s="19"/>
      <c r="N401" s="19"/>
      <c r="O401" s="19"/>
      <c r="P401" s="19"/>
    </row>
    <row r="402">
      <c r="A402" s="19"/>
      <c r="B402" s="19"/>
      <c r="C402" s="19"/>
      <c r="D402" s="19"/>
      <c r="E402" s="19"/>
      <c r="F402" s="19"/>
      <c r="G402" s="19"/>
      <c r="H402" s="19"/>
      <c r="I402" s="19"/>
      <c r="J402" s="19"/>
      <c r="K402" s="19"/>
      <c r="L402" s="19"/>
      <c r="M402" s="19"/>
      <c r="N402" s="19"/>
      <c r="O402" s="19"/>
      <c r="P402" s="19"/>
    </row>
    <row r="403">
      <c r="A403" s="19"/>
      <c r="B403" s="19"/>
      <c r="C403" s="19"/>
      <c r="D403" s="19"/>
      <c r="E403" s="19"/>
      <c r="F403" s="19"/>
      <c r="G403" s="19"/>
      <c r="H403" s="19"/>
      <c r="I403" s="19"/>
      <c r="J403" s="19"/>
      <c r="K403" s="19"/>
      <c r="L403" s="19"/>
      <c r="M403" s="19"/>
      <c r="N403" s="19"/>
      <c r="O403" s="19"/>
      <c r="P403" s="19"/>
    </row>
    <row r="404">
      <c r="A404" s="19"/>
      <c r="B404" s="19"/>
      <c r="C404" s="19"/>
      <c r="D404" s="19"/>
      <c r="E404" s="19"/>
      <c r="F404" s="19"/>
      <c r="G404" s="19"/>
      <c r="H404" s="19"/>
      <c r="I404" s="19"/>
      <c r="J404" s="19"/>
      <c r="K404" s="19"/>
      <c r="L404" s="19"/>
      <c r="M404" s="19"/>
      <c r="N404" s="19"/>
      <c r="O404" s="19"/>
      <c r="P404" s="19"/>
    </row>
    <row r="405">
      <c r="A405" s="19"/>
      <c r="B405" s="19"/>
      <c r="C405" s="19"/>
      <c r="D405" s="19"/>
      <c r="E405" s="19"/>
      <c r="F405" s="19"/>
      <c r="G405" s="19"/>
      <c r="H405" s="19"/>
      <c r="I405" s="19"/>
      <c r="J405" s="19"/>
      <c r="K405" s="19"/>
      <c r="L405" s="19"/>
      <c r="M405" s="19"/>
      <c r="N405" s="19"/>
      <c r="O405" s="19"/>
      <c r="P405" s="19"/>
    </row>
    <row r="406">
      <c r="A406" s="19"/>
      <c r="B406" s="19"/>
      <c r="C406" s="19"/>
      <c r="D406" s="19"/>
      <c r="E406" s="19"/>
      <c r="F406" s="19"/>
      <c r="G406" s="19"/>
      <c r="H406" s="19"/>
      <c r="I406" s="19"/>
      <c r="J406" s="19"/>
      <c r="K406" s="19"/>
      <c r="L406" s="19"/>
      <c r="M406" s="19"/>
      <c r="N406" s="19"/>
      <c r="O406" s="19"/>
      <c r="P406" s="19"/>
    </row>
    <row r="407">
      <c r="A407" s="19"/>
      <c r="B407" s="19"/>
      <c r="C407" s="19"/>
      <c r="D407" s="19"/>
      <c r="E407" s="19"/>
      <c r="F407" s="19"/>
      <c r="G407" s="19"/>
      <c r="H407" s="19"/>
      <c r="I407" s="19"/>
      <c r="J407" s="19"/>
      <c r="K407" s="19"/>
      <c r="L407" s="19"/>
      <c r="M407" s="19"/>
      <c r="N407" s="19"/>
      <c r="O407" s="19"/>
      <c r="P407" s="19"/>
    </row>
    <row r="408">
      <c r="A408" s="19"/>
      <c r="B408" s="19"/>
      <c r="C408" s="19"/>
      <c r="D408" s="19"/>
      <c r="E408" s="19"/>
      <c r="F408" s="19"/>
      <c r="G408" s="19"/>
      <c r="H408" s="19"/>
      <c r="I408" s="19"/>
      <c r="J408" s="19"/>
      <c r="K408" s="19"/>
      <c r="L408" s="19"/>
      <c r="M408" s="19"/>
      <c r="N408" s="19"/>
      <c r="O408" s="19"/>
      <c r="P408" s="19"/>
    </row>
    <row r="409">
      <c r="A409" s="19"/>
      <c r="B409" s="19"/>
      <c r="C409" s="19"/>
      <c r="D409" s="19"/>
      <c r="E409" s="19"/>
      <c r="F409" s="19"/>
      <c r="G409" s="19"/>
      <c r="H409" s="19"/>
      <c r="I409" s="19"/>
      <c r="J409" s="19"/>
      <c r="K409" s="19"/>
      <c r="L409" s="19"/>
      <c r="M409" s="19"/>
      <c r="N409" s="19"/>
      <c r="O409" s="19"/>
      <c r="P409" s="19"/>
    </row>
    <row r="410">
      <c r="A410" s="19"/>
      <c r="B410" s="19"/>
      <c r="C410" s="19"/>
      <c r="D410" s="19"/>
      <c r="E410" s="19"/>
      <c r="F410" s="19"/>
      <c r="G410" s="19"/>
      <c r="H410" s="19"/>
      <c r="I410" s="19"/>
      <c r="J410" s="19"/>
      <c r="K410" s="19"/>
      <c r="L410" s="19"/>
      <c r="M410" s="19"/>
      <c r="N410" s="19"/>
      <c r="O410" s="19"/>
      <c r="P410" s="19"/>
    </row>
    <row r="411">
      <c r="A411" s="19"/>
      <c r="B411" s="19"/>
      <c r="C411" s="19"/>
      <c r="D411" s="19"/>
      <c r="E411" s="19"/>
      <c r="F411" s="19"/>
      <c r="G411" s="19"/>
      <c r="H411" s="19"/>
      <c r="I411" s="19"/>
      <c r="J411" s="19"/>
      <c r="K411" s="19"/>
      <c r="L411" s="19"/>
      <c r="M411" s="19"/>
      <c r="N411" s="19"/>
      <c r="O411" s="19"/>
      <c r="P411" s="19"/>
    </row>
    <row r="412">
      <c r="A412" s="19"/>
      <c r="B412" s="19"/>
      <c r="C412" s="19"/>
      <c r="D412" s="19"/>
      <c r="E412" s="19"/>
      <c r="F412" s="19"/>
      <c r="G412" s="19"/>
      <c r="H412" s="19"/>
      <c r="I412" s="19"/>
      <c r="J412" s="19"/>
      <c r="K412" s="19"/>
      <c r="L412" s="19"/>
      <c r="M412" s="19"/>
      <c r="N412" s="19"/>
      <c r="O412" s="19"/>
      <c r="P412" s="19"/>
    </row>
    <row r="413">
      <c r="A413" s="19"/>
      <c r="B413" s="19"/>
      <c r="C413" s="19"/>
      <c r="D413" s="19"/>
      <c r="E413" s="19"/>
      <c r="F413" s="19"/>
      <c r="G413" s="19"/>
      <c r="H413" s="19"/>
      <c r="I413" s="19"/>
      <c r="J413" s="19"/>
      <c r="K413" s="19"/>
      <c r="L413" s="19"/>
      <c r="M413" s="19"/>
      <c r="N413" s="19"/>
      <c r="O413" s="19"/>
      <c r="P413" s="19"/>
    </row>
    <row r="414">
      <c r="A414" s="19"/>
      <c r="B414" s="19"/>
      <c r="C414" s="19"/>
      <c r="D414" s="19"/>
      <c r="E414" s="19"/>
      <c r="F414" s="19"/>
      <c r="G414" s="19"/>
      <c r="H414" s="19"/>
      <c r="I414" s="19"/>
      <c r="J414" s="19"/>
      <c r="K414" s="19"/>
      <c r="L414" s="19"/>
      <c r="M414" s="19"/>
      <c r="N414" s="19"/>
      <c r="O414" s="19"/>
      <c r="P414" s="19"/>
    </row>
    <row r="415">
      <c r="A415" s="19"/>
      <c r="B415" s="19"/>
      <c r="C415" s="19"/>
      <c r="D415" s="19"/>
      <c r="E415" s="19"/>
      <c r="F415" s="19"/>
      <c r="G415" s="19"/>
      <c r="H415" s="19"/>
      <c r="I415" s="19"/>
      <c r="J415" s="19"/>
      <c r="K415" s="19"/>
      <c r="L415" s="19"/>
      <c r="M415" s="19"/>
      <c r="N415" s="19"/>
      <c r="O415" s="19"/>
      <c r="P415" s="19"/>
    </row>
    <row r="416">
      <c r="A416" s="19"/>
      <c r="B416" s="19"/>
      <c r="C416" s="19"/>
      <c r="D416" s="19"/>
      <c r="E416" s="19"/>
      <c r="F416" s="19"/>
      <c r="G416" s="19"/>
      <c r="H416" s="19"/>
      <c r="I416" s="19"/>
      <c r="J416" s="19"/>
      <c r="K416" s="19"/>
      <c r="L416" s="19"/>
      <c r="M416" s="19"/>
      <c r="N416" s="19"/>
      <c r="O416" s="19"/>
      <c r="P416" s="19"/>
    </row>
    <row r="417">
      <c r="A417" s="19"/>
      <c r="B417" s="19"/>
      <c r="C417" s="19"/>
      <c r="D417" s="19"/>
      <c r="E417" s="19"/>
      <c r="F417" s="19"/>
      <c r="G417" s="19"/>
      <c r="H417" s="19"/>
      <c r="I417" s="19"/>
      <c r="J417" s="19"/>
      <c r="K417" s="19"/>
      <c r="L417" s="19"/>
      <c r="M417" s="19"/>
      <c r="N417" s="19"/>
      <c r="O417" s="19"/>
      <c r="P417" s="19"/>
    </row>
    <row r="418">
      <c r="A418" s="19"/>
      <c r="B418" s="19"/>
      <c r="C418" s="19"/>
      <c r="D418" s="19"/>
      <c r="E418" s="19"/>
      <c r="F418" s="19"/>
      <c r="G418" s="19"/>
      <c r="H418" s="19"/>
      <c r="I418" s="19"/>
      <c r="J418" s="19"/>
      <c r="K418" s="19"/>
      <c r="L418" s="19"/>
      <c r="M418" s="19"/>
      <c r="N418" s="19"/>
      <c r="O418" s="19"/>
      <c r="P418" s="19"/>
    </row>
    <row r="419">
      <c r="A419" s="19"/>
      <c r="B419" s="19"/>
      <c r="C419" s="19"/>
      <c r="D419" s="19"/>
      <c r="E419" s="19"/>
      <c r="F419" s="19"/>
      <c r="G419" s="19"/>
      <c r="H419" s="19"/>
      <c r="I419" s="19"/>
      <c r="J419" s="19"/>
      <c r="K419" s="19"/>
      <c r="L419" s="19"/>
      <c r="M419" s="19"/>
      <c r="N419" s="19"/>
      <c r="O419" s="19"/>
      <c r="P419" s="19"/>
    </row>
    <row r="420">
      <c r="A420" s="19"/>
      <c r="B420" s="19"/>
      <c r="C420" s="19"/>
      <c r="D420" s="19"/>
      <c r="E420" s="19"/>
      <c r="F420" s="19"/>
      <c r="G420" s="19"/>
      <c r="H420" s="19"/>
      <c r="I420" s="19"/>
      <c r="J420" s="19"/>
      <c r="K420" s="19"/>
      <c r="L420" s="19"/>
      <c r="M420" s="19"/>
      <c r="N420" s="19"/>
      <c r="O420" s="19"/>
      <c r="P420" s="19"/>
    </row>
    <row r="421">
      <c r="A421" s="19"/>
      <c r="B421" s="19"/>
      <c r="C421" s="19"/>
      <c r="D421" s="19"/>
      <c r="E421" s="19"/>
      <c r="F421" s="19"/>
      <c r="G421" s="19"/>
      <c r="H421" s="19"/>
      <c r="I421" s="19"/>
      <c r="J421" s="19"/>
      <c r="K421" s="19"/>
      <c r="L421" s="19"/>
      <c r="M421" s="19"/>
      <c r="N421" s="19"/>
      <c r="O421" s="19"/>
      <c r="P421" s="19"/>
    </row>
    <row r="422">
      <c r="A422" s="19"/>
      <c r="B422" s="19"/>
      <c r="C422" s="19"/>
      <c r="D422" s="19"/>
      <c r="E422" s="19"/>
      <c r="F422" s="19"/>
      <c r="G422" s="19"/>
      <c r="H422" s="19"/>
      <c r="I422" s="19"/>
      <c r="J422" s="19"/>
      <c r="K422" s="19"/>
      <c r="L422" s="19"/>
      <c r="M422" s="19"/>
      <c r="N422" s="19"/>
      <c r="O422" s="19"/>
      <c r="P422" s="19"/>
    </row>
    <row r="423">
      <c r="A423" s="19"/>
      <c r="B423" s="19"/>
      <c r="C423" s="19"/>
      <c r="D423" s="19"/>
      <c r="E423" s="19"/>
      <c r="F423" s="19"/>
      <c r="G423" s="19"/>
      <c r="H423" s="19"/>
      <c r="I423" s="19"/>
      <c r="J423" s="19"/>
      <c r="K423" s="19"/>
      <c r="L423" s="19"/>
      <c r="M423" s="19"/>
      <c r="N423" s="19"/>
      <c r="O423" s="19"/>
      <c r="P423" s="19"/>
    </row>
    <row r="424">
      <c r="A424" s="19"/>
      <c r="B424" s="19"/>
      <c r="C424" s="19"/>
      <c r="D424" s="19"/>
      <c r="E424" s="19"/>
      <c r="F424" s="19"/>
      <c r="G424" s="19"/>
      <c r="H424" s="19"/>
      <c r="I424" s="19"/>
      <c r="J424" s="19"/>
      <c r="K424" s="19"/>
      <c r="L424" s="19"/>
      <c r="M424" s="19"/>
      <c r="N424" s="19"/>
      <c r="O424" s="19"/>
      <c r="P424" s="19"/>
    </row>
    <row r="425">
      <c r="A425" s="19"/>
      <c r="B425" s="19"/>
      <c r="C425" s="19"/>
      <c r="D425" s="19"/>
      <c r="E425" s="19"/>
      <c r="F425" s="19"/>
      <c r="G425" s="19"/>
      <c r="H425" s="19"/>
      <c r="I425" s="19"/>
      <c r="J425" s="19"/>
      <c r="K425" s="19"/>
      <c r="L425" s="19"/>
      <c r="M425" s="19"/>
      <c r="N425" s="19"/>
      <c r="O425" s="19"/>
      <c r="P425" s="19"/>
    </row>
    <row r="426">
      <c r="A426" s="19"/>
      <c r="B426" s="19"/>
      <c r="C426" s="19"/>
      <c r="D426" s="19"/>
      <c r="E426" s="19"/>
      <c r="F426" s="19"/>
      <c r="G426" s="19"/>
      <c r="H426" s="19"/>
      <c r="I426" s="19"/>
      <c r="J426" s="19"/>
      <c r="K426" s="19"/>
      <c r="L426" s="19"/>
      <c r="M426" s="19"/>
      <c r="N426" s="19"/>
      <c r="O426" s="19"/>
      <c r="P426" s="19"/>
    </row>
    <row r="427">
      <c r="A427" s="19"/>
      <c r="B427" s="19"/>
      <c r="C427" s="19"/>
      <c r="D427" s="19"/>
      <c r="E427" s="19"/>
      <c r="F427" s="19"/>
      <c r="G427" s="19"/>
      <c r="H427" s="19"/>
      <c r="I427" s="19"/>
      <c r="J427" s="19"/>
      <c r="K427" s="19"/>
      <c r="L427" s="19"/>
      <c r="M427" s="19"/>
      <c r="N427" s="19"/>
      <c r="O427" s="19"/>
      <c r="P427" s="19"/>
    </row>
    <row r="428">
      <c r="A428" s="19"/>
      <c r="B428" s="19"/>
      <c r="C428" s="19"/>
      <c r="D428" s="19"/>
      <c r="E428" s="19"/>
      <c r="F428" s="19"/>
      <c r="G428" s="19"/>
      <c r="H428" s="19"/>
      <c r="I428" s="19"/>
      <c r="J428" s="19"/>
      <c r="K428" s="19"/>
      <c r="L428" s="19"/>
      <c r="M428" s="19"/>
      <c r="N428" s="19"/>
      <c r="O428" s="19"/>
      <c r="P428" s="19"/>
    </row>
    <row r="429">
      <c r="A429" s="19"/>
      <c r="B429" s="19"/>
      <c r="C429" s="19"/>
      <c r="D429" s="19"/>
      <c r="E429" s="19"/>
      <c r="F429" s="19"/>
      <c r="G429" s="19"/>
      <c r="H429" s="19"/>
      <c r="I429" s="19"/>
      <c r="J429" s="19"/>
      <c r="K429" s="19"/>
      <c r="L429" s="19"/>
      <c r="M429" s="19"/>
      <c r="N429" s="19"/>
      <c r="O429" s="19"/>
      <c r="P429" s="19"/>
    </row>
    <row r="430">
      <c r="A430" s="19"/>
      <c r="B430" s="19"/>
      <c r="C430" s="19"/>
      <c r="D430" s="19"/>
      <c r="E430" s="19"/>
      <c r="F430" s="19"/>
      <c r="G430" s="19"/>
      <c r="H430" s="19"/>
      <c r="I430" s="19"/>
      <c r="J430" s="19"/>
      <c r="K430" s="19"/>
      <c r="L430" s="19"/>
      <c r="M430" s="19"/>
      <c r="N430" s="19"/>
      <c r="O430" s="19"/>
      <c r="P430" s="19"/>
    </row>
    <row r="431">
      <c r="A431" s="19"/>
      <c r="B431" s="19"/>
      <c r="C431" s="19"/>
      <c r="D431" s="19"/>
      <c r="E431" s="19"/>
      <c r="F431" s="19"/>
      <c r="G431" s="19"/>
      <c r="H431" s="19"/>
      <c r="I431" s="19"/>
      <c r="J431" s="19"/>
      <c r="K431" s="19"/>
      <c r="L431" s="19"/>
      <c r="M431" s="19"/>
      <c r="N431" s="19"/>
      <c r="O431" s="19"/>
      <c r="P431" s="19"/>
    </row>
    <row r="432">
      <c r="A432" s="19"/>
      <c r="B432" s="19"/>
      <c r="C432" s="19"/>
      <c r="D432" s="19"/>
      <c r="E432" s="19"/>
      <c r="F432" s="19"/>
      <c r="G432" s="19"/>
      <c r="H432" s="19"/>
      <c r="I432" s="19"/>
      <c r="J432" s="19"/>
      <c r="K432" s="19"/>
      <c r="L432" s="19"/>
      <c r="M432" s="19"/>
      <c r="N432" s="19"/>
      <c r="O432" s="19"/>
      <c r="P432" s="19"/>
    </row>
    <row r="433">
      <c r="A433" s="19"/>
      <c r="B433" s="19"/>
      <c r="C433" s="19"/>
      <c r="D433" s="19"/>
      <c r="E433" s="19"/>
      <c r="F433" s="19"/>
      <c r="G433" s="19"/>
      <c r="H433" s="19"/>
      <c r="I433" s="19"/>
      <c r="J433" s="19"/>
      <c r="K433" s="19"/>
      <c r="L433" s="19"/>
      <c r="M433" s="19"/>
      <c r="N433" s="19"/>
      <c r="O433" s="19"/>
      <c r="P433" s="19"/>
    </row>
    <row r="434">
      <c r="A434" s="19"/>
      <c r="B434" s="19"/>
      <c r="C434" s="19"/>
      <c r="D434" s="19"/>
      <c r="E434" s="19"/>
      <c r="F434" s="19"/>
      <c r="G434" s="19"/>
      <c r="H434" s="19"/>
      <c r="I434" s="19"/>
      <c r="J434" s="19"/>
      <c r="K434" s="19"/>
      <c r="L434" s="19"/>
      <c r="M434" s="19"/>
      <c r="N434" s="19"/>
      <c r="O434" s="19"/>
      <c r="P434" s="19"/>
    </row>
    <row r="435">
      <c r="A435" s="19"/>
      <c r="B435" s="19"/>
      <c r="C435" s="19"/>
      <c r="D435" s="19"/>
      <c r="E435" s="19"/>
      <c r="F435" s="19"/>
      <c r="G435" s="19"/>
      <c r="H435" s="19"/>
      <c r="I435" s="19"/>
      <c r="J435" s="19"/>
      <c r="K435" s="19"/>
      <c r="L435" s="19"/>
      <c r="M435" s="19"/>
      <c r="N435" s="19"/>
      <c r="O435" s="19"/>
      <c r="P435" s="19"/>
    </row>
    <row r="436">
      <c r="A436" s="19"/>
      <c r="B436" s="19"/>
      <c r="C436" s="19"/>
      <c r="D436" s="19"/>
      <c r="E436" s="19"/>
      <c r="F436" s="19"/>
      <c r="G436" s="19"/>
      <c r="H436" s="19"/>
      <c r="I436" s="19"/>
      <c r="J436" s="19"/>
      <c r="K436" s="19"/>
      <c r="L436" s="19"/>
      <c r="M436" s="19"/>
      <c r="N436" s="19"/>
      <c r="O436" s="19"/>
      <c r="P436" s="19"/>
    </row>
    <row r="437">
      <c r="A437" s="19"/>
      <c r="B437" s="19"/>
      <c r="C437" s="19"/>
      <c r="D437" s="19"/>
      <c r="E437" s="19"/>
      <c r="F437" s="19"/>
      <c r="G437" s="19"/>
      <c r="H437" s="19"/>
      <c r="I437" s="19"/>
      <c r="J437" s="19"/>
      <c r="K437" s="19"/>
      <c r="L437" s="19"/>
      <c r="M437" s="19"/>
      <c r="N437" s="19"/>
      <c r="O437" s="19"/>
      <c r="P437" s="19"/>
    </row>
    <row r="438">
      <c r="A438" s="19"/>
      <c r="B438" s="19"/>
      <c r="C438" s="19"/>
      <c r="D438" s="19"/>
      <c r="E438" s="19"/>
      <c r="F438" s="19"/>
      <c r="G438" s="19"/>
      <c r="H438" s="19"/>
      <c r="I438" s="19"/>
      <c r="J438" s="19"/>
      <c r="K438" s="19"/>
      <c r="L438" s="19"/>
      <c r="M438" s="19"/>
      <c r="N438" s="19"/>
      <c r="O438" s="19"/>
      <c r="P438" s="19"/>
    </row>
    <row r="439">
      <c r="A439" s="19"/>
      <c r="B439" s="19"/>
      <c r="C439" s="19"/>
      <c r="D439" s="19"/>
      <c r="E439" s="19"/>
      <c r="F439" s="19"/>
      <c r="G439" s="19"/>
      <c r="H439" s="19"/>
      <c r="I439" s="19"/>
      <c r="J439" s="19"/>
      <c r="K439" s="19"/>
      <c r="L439" s="19"/>
      <c r="M439" s="19"/>
      <c r="N439" s="19"/>
      <c r="O439" s="19"/>
      <c r="P439" s="19"/>
    </row>
    <row r="440">
      <c r="A440" s="19"/>
      <c r="B440" s="19"/>
      <c r="C440" s="19"/>
      <c r="D440" s="19"/>
      <c r="E440" s="19"/>
      <c r="F440" s="19"/>
      <c r="G440" s="19"/>
      <c r="H440" s="19"/>
      <c r="I440" s="19"/>
      <c r="J440" s="19"/>
      <c r="K440" s="19"/>
      <c r="L440" s="19"/>
      <c r="M440" s="19"/>
      <c r="N440" s="19"/>
      <c r="O440" s="19"/>
      <c r="P440" s="19"/>
    </row>
    <row r="441">
      <c r="A441" s="19"/>
      <c r="B441" s="19"/>
      <c r="C441" s="19"/>
      <c r="D441" s="19"/>
      <c r="E441" s="19"/>
      <c r="F441" s="19"/>
      <c r="G441" s="19"/>
      <c r="H441" s="19"/>
      <c r="I441" s="19"/>
      <c r="J441" s="19"/>
      <c r="K441" s="19"/>
      <c r="L441" s="19"/>
      <c r="M441" s="19"/>
      <c r="N441" s="19"/>
      <c r="O441" s="19"/>
      <c r="P441" s="19"/>
    </row>
    <row r="442">
      <c r="A442" s="19"/>
      <c r="B442" s="19"/>
      <c r="C442" s="19"/>
      <c r="D442" s="19"/>
      <c r="E442" s="19"/>
      <c r="F442" s="19"/>
      <c r="G442" s="19"/>
      <c r="H442" s="19"/>
      <c r="I442" s="19"/>
      <c r="J442" s="19"/>
      <c r="K442" s="19"/>
      <c r="L442" s="19"/>
      <c r="M442" s="19"/>
      <c r="N442" s="19"/>
      <c r="O442" s="19"/>
      <c r="P442" s="19"/>
    </row>
    <row r="443">
      <c r="A443" s="19"/>
      <c r="B443" s="19"/>
      <c r="C443" s="19"/>
      <c r="D443" s="19"/>
      <c r="E443" s="19"/>
      <c r="F443" s="19"/>
      <c r="G443" s="19"/>
      <c r="H443" s="19"/>
      <c r="I443" s="19"/>
      <c r="J443" s="19"/>
      <c r="K443" s="19"/>
      <c r="L443" s="19"/>
      <c r="M443" s="19"/>
      <c r="N443" s="19"/>
      <c r="O443" s="19"/>
      <c r="P443" s="19"/>
    </row>
    <row r="444">
      <c r="A444" s="19"/>
      <c r="B444" s="19"/>
      <c r="C444" s="19"/>
      <c r="D444" s="19"/>
      <c r="E444" s="19"/>
      <c r="F444" s="19"/>
      <c r="G444" s="19"/>
      <c r="H444" s="19"/>
      <c r="I444" s="19"/>
      <c r="J444" s="19"/>
      <c r="K444" s="19"/>
      <c r="L444" s="19"/>
      <c r="M444" s="19"/>
      <c r="N444" s="19"/>
      <c r="O444" s="19"/>
      <c r="P444" s="19"/>
    </row>
    <row r="445">
      <c r="A445" s="19"/>
      <c r="B445" s="19"/>
      <c r="C445" s="19"/>
      <c r="D445" s="19"/>
      <c r="E445" s="19"/>
      <c r="F445" s="19"/>
      <c r="G445" s="19"/>
      <c r="H445" s="19"/>
      <c r="I445" s="19"/>
      <c r="J445" s="19"/>
      <c r="K445" s="19"/>
      <c r="L445" s="19"/>
      <c r="M445" s="19"/>
      <c r="N445" s="19"/>
      <c r="O445" s="19"/>
      <c r="P445" s="19"/>
    </row>
    <row r="446">
      <c r="A446" s="19"/>
      <c r="B446" s="19"/>
      <c r="C446" s="19"/>
      <c r="D446" s="19"/>
      <c r="E446" s="19"/>
      <c r="F446" s="19"/>
      <c r="G446" s="19"/>
      <c r="H446" s="19"/>
      <c r="I446" s="19"/>
      <c r="J446" s="19"/>
      <c r="K446" s="19"/>
      <c r="L446" s="19"/>
      <c r="M446" s="19"/>
      <c r="N446" s="19"/>
      <c r="O446" s="19"/>
      <c r="P446" s="19"/>
    </row>
    <row r="447">
      <c r="A447" s="19"/>
      <c r="B447" s="19"/>
      <c r="C447" s="19"/>
      <c r="D447" s="19"/>
      <c r="E447" s="19"/>
      <c r="F447" s="19"/>
      <c r="G447" s="19"/>
      <c r="H447" s="19"/>
      <c r="I447" s="19"/>
      <c r="J447" s="19"/>
      <c r="K447" s="19"/>
      <c r="L447" s="19"/>
      <c r="M447" s="19"/>
      <c r="N447" s="19"/>
      <c r="O447" s="19"/>
      <c r="P447" s="19"/>
    </row>
    <row r="448">
      <c r="A448" s="19"/>
      <c r="B448" s="19"/>
      <c r="C448" s="19"/>
      <c r="D448" s="19"/>
      <c r="E448" s="19"/>
      <c r="F448" s="19"/>
      <c r="G448" s="19"/>
      <c r="H448" s="19"/>
      <c r="I448" s="19"/>
      <c r="J448" s="19"/>
      <c r="K448" s="19"/>
      <c r="L448" s="19"/>
      <c r="M448" s="19"/>
      <c r="N448" s="19"/>
      <c r="O448" s="19"/>
      <c r="P448" s="19"/>
    </row>
    <row r="449">
      <c r="A449" s="19"/>
      <c r="B449" s="19"/>
      <c r="C449" s="19"/>
      <c r="D449" s="19"/>
      <c r="E449" s="19"/>
      <c r="F449" s="19"/>
      <c r="G449" s="19"/>
      <c r="H449" s="19"/>
      <c r="I449" s="19"/>
      <c r="J449" s="19"/>
      <c r="K449" s="19"/>
      <c r="L449" s="19"/>
      <c r="M449" s="19"/>
      <c r="N449" s="19"/>
      <c r="O449" s="19"/>
      <c r="P449" s="19"/>
    </row>
    <row r="450">
      <c r="A450" s="19"/>
      <c r="B450" s="19"/>
      <c r="C450" s="19"/>
      <c r="D450" s="19"/>
      <c r="E450" s="19"/>
      <c r="F450" s="19"/>
      <c r="G450" s="19"/>
      <c r="H450" s="19"/>
      <c r="I450" s="19"/>
      <c r="J450" s="19"/>
      <c r="K450" s="19"/>
      <c r="L450" s="19"/>
      <c r="M450" s="19"/>
      <c r="N450" s="19"/>
      <c r="O450" s="19"/>
      <c r="P450" s="19"/>
    </row>
    <row r="451">
      <c r="A451" s="19"/>
      <c r="B451" s="19"/>
      <c r="C451" s="19"/>
      <c r="D451" s="19"/>
      <c r="E451" s="19"/>
      <c r="F451" s="19"/>
      <c r="G451" s="19"/>
      <c r="H451" s="19"/>
      <c r="I451" s="19"/>
      <c r="J451" s="19"/>
      <c r="K451" s="19"/>
      <c r="L451" s="19"/>
      <c r="M451" s="19"/>
      <c r="N451" s="19"/>
      <c r="O451" s="19"/>
      <c r="P451" s="19"/>
    </row>
    <row r="452">
      <c r="A452" s="19"/>
      <c r="B452" s="19"/>
      <c r="C452" s="19"/>
      <c r="D452" s="19"/>
      <c r="E452" s="19"/>
      <c r="F452" s="19"/>
      <c r="G452" s="19"/>
      <c r="H452" s="19"/>
      <c r="I452" s="19"/>
      <c r="J452" s="19"/>
      <c r="K452" s="19"/>
      <c r="L452" s="19"/>
      <c r="M452" s="19"/>
      <c r="N452" s="19"/>
      <c r="O452" s="19"/>
      <c r="P452" s="19"/>
    </row>
    <row r="453">
      <c r="A453" s="19"/>
      <c r="B453" s="19"/>
      <c r="C453" s="19"/>
      <c r="D453" s="19"/>
      <c r="E453" s="19"/>
      <c r="F453" s="19"/>
      <c r="G453" s="19"/>
      <c r="H453" s="19"/>
      <c r="I453" s="19"/>
      <c r="J453" s="19"/>
      <c r="K453" s="19"/>
      <c r="L453" s="19"/>
      <c r="M453" s="19"/>
      <c r="N453" s="19"/>
      <c r="O453" s="19"/>
      <c r="P453" s="19"/>
    </row>
    <row r="454">
      <c r="A454" s="19"/>
      <c r="B454" s="19"/>
      <c r="C454" s="19"/>
      <c r="D454" s="19"/>
      <c r="E454" s="19"/>
      <c r="F454" s="19"/>
      <c r="G454" s="19"/>
      <c r="H454" s="19"/>
      <c r="I454" s="19"/>
      <c r="J454" s="19"/>
      <c r="K454" s="19"/>
      <c r="L454" s="19"/>
      <c r="M454" s="19"/>
      <c r="N454" s="19"/>
      <c r="O454" s="19"/>
      <c r="P454" s="19"/>
    </row>
    <row r="455">
      <c r="A455" s="19"/>
      <c r="B455" s="19"/>
      <c r="C455" s="19"/>
      <c r="D455" s="19"/>
      <c r="E455" s="19"/>
      <c r="F455" s="19"/>
      <c r="G455" s="19"/>
      <c r="H455" s="19"/>
      <c r="I455" s="19"/>
      <c r="J455" s="19"/>
      <c r="K455" s="19"/>
      <c r="L455" s="19"/>
      <c r="M455" s="19"/>
      <c r="N455" s="19"/>
      <c r="O455" s="19"/>
      <c r="P455" s="19"/>
    </row>
    <row r="456">
      <c r="A456" s="19"/>
      <c r="B456" s="19"/>
      <c r="C456" s="19"/>
      <c r="D456" s="19"/>
      <c r="E456" s="19"/>
      <c r="F456" s="19"/>
      <c r="G456" s="19"/>
      <c r="H456" s="19"/>
      <c r="I456" s="19"/>
      <c r="J456" s="19"/>
      <c r="K456" s="19"/>
      <c r="L456" s="19"/>
      <c r="M456" s="19"/>
      <c r="N456" s="19"/>
      <c r="O456" s="19"/>
      <c r="P456" s="19"/>
    </row>
    <row r="457">
      <c r="A457" s="19"/>
      <c r="B457" s="19"/>
      <c r="C457" s="19"/>
      <c r="D457" s="19"/>
      <c r="E457" s="19"/>
      <c r="F457" s="19"/>
      <c r="G457" s="19"/>
      <c r="H457" s="19"/>
      <c r="I457" s="19"/>
      <c r="J457" s="19"/>
      <c r="K457" s="19"/>
      <c r="L457" s="19"/>
      <c r="M457" s="19"/>
      <c r="N457" s="19"/>
      <c r="O457" s="19"/>
      <c r="P457" s="19"/>
    </row>
    <row r="458">
      <c r="A458" s="19"/>
      <c r="B458" s="19"/>
      <c r="C458" s="19"/>
      <c r="D458" s="19"/>
      <c r="E458" s="19"/>
      <c r="F458" s="19"/>
      <c r="G458" s="19"/>
      <c r="H458" s="19"/>
      <c r="I458" s="19"/>
      <c r="J458" s="19"/>
      <c r="K458" s="19"/>
      <c r="L458" s="19"/>
      <c r="M458" s="19"/>
      <c r="N458" s="19"/>
      <c r="O458" s="19"/>
      <c r="P458" s="19"/>
    </row>
    <row r="459">
      <c r="A459" s="19"/>
      <c r="B459" s="19"/>
      <c r="C459" s="19"/>
      <c r="D459" s="19"/>
      <c r="E459" s="19"/>
      <c r="F459" s="19"/>
      <c r="G459" s="19"/>
      <c r="H459" s="19"/>
      <c r="I459" s="19"/>
      <c r="J459" s="19"/>
      <c r="K459" s="19"/>
      <c r="L459" s="19"/>
      <c r="M459" s="19"/>
      <c r="N459" s="19"/>
      <c r="O459" s="19"/>
      <c r="P459" s="19"/>
    </row>
    <row r="460">
      <c r="A460" s="19"/>
      <c r="B460" s="19"/>
      <c r="C460" s="19"/>
      <c r="D460" s="19"/>
      <c r="E460" s="19"/>
      <c r="F460" s="19"/>
      <c r="G460" s="19"/>
      <c r="H460" s="19"/>
      <c r="I460" s="19"/>
      <c r="J460" s="19"/>
      <c r="K460" s="19"/>
      <c r="L460" s="19"/>
      <c r="M460" s="19"/>
      <c r="N460" s="19"/>
      <c r="O460" s="19"/>
      <c r="P460" s="19"/>
    </row>
    <row r="461">
      <c r="A461" s="19"/>
      <c r="B461" s="19"/>
      <c r="C461" s="19"/>
      <c r="D461" s="19"/>
      <c r="E461" s="19"/>
      <c r="F461" s="19"/>
      <c r="G461" s="19"/>
      <c r="H461" s="19"/>
      <c r="I461" s="19"/>
      <c r="J461" s="19"/>
      <c r="K461" s="19"/>
      <c r="L461" s="19"/>
      <c r="M461" s="19"/>
      <c r="N461" s="19"/>
      <c r="O461" s="19"/>
      <c r="P461" s="19"/>
    </row>
    <row r="462">
      <c r="A462" s="19"/>
      <c r="B462" s="19"/>
      <c r="C462" s="19"/>
      <c r="D462" s="19"/>
      <c r="E462" s="19"/>
      <c r="F462" s="19"/>
      <c r="G462" s="19"/>
      <c r="H462" s="19"/>
      <c r="I462" s="19"/>
      <c r="J462" s="19"/>
      <c r="K462" s="19"/>
      <c r="L462" s="19"/>
      <c r="M462" s="19"/>
      <c r="N462" s="19"/>
      <c r="O462" s="19"/>
      <c r="P462" s="19"/>
    </row>
    <row r="463">
      <c r="A463" s="19"/>
      <c r="B463" s="19"/>
      <c r="C463" s="19"/>
      <c r="D463" s="19"/>
      <c r="E463" s="19"/>
      <c r="F463" s="19"/>
      <c r="G463" s="19"/>
      <c r="H463" s="19"/>
      <c r="I463" s="19"/>
      <c r="J463" s="19"/>
      <c r="K463" s="19"/>
      <c r="L463" s="19"/>
      <c r="M463" s="19"/>
      <c r="N463" s="19"/>
      <c r="O463" s="19"/>
      <c r="P463" s="19"/>
    </row>
    <row r="464">
      <c r="A464" s="19"/>
      <c r="B464" s="19"/>
      <c r="C464" s="19"/>
      <c r="D464" s="19"/>
      <c r="E464" s="19"/>
      <c r="F464" s="19"/>
      <c r="G464" s="19"/>
      <c r="H464" s="19"/>
      <c r="I464" s="19"/>
      <c r="J464" s="19"/>
      <c r="K464" s="19"/>
      <c r="L464" s="19"/>
      <c r="M464" s="19"/>
      <c r="N464" s="19"/>
      <c r="O464" s="19"/>
      <c r="P464" s="19"/>
    </row>
    <row r="465">
      <c r="A465" s="19"/>
      <c r="B465" s="19"/>
      <c r="C465" s="19"/>
      <c r="D465" s="19"/>
      <c r="E465" s="19"/>
      <c r="F465" s="19"/>
      <c r="G465" s="19"/>
      <c r="H465" s="19"/>
      <c r="I465" s="19"/>
      <c r="J465" s="19"/>
      <c r="K465" s="19"/>
      <c r="L465" s="19"/>
      <c r="M465" s="19"/>
      <c r="N465" s="19"/>
      <c r="O465" s="19"/>
      <c r="P465" s="19"/>
    </row>
    <row r="466">
      <c r="A466" s="19"/>
      <c r="B466" s="19"/>
      <c r="C466" s="19"/>
      <c r="D466" s="19"/>
      <c r="E466" s="19"/>
      <c r="F466" s="19"/>
      <c r="G466" s="19"/>
      <c r="H466" s="19"/>
      <c r="I466" s="19"/>
      <c r="J466" s="19"/>
      <c r="K466" s="19"/>
      <c r="L466" s="19"/>
      <c r="M466" s="19"/>
      <c r="N466" s="19"/>
      <c r="O466" s="19"/>
      <c r="P466" s="19"/>
    </row>
    <row r="467">
      <c r="A467" s="19"/>
      <c r="B467" s="19"/>
      <c r="C467" s="19"/>
      <c r="D467" s="19"/>
      <c r="E467" s="19"/>
      <c r="F467" s="19"/>
      <c r="G467" s="19"/>
      <c r="H467" s="19"/>
      <c r="I467" s="19"/>
      <c r="J467" s="19"/>
      <c r="K467" s="19"/>
      <c r="L467" s="19"/>
      <c r="M467" s="19"/>
      <c r="N467" s="19"/>
      <c r="O467" s="19"/>
      <c r="P467" s="19"/>
    </row>
    <row r="468">
      <c r="A468" s="19"/>
      <c r="B468" s="19"/>
      <c r="C468" s="19"/>
      <c r="D468" s="19"/>
      <c r="E468" s="19"/>
      <c r="F468" s="19"/>
      <c r="G468" s="19"/>
      <c r="H468" s="19"/>
      <c r="I468" s="19"/>
      <c r="J468" s="19"/>
      <c r="K468" s="19"/>
      <c r="L468" s="19"/>
      <c r="M468" s="19"/>
      <c r="N468" s="19"/>
      <c r="O468" s="19"/>
      <c r="P468" s="19"/>
    </row>
    <row r="469">
      <c r="A469" s="19"/>
      <c r="B469" s="19"/>
      <c r="C469" s="19"/>
      <c r="D469" s="19"/>
      <c r="E469" s="19"/>
      <c r="F469" s="19"/>
      <c r="G469" s="19"/>
      <c r="H469" s="19"/>
      <c r="I469" s="19"/>
      <c r="J469" s="19"/>
      <c r="K469" s="19"/>
      <c r="L469" s="19"/>
      <c r="M469" s="19"/>
      <c r="N469" s="19"/>
      <c r="O469" s="19"/>
      <c r="P469" s="19"/>
    </row>
    <row r="470">
      <c r="A470" s="19"/>
      <c r="B470" s="19"/>
      <c r="C470" s="19"/>
      <c r="D470" s="19"/>
      <c r="E470" s="19"/>
      <c r="F470" s="19"/>
      <c r="G470" s="19"/>
      <c r="H470" s="19"/>
      <c r="I470" s="19"/>
      <c r="J470" s="19"/>
      <c r="K470" s="19"/>
      <c r="L470" s="19"/>
      <c r="M470" s="19"/>
      <c r="N470" s="19"/>
      <c r="O470" s="19"/>
      <c r="P470" s="19"/>
    </row>
    <row r="471">
      <c r="A471" s="19"/>
      <c r="B471" s="19"/>
      <c r="C471" s="19"/>
      <c r="D471" s="19"/>
      <c r="E471" s="19"/>
      <c r="F471" s="19"/>
      <c r="G471" s="19"/>
      <c r="H471" s="19"/>
      <c r="I471" s="19"/>
      <c r="J471" s="19"/>
      <c r="K471" s="19"/>
      <c r="L471" s="19"/>
      <c r="M471" s="19"/>
      <c r="N471" s="19"/>
      <c r="O471" s="19"/>
      <c r="P471" s="19"/>
    </row>
    <row r="472">
      <c r="A472" s="19"/>
      <c r="B472" s="19"/>
      <c r="C472" s="19"/>
      <c r="D472" s="19"/>
      <c r="E472" s="19"/>
      <c r="F472" s="19"/>
      <c r="G472" s="19"/>
      <c r="H472" s="19"/>
      <c r="I472" s="19"/>
      <c r="J472" s="19"/>
      <c r="K472" s="19"/>
      <c r="L472" s="19"/>
      <c r="M472" s="19"/>
      <c r="N472" s="19"/>
      <c r="O472" s="19"/>
      <c r="P472" s="19"/>
    </row>
    <row r="473">
      <c r="A473" s="19"/>
      <c r="B473" s="19"/>
      <c r="C473" s="19"/>
      <c r="D473" s="19"/>
      <c r="E473" s="19"/>
      <c r="F473" s="19"/>
      <c r="G473" s="19"/>
      <c r="H473" s="19"/>
      <c r="I473" s="19"/>
      <c r="J473" s="19"/>
      <c r="K473" s="19"/>
      <c r="L473" s="19"/>
      <c r="M473" s="19"/>
      <c r="N473" s="19"/>
      <c r="O473" s="19"/>
      <c r="P473" s="19"/>
    </row>
    <row r="474">
      <c r="A474" s="19"/>
      <c r="B474" s="19"/>
      <c r="C474" s="19"/>
      <c r="D474" s="19"/>
      <c r="E474" s="19"/>
      <c r="F474" s="19"/>
      <c r="G474" s="19"/>
      <c r="H474" s="19"/>
      <c r="I474" s="19"/>
      <c r="J474" s="19"/>
      <c r="K474" s="19"/>
      <c r="L474" s="19"/>
      <c r="M474" s="19"/>
      <c r="N474" s="19"/>
      <c r="O474" s="19"/>
      <c r="P474" s="19"/>
    </row>
    <row r="475">
      <c r="A475" s="19"/>
      <c r="B475" s="19"/>
      <c r="C475" s="19"/>
      <c r="D475" s="19"/>
      <c r="E475" s="19"/>
      <c r="F475" s="19"/>
      <c r="G475" s="19"/>
      <c r="H475" s="19"/>
      <c r="I475" s="19"/>
      <c r="J475" s="19"/>
      <c r="K475" s="19"/>
      <c r="L475" s="19"/>
      <c r="M475" s="19"/>
      <c r="N475" s="19"/>
      <c r="O475" s="19"/>
      <c r="P475" s="19"/>
    </row>
    <row r="476">
      <c r="A476" s="19"/>
      <c r="B476" s="19"/>
      <c r="C476" s="19"/>
      <c r="D476" s="19"/>
      <c r="E476" s="19"/>
      <c r="F476" s="19"/>
      <c r="G476" s="19"/>
      <c r="H476" s="19"/>
      <c r="I476" s="19"/>
      <c r="J476" s="19"/>
      <c r="K476" s="19"/>
      <c r="L476" s="19"/>
      <c r="M476" s="19"/>
      <c r="N476" s="19"/>
      <c r="O476" s="19"/>
      <c r="P476" s="19"/>
    </row>
    <row r="477">
      <c r="A477" s="19"/>
      <c r="B477" s="19"/>
      <c r="C477" s="19"/>
      <c r="D477" s="19"/>
      <c r="E477" s="19"/>
      <c r="F477" s="19"/>
      <c r="G477" s="19"/>
      <c r="H477" s="19"/>
      <c r="I477" s="19"/>
      <c r="J477" s="19"/>
      <c r="K477" s="19"/>
      <c r="L477" s="19"/>
      <c r="M477" s="19"/>
      <c r="N477" s="19"/>
      <c r="O477" s="19"/>
      <c r="P477" s="19"/>
    </row>
    <row r="478">
      <c r="A478" s="19"/>
      <c r="B478" s="19"/>
      <c r="C478" s="19"/>
      <c r="D478" s="19"/>
      <c r="E478" s="19"/>
      <c r="F478" s="19"/>
      <c r="G478" s="19"/>
      <c r="H478" s="19"/>
      <c r="I478" s="19"/>
      <c r="J478" s="19"/>
      <c r="K478" s="19"/>
      <c r="L478" s="19"/>
      <c r="M478" s="19"/>
      <c r="N478" s="19"/>
      <c r="O478" s="19"/>
      <c r="P478" s="19"/>
    </row>
    <row r="479">
      <c r="A479" s="19"/>
      <c r="B479" s="19"/>
      <c r="C479" s="19"/>
      <c r="D479" s="19"/>
      <c r="E479" s="19"/>
      <c r="F479" s="19"/>
      <c r="G479" s="19"/>
      <c r="H479" s="19"/>
      <c r="I479" s="19"/>
      <c r="J479" s="19"/>
      <c r="K479" s="19"/>
      <c r="L479" s="19"/>
      <c r="M479" s="19"/>
      <c r="N479" s="19"/>
      <c r="O479" s="19"/>
      <c r="P479" s="19"/>
    </row>
    <row r="480">
      <c r="A480" s="19"/>
      <c r="B480" s="19"/>
      <c r="C480" s="19"/>
      <c r="D480" s="19"/>
      <c r="E480" s="19"/>
      <c r="F480" s="19"/>
      <c r="G480" s="19"/>
      <c r="H480" s="19"/>
      <c r="I480" s="19"/>
      <c r="J480" s="19"/>
      <c r="K480" s="19"/>
      <c r="L480" s="19"/>
      <c r="M480" s="19"/>
      <c r="N480" s="19"/>
      <c r="O480" s="19"/>
      <c r="P480" s="19"/>
    </row>
    <row r="481">
      <c r="A481" s="19"/>
      <c r="B481" s="19"/>
      <c r="C481" s="19"/>
      <c r="D481" s="19"/>
      <c r="E481" s="19"/>
      <c r="F481" s="19"/>
      <c r="G481" s="19"/>
      <c r="H481" s="19"/>
      <c r="I481" s="19"/>
      <c r="J481" s="19"/>
      <c r="K481" s="19"/>
      <c r="L481" s="19"/>
      <c r="M481" s="19"/>
      <c r="N481" s="19"/>
      <c r="O481" s="19"/>
      <c r="P481" s="19"/>
    </row>
    <row r="482">
      <c r="A482" s="19"/>
      <c r="B482" s="19"/>
      <c r="C482" s="19"/>
      <c r="D482" s="19"/>
      <c r="E482" s="19"/>
      <c r="F482" s="19"/>
      <c r="G482" s="19"/>
      <c r="H482" s="19"/>
      <c r="I482" s="19"/>
      <c r="J482" s="19"/>
      <c r="K482" s="19"/>
      <c r="L482" s="19"/>
      <c r="M482" s="19"/>
      <c r="N482" s="19"/>
      <c r="O482" s="19"/>
      <c r="P482" s="19"/>
    </row>
    <row r="483">
      <c r="A483" s="19"/>
      <c r="B483" s="19"/>
      <c r="C483" s="19"/>
      <c r="D483" s="19"/>
      <c r="E483" s="19"/>
      <c r="F483" s="19"/>
      <c r="G483" s="19"/>
      <c r="H483" s="19"/>
      <c r="I483" s="19"/>
      <c r="J483" s="19"/>
      <c r="K483" s="19"/>
      <c r="L483" s="19"/>
      <c r="M483" s="19"/>
      <c r="N483" s="19"/>
      <c r="O483" s="19"/>
      <c r="P483" s="19"/>
    </row>
    <row r="484">
      <c r="A484" s="19"/>
      <c r="B484" s="19"/>
      <c r="C484" s="19"/>
      <c r="D484" s="19"/>
      <c r="E484" s="19"/>
      <c r="F484" s="19"/>
      <c r="G484" s="19"/>
      <c r="H484" s="19"/>
      <c r="I484" s="19"/>
      <c r="J484" s="19"/>
      <c r="K484" s="19"/>
      <c r="L484" s="19"/>
      <c r="M484" s="19"/>
      <c r="N484" s="19"/>
      <c r="O484" s="19"/>
      <c r="P484" s="19"/>
    </row>
    <row r="485">
      <c r="A485" s="19"/>
      <c r="B485" s="19"/>
      <c r="C485" s="19"/>
      <c r="D485" s="19"/>
      <c r="E485" s="19"/>
      <c r="F485" s="19"/>
      <c r="G485" s="19"/>
      <c r="H485" s="19"/>
      <c r="I485" s="19"/>
      <c r="J485" s="19"/>
      <c r="K485" s="19"/>
      <c r="L485" s="19"/>
      <c r="M485" s="19"/>
      <c r="N485" s="19"/>
      <c r="O485" s="19"/>
      <c r="P485" s="19"/>
    </row>
    <row r="486">
      <c r="A486" s="19"/>
      <c r="B486" s="19"/>
      <c r="C486" s="19"/>
      <c r="D486" s="19"/>
      <c r="E486" s="19"/>
      <c r="F486" s="19"/>
      <c r="G486" s="19"/>
      <c r="H486" s="19"/>
      <c r="I486" s="19"/>
      <c r="J486" s="19"/>
      <c r="K486" s="19"/>
      <c r="L486" s="19"/>
      <c r="M486" s="19"/>
      <c r="N486" s="19"/>
      <c r="O486" s="19"/>
      <c r="P486" s="19"/>
    </row>
    <row r="487">
      <c r="A487" s="19"/>
      <c r="B487" s="19"/>
      <c r="C487" s="19"/>
      <c r="D487" s="19"/>
      <c r="E487" s="19"/>
      <c r="F487" s="19"/>
      <c r="G487" s="19"/>
      <c r="H487" s="19"/>
      <c r="I487" s="19"/>
      <c r="J487" s="19"/>
      <c r="K487" s="19"/>
      <c r="L487" s="19"/>
      <c r="M487" s="19"/>
      <c r="N487" s="19"/>
      <c r="O487" s="19"/>
      <c r="P487" s="19"/>
    </row>
    <row r="488">
      <c r="A488" s="19"/>
      <c r="B488" s="19"/>
      <c r="C488" s="19"/>
      <c r="D488" s="19"/>
      <c r="E488" s="19"/>
      <c r="F488" s="19"/>
      <c r="G488" s="19"/>
      <c r="H488" s="19"/>
      <c r="I488" s="19"/>
      <c r="J488" s="19"/>
      <c r="K488" s="19"/>
      <c r="L488" s="19"/>
      <c r="M488" s="19"/>
      <c r="N488" s="19"/>
      <c r="O488" s="19"/>
      <c r="P488" s="19"/>
    </row>
    <row r="489">
      <c r="A489" s="19"/>
      <c r="B489" s="19"/>
      <c r="C489" s="19"/>
      <c r="D489" s="19"/>
      <c r="E489" s="19"/>
      <c r="F489" s="19"/>
      <c r="G489" s="19"/>
      <c r="H489" s="19"/>
      <c r="I489" s="19"/>
      <c r="J489" s="19"/>
      <c r="K489" s="19"/>
      <c r="L489" s="19"/>
      <c r="M489" s="19"/>
      <c r="N489" s="19"/>
      <c r="O489" s="19"/>
      <c r="P489" s="19"/>
    </row>
    <row r="490">
      <c r="A490" s="19"/>
      <c r="B490" s="19"/>
      <c r="C490" s="19"/>
      <c r="D490" s="19"/>
      <c r="E490" s="19"/>
      <c r="F490" s="19"/>
      <c r="G490" s="19"/>
      <c r="H490" s="19"/>
      <c r="I490" s="19"/>
      <c r="J490" s="19"/>
      <c r="K490" s="19"/>
      <c r="L490" s="19"/>
      <c r="M490" s="19"/>
      <c r="N490" s="19"/>
      <c r="O490" s="19"/>
      <c r="P490" s="19"/>
    </row>
    <row r="491">
      <c r="A491" s="19"/>
      <c r="B491" s="19"/>
      <c r="C491" s="19"/>
      <c r="D491" s="19"/>
      <c r="E491" s="19"/>
      <c r="F491" s="19"/>
      <c r="G491" s="19"/>
      <c r="H491" s="19"/>
      <c r="I491" s="19"/>
      <c r="J491" s="19"/>
      <c r="K491" s="19"/>
      <c r="L491" s="19"/>
      <c r="M491" s="19"/>
      <c r="N491" s="19"/>
      <c r="O491" s="19"/>
      <c r="P491" s="19"/>
    </row>
    <row r="492">
      <c r="A492" s="19"/>
      <c r="B492" s="19"/>
      <c r="C492" s="19"/>
      <c r="D492" s="19"/>
      <c r="E492" s="19"/>
      <c r="F492" s="19"/>
      <c r="G492" s="19"/>
      <c r="H492" s="19"/>
      <c r="I492" s="19"/>
      <c r="J492" s="19"/>
      <c r="K492" s="19"/>
      <c r="L492" s="19"/>
      <c r="M492" s="19"/>
      <c r="N492" s="19"/>
      <c r="O492" s="19"/>
      <c r="P492" s="19"/>
    </row>
    <row r="493">
      <c r="A493" s="19"/>
      <c r="B493" s="19"/>
      <c r="C493" s="19"/>
      <c r="D493" s="19"/>
      <c r="E493" s="19"/>
      <c r="F493" s="19"/>
      <c r="G493" s="19"/>
      <c r="H493" s="19"/>
      <c r="I493" s="19"/>
      <c r="J493" s="19"/>
      <c r="K493" s="19"/>
      <c r="L493" s="19"/>
      <c r="M493" s="19"/>
      <c r="N493" s="19"/>
      <c r="O493" s="19"/>
      <c r="P493" s="19"/>
    </row>
    <row r="494">
      <c r="A494" s="19"/>
      <c r="B494" s="19"/>
      <c r="C494" s="19"/>
      <c r="D494" s="19"/>
      <c r="E494" s="19"/>
      <c r="F494" s="19"/>
      <c r="G494" s="19"/>
      <c r="H494" s="19"/>
      <c r="I494" s="19"/>
      <c r="J494" s="19"/>
      <c r="K494" s="19"/>
      <c r="L494" s="19"/>
      <c r="M494" s="19"/>
      <c r="N494" s="19"/>
      <c r="O494" s="19"/>
      <c r="P494" s="19"/>
    </row>
    <row r="495">
      <c r="A495" s="19"/>
      <c r="B495" s="19"/>
      <c r="C495" s="19"/>
      <c r="D495" s="19"/>
      <c r="E495" s="19"/>
      <c r="F495" s="19"/>
      <c r="G495" s="19"/>
      <c r="H495" s="19"/>
      <c r="I495" s="19"/>
      <c r="J495" s="19"/>
      <c r="K495" s="19"/>
      <c r="L495" s="19"/>
      <c r="M495" s="19"/>
      <c r="N495" s="19"/>
      <c r="O495" s="19"/>
      <c r="P495" s="19"/>
    </row>
    <row r="496">
      <c r="A496" s="19"/>
      <c r="B496" s="19"/>
      <c r="C496" s="19"/>
      <c r="D496" s="19"/>
      <c r="E496" s="19"/>
      <c r="F496" s="19"/>
      <c r="G496" s="19"/>
      <c r="H496" s="19"/>
      <c r="I496" s="19"/>
      <c r="J496" s="19"/>
      <c r="K496" s="19"/>
      <c r="L496" s="19"/>
      <c r="M496" s="19"/>
      <c r="N496" s="19"/>
      <c r="O496" s="19"/>
      <c r="P496" s="19"/>
    </row>
    <row r="497">
      <c r="A497" s="19"/>
      <c r="B497" s="19"/>
      <c r="C497" s="19"/>
      <c r="D497" s="19"/>
      <c r="E497" s="19"/>
      <c r="F497" s="19"/>
      <c r="G497" s="19"/>
      <c r="H497" s="19"/>
      <c r="I497" s="19"/>
      <c r="J497" s="19"/>
      <c r="K497" s="19"/>
      <c r="L497" s="19"/>
      <c r="M497" s="19"/>
      <c r="N497" s="19"/>
      <c r="O497" s="19"/>
      <c r="P497" s="19"/>
    </row>
    <row r="498">
      <c r="A498" s="19"/>
      <c r="B498" s="19"/>
      <c r="C498" s="19"/>
      <c r="D498" s="19"/>
      <c r="E498" s="19"/>
      <c r="F498" s="19"/>
      <c r="G498" s="19"/>
      <c r="H498" s="19"/>
      <c r="I498" s="19"/>
      <c r="J498" s="19"/>
      <c r="K498" s="19"/>
      <c r="L498" s="19"/>
      <c r="M498" s="19"/>
      <c r="N498" s="19"/>
      <c r="O498" s="19"/>
      <c r="P498" s="19"/>
    </row>
    <row r="499">
      <c r="A499" s="19"/>
      <c r="B499" s="19"/>
      <c r="C499" s="19"/>
      <c r="D499" s="19"/>
      <c r="E499" s="19"/>
      <c r="F499" s="19"/>
      <c r="G499" s="19"/>
      <c r="H499" s="19"/>
      <c r="I499" s="19"/>
      <c r="J499" s="19"/>
      <c r="K499" s="19"/>
      <c r="L499" s="19"/>
      <c r="M499" s="19"/>
      <c r="N499" s="19"/>
      <c r="O499" s="19"/>
      <c r="P499" s="19"/>
    </row>
    <row r="500">
      <c r="A500" s="19"/>
      <c r="B500" s="19"/>
      <c r="C500" s="19"/>
      <c r="D500" s="19"/>
      <c r="E500" s="19"/>
      <c r="F500" s="19"/>
      <c r="G500" s="19"/>
      <c r="H500" s="19"/>
      <c r="I500" s="19"/>
      <c r="J500" s="19"/>
      <c r="K500" s="19"/>
      <c r="L500" s="19"/>
      <c r="M500" s="19"/>
      <c r="N500" s="19"/>
      <c r="O500" s="19"/>
      <c r="P500" s="19"/>
    </row>
    <row r="501">
      <c r="A501" s="19"/>
      <c r="B501" s="19"/>
      <c r="C501" s="19"/>
      <c r="D501" s="19"/>
      <c r="E501" s="19"/>
      <c r="F501" s="19"/>
      <c r="G501" s="19"/>
      <c r="H501" s="19"/>
      <c r="I501" s="19"/>
      <c r="J501" s="19"/>
      <c r="K501" s="19"/>
      <c r="L501" s="19"/>
      <c r="M501" s="19"/>
      <c r="N501" s="19"/>
      <c r="O501" s="19"/>
      <c r="P501" s="19"/>
    </row>
    <row r="502">
      <c r="A502" s="19"/>
      <c r="B502" s="19"/>
      <c r="C502" s="19"/>
      <c r="D502" s="19"/>
      <c r="E502" s="19"/>
      <c r="F502" s="19"/>
      <c r="G502" s="19"/>
      <c r="H502" s="19"/>
      <c r="I502" s="19"/>
      <c r="J502" s="19"/>
      <c r="K502" s="19"/>
      <c r="L502" s="19"/>
      <c r="M502" s="19"/>
      <c r="N502" s="19"/>
      <c r="O502" s="19"/>
      <c r="P502" s="19"/>
    </row>
    <row r="503">
      <c r="A503" s="19"/>
      <c r="B503" s="19"/>
      <c r="C503" s="19"/>
      <c r="D503" s="19"/>
      <c r="E503" s="19"/>
      <c r="F503" s="19"/>
      <c r="G503" s="19"/>
      <c r="H503" s="19"/>
      <c r="I503" s="19"/>
      <c r="J503" s="19"/>
      <c r="K503" s="19"/>
      <c r="L503" s="19"/>
      <c r="M503" s="19"/>
      <c r="N503" s="19"/>
      <c r="O503" s="19"/>
      <c r="P503" s="19"/>
    </row>
    <row r="504">
      <c r="A504" s="19"/>
      <c r="B504" s="19"/>
      <c r="C504" s="19"/>
      <c r="D504" s="19"/>
      <c r="E504" s="19"/>
      <c r="F504" s="19"/>
      <c r="G504" s="19"/>
      <c r="H504" s="19"/>
      <c r="I504" s="19"/>
      <c r="J504" s="19"/>
      <c r="K504" s="19"/>
      <c r="L504" s="19"/>
      <c r="M504" s="19"/>
      <c r="N504" s="19"/>
      <c r="O504" s="19"/>
      <c r="P504" s="19"/>
    </row>
    <row r="505">
      <c r="A505" s="19"/>
      <c r="B505" s="19"/>
      <c r="C505" s="19"/>
      <c r="D505" s="19"/>
      <c r="E505" s="19"/>
      <c r="F505" s="19"/>
      <c r="G505" s="19"/>
      <c r="H505" s="19"/>
      <c r="I505" s="19"/>
      <c r="J505" s="19"/>
      <c r="K505" s="19"/>
      <c r="L505" s="19"/>
      <c r="M505" s="19"/>
      <c r="N505" s="19"/>
      <c r="O505" s="19"/>
      <c r="P505" s="19"/>
    </row>
    <row r="506">
      <c r="A506" s="19"/>
      <c r="B506" s="19"/>
      <c r="C506" s="19"/>
      <c r="D506" s="19"/>
      <c r="E506" s="19"/>
      <c r="F506" s="19"/>
      <c r="G506" s="19"/>
      <c r="H506" s="19"/>
      <c r="I506" s="19"/>
      <c r="J506" s="19"/>
      <c r="K506" s="19"/>
      <c r="L506" s="19"/>
      <c r="M506" s="19"/>
      <c r="N506" s="19"/>
      <c r="O506" s="19"/>
      <c r="P506" s="19"/>
    </row>
    <row r="507">
      <c r="A507" s="19"/>
      <c r="B507" s="19"/>
      <c r="C507" s="19"/>
      <c r="D507" s="19"/>
      <c r="E507" s="19"/>
      <c r="F507" s="19"/>
      <c r="G507" s="19"/>
      <c r="H507" s="19"/>
      <c r="I507" s="19"/>
      <c r="J507" s="19"/>
      <c r="K507" s="19"/>
      <c r="L507" s="19"/>
      <c r="M507" s="19"/>
      <c r="N507" s="19"/>
      <c r="O507" s="19"/>
      <c r="P507" s="19"/>
    </row>
    <row r="508">
      <c r="A508" s="19"/>
      <c r="B508" s="19"/>
      <c r="C508" s="19"/>
      <c r="D508" s="19"/>
      <c r="E508" s="19"/>
      <c r="F508" s="19"/>
      <c r="G508" s="19"/>
      <c r="H508" s="19"/>
      <c r="I508" s="19"/>
      <c r="J508" s="19"/>
      <c r="K508" s="19"/>
      <c r="L508" s="19"/>
      <c r="M508" s="19"/>
      <c r="N508" s="19"/>
      <c r="O508" s="19"/>
      <c r="P508" s="19"/>
    </row>
    <row r="509">
      <c r="A509" s="19"/>
      <c r="B509" s="19"/>
      <c r="C509" s="19"/>
      <c r="D509" s="19"/>
      <c r="E509" s="19"/>
      <c r="F509" s="19"/>
      <c r="G509" s="19"/>
      <c r="H509" s="19"/>
      <c r="I509" s="19"/>
      <c r="J509" s="19"/>
      <c r="K509" s="19"/>
      <c r="L509" s="19"/>
      <c r="M509" s="19"/>
      <c r="N509" s="19"/>
      <c r="O509" s="19"/>
      <c r="P509" s="19"/>
    </row>
    <row r="510">
      <c r="A510" s="19"/>
      <c r="B510" s="19"/>
      <c r="C510" s="19"/>
      <c r="D510" s="19"/>
      <c r="E510" s="19"/>
      <c r="F510" s="19"/>
      <c r="G510" s="19"/>
      <c r="H510" s="19"/>
      <c r="I510" s="19"/>
      <c r="J510" s="19"/>
      <c r="K510" s="19"/>
      <c r="L510" s="19"/>
      <c r="M510" s="19"/>
      <c r="N510" s="19"/>
      <c r="O510" s="19"/>
      <c r="P510" s="19"/>
    </row>
    <row r="511">
      <c r="A511" s="19"/>
      <c r="B511" s="19"/>
      <c r="C511" s="19"/>
      <c r="D511" s="19"/>
      <c r="E511" s="19"/>
      <c r="F511" s="19"/>
      <c r="G511" s="19"/>
      <c r="H511" s="19"/>
      <c r="I511" s="19"/>
      <c r="J511" s="19"/>
      <c r="K511" s="19"/>
      <c r="L511" s="19"/>
      <c r="M511" s="19"/>
      <c r="N511" s="19"/>
      <c r="O511" s="19"/>
      <c r="P511" s="19"/>
    </row>
    <row r="512">
      <c r="A512" s="19"/>
      <c r="B512" s="19"/>
      <c r="C512" s="19"/>
      <c r="D512" s="19"/>
      <c r="E512" s="19"/>
      <c r="F512" s="19"/>
      <c r="G512" s="19"/>
      <c r="H512" s="19"/>
      <c r="I512" s="19"/>
      <c r="J512" s="19"/>
      <c r="K512" s="19"/>
      <c r="L512" s="19"/>
      <c r="M512" s="19"/>
      <c r="N512" s="19"/>
      <c r="O512" s="19"/>
      <c r="P512" s="19"/>
    </row>
    <row r="513">
      <c r="A513" s="19"/>
      <c r="B513" s="19"/>
      <c r="C513" s="19"/>
      <c r="D513" s="19"/>
      <c r="E513" s="19"/>
      <c r="F513" s="19"/>
      <c r="G513" s="19"/>
      <c r="H513" s="19"/>
      <c r="I513" s="19"/>
      <c r="J513" s="19"/>
      <c r="K513" s="19"/>
      <c r="L513" s="19"/>
      <c r="M513" s="19"/>
      <c r="N513" s="19"/>
      <c r="O513" s="19"/>
      <c r="P513" s="19"/>
    </row>
    <row r="514">
      <c r="A514" s="19"/>
      <c r="B514" s="19"/>
      <c r="C514" s="19"/>
      <c r="D514" s="19"/>
      <c r="E514" s="19"/>
      <c r="F514" s="19"/>
      <c r="G514" s="19"/>
      <c r="H514" s="19"/>
      <c r="I514" s="19"/>
      <c r="J514" s="19"/>
      <c r="K514" s="19"/>
      <c r="L514" s="19"/>
      <c r="M514" s="19"/>
      <c r="N514" s="19"/>
      <c r="O514" s="19"/>
      <c r="P514" s="19"/>
    </row>
    <row r="515">
      <c r="A515" s="19"/>
      <c r="B515" s="19"/>
      <c r="C515" s="19"/>
      <c r="D515" s="19"/>
      <c r="E515" s="19"/>
      <c r="F515" s="19"/>
      <c r="G515" s="19"/>
      <c r="H515" s="19"/>
      <c r="I515" s="19"/>
      <c r="J515" s="19"/>
      <c r="K515" s="19"/>
      <c r="L515" s="19"/>
      <c r="M515" s="19"/>
      <c r="N515" s="19"/>
      <c r="O515" s="19"/>
      <c r="P515" s="19"/>
    </row>
    <row r="516">
      <c r="A516" s="19"/>
      <c r="B516" s="19"/>
      <c r="C516" s="19"/>
      <c r="D516" s="19"/>
      <c r="E516" s="19"/>
      <c r="F516" s="19"/>
      <c r="G516" s="19"/>
      <c r="H516" s="19"/>
      <c r="I516" s="19"/>
      <c r="J516" s="19"/>
      <c r="K516" s="19"/>
      <c r="L516" s="19"/>
      <c r="M516" s="19"/>
      <c r="N516" s="19"/>
      <c r="O516" s="19"/>
      <c r="P516" s="19"/>
    </row>
    <row r="517">
      <c r="A517" s="19"/>
      <c r="B517" s="19"/>
      <c r="C517" s="19"/>
      <c r="D517" s="19"/>
      <c r="E517" s="19"/>
      <c r="F517" s="19"/>
      <c r="G517" s="19"/>
      <c r="H517" s="19"/>
      <c r="I517" s="19"/>
      <c r="J517" s="19"/>
      <c r="K517" s="19"/>
      <c r="L517" s="19"/>
      <c r="M517" s="19"/>
      <c r="N517" s="19"/>
      <c r="O517" s="19"/>
      <c r="P517" s="19"/>
    </row>
    <row r="518">
      <c r="A518" s="19"/>
      <c r="B518" s="19"/>
      <c r="C518" s="19"/>
      <c r="D518" s="19"/>
      <c r="E518" s="19"/>
      <c r="F518" s="19"/>
      <c r="G518" s="19"/>
      <c r="H518" s="19"/>
      <c r="I518" s="19"/>
      <c r="J518" s="19"/>
      <c r="K518" s="19"/>
      <c r="L518" s="19"/>
      <c r="M518" s="19"/>
      <c r="N518" s="19"/>
      <c r="O518" s="19"/>
      <c r="P518" s="19"/>
    </row>
    <row r="519">
      <c r="A519" s="19"/>
      <c r="B519" s="19"/>
      <c r="C519" s="19"/>
      <c r="D519" s="19"/>
      <c r="E519" s="19"/>
      <c r="F519" s="19"/>
      <c r="G519" s="19"/>
      <c r="H519" s="19"/>
      <c r="I519" s="19"/>
      <c r="J519" s="19"/>
      <c r="K519" s="19"/>
      <c r="L519" s="19"/>
      <c r="M519" s="19"/>
      <c r="N519" s="19"/>
      <c r="O519" s="19"/>
      <c r="P519" s="19"/>
    </row>
    <row r="520">
      <c r="A520" s="19"/>
      <c r="B520" s="19"/>
      <c r="C520" s="19"/>
      <c r="D520" s="19"/>
      <c r="E520" s="19"/>
      <c r="F520" s="19"/>
      <c r="G520" s="19"/>
      <c r="H520" s="19"/>
      <c r="I520" s="19"/>
      <c r="J520" s="19"/>
      <c r="K520" s="19"/>
      <c r="L520" s="19"/>
      <c r="M520" s="19"/>
      <c r="N520" s="19"/>
      <c r="O520" s="19"/>
      <c r="P520" s="19"/>
    </row>
    <row r="521">
      <c r="A521" s="19"/>
      <c r="B521" s="19"/>
      <c r="C521" s="19"/>
      <c r="D521" s="19"/>
      <c r="E521" s="19"/>
      <c r="F521" s="19"/>
      <c r="G521" s="19"/>
      <c r="H521" s="19"/>
      <c r="I521" s="19"/>
      <c r="J521" s="19"/>
      <c r="K521" s="19"/>
      <c r="L521" s="19"/>
      <c r="M521" s="19"/>
      <c r="N521" s="19"/>
      <c r="O521" s="19"/>
      <c r="P521" s="19"/>
    </row>
    <row r="522">
      <c r="A522" s="19"/>
      <c r="B522" s="19"/>
      <c r="C522" s="19"/>
      <c r="D522" s="19"/>
      <c r="E522" s="19"/>
      <c r="F522" s="19"/>
      <c r="G522" s="19"/>
      <c r="H522" s="19"/>
      <c r="I522" s="19"/>
      <c r="J522" s="19"/>
      <c r="K522" s="19"/>
      <c r="L522" s="19"/>
      <c r="M522" s="19"/>
      <c r="N522" s="19"/>
      <c r="O522" s="19"/>
      <c r="P522" s="19"/>
    </row>
    <row r="523">
      <c r="A523" s="19"/>
      <c r="B523" s="19"/>
      <c r="C523" s="19"/>
      <c r="D523" s="19"/>
      <c r="E523" s="19"/>
      <c r="F523" s="19"/>
      <c r="G523" s="19"/>
      <c r="H523" s="19"/>
      <c r="I523" s="19"/>
      <c r="J523" s="19"/>
      <c r="K523" s="19"/>
      <c r="L523" s="19"/>
      <c r="M523" s="19"/>
      <c r="N523" s="19"/>
      <c r="O523" s="19"/>
      <c r="P523" s="19"/>
    </row>
    <row r="524">
      <c r="A524" s="19"/>
      <c r="B524" s="19"/>
      <c r="C524" s="19"/>
      <c r="D524" s="19"/>
      <c r="E524" s="19"/>
      <c r="F524" s="19"/>
      <c r="G524" s="19"/>
      <c r="H524" s="19"/>
      <c r="I524" s="19"/>
      <c r="J524" s="19"/>
      <c r="K524" s="19"/>
      <c r="L524" s="19"/>
      <c r="M524" s="19"/>
      <c r="N524" s="19"/>
      <c r="O524" s="19"/>
      <c r="P524" s="19"/>
    </row>
    <row r="525">
      <c r="A525" s="19"/>
      <c r="B525" s="19"/>
      <c r="C525" s="19"/>
      <c r="D525" s="19"/>
      <c r="E525" s="19"/>
      <c r="F525" s="19"/>
      <c r="G525" s="19"/>
      <c r="H525" s="19"/>
      <c r="I525" s="19"/>
      <c r="J525" s="19"/>
      <c r="K525" s="19"/>
      <c r="L525" s="19"/>
      <c r="M525" s="19"/>
      <c r="N525" s="19"/>
      <c r="O525" s="19"/>
      <c r="P525" s="19"/>
    </row>
    <row r="526">
      <c r="A526" s="19"/>
      <c r="B526" s="19"/>
      <c r="C526" s="19"/>
      <c r="D526" s="19"/>
      <c r="E526" s="19"/>
      <c r="F526" s="19"/>
      <c r="G526" s="19"/>
      <c r="H526" s="19"/>
      <c r="I526" s="19"/>
      <c r="J526" s="19"/>
      <c r="K526" s="19"/>
      <c r="L526" s="19"/>
      <c r="M526" s="19"/>
      <c r="N526" s="19"/>
      <c r="O526" s="19"/>
      <c r="P526" s="19"/>
    </row>
    <row r="527">
      <c r="A527" s="19"/>
      <c r="B527" s="19"/>
      <c r="C527" s="19"/>
      <c r="D527" s="19"/>
      <c r="E527" s="19"/>
      <c r="F527" s="19"/>
      <c r="G527" s="19"/>
      <c r="H527" s="19"/>
      <c r="I527" s="19"/>
      <c r="J527" s="19"/>
      <c r="K527" s="19"/>
      <c r="L527" s="19"/>
      <c r="M527" s="19"/>
      <c r="N527" s="19"/>
      <c r="O527" s="19"/>
      <c r="P527" s="19"/>
    </row>
    <row r="528">
      <c r="A528" s="19"/>
      <c r="B528" s="19"/>
      <c r="C528" s="19"/>
      <c r="D528" s="19"/>
      <c r="E528" s="19"/>
      <c r="F528" s="19"/>
      <c r="G528" s="19"/>
      <c r="H528" s="19"/>
      <c r="I528" s="19"/>
      <c r="J528" s="19"/>
      <c r="K528" s="19"/>
      <c r="L528" s="19"/>
      <c r="M528" s="19"/>
      <c r="N528" s="19"/>
      <c r="O528" s="19"/>
      <c r="P528" s="19"/>
    </row>
    <row r="529">
      <c r="A529" s="19"/>
      <c r="B529" s="19"/>
      <c r="C529" s="19"/>
      <c r="D529" s="19"/>
      <c r="E529" s="19"/>
      <c r="F529" s="19"/>
      <c r="G529" s="19"/>
      <c r="H529" s="19"/>
      <c r="I529" s="19"/>
      <c r="J529" s="19"/>
      <c r="K529" s="19"/>
      <c r="L529" s="19"/>
      <c r="M529" s="19"/>
      <c r="N529" s="19"/>
      <c r="O529" s="19"/>
      <c r="P529" s="19"/>
    </row>
    <row r="530">
      <c r="A530" s="19"/>
      <c r="B530" s="19"/>
      <c r="C530" s="19"/>
      <c r="D530" s="19"/>
      <c r="E530" s="19"/>
      <c r="F530" s="19"/>
      <c r="G530" s="19"/>
      <c r="H530" s="19"/>
      <c r="I530" s="19"/>
      <c r="J530" s="19"/>
      <c r="K530" s="19"/>
      <c r="L530" s="19"/>
      <c r="M530" s="19"/>
      <c r="N530" s="19"/>
      <c r="O530" s="19"/>
      <c r="P530" s="19"/>
    </row>
    <row r="531">
      <c r="A531" s="19"/>
      <c r="B531" s="19"/>
      <c r="C531" s="19"/>
      <c r="D531" s="19"/>
      <c r="E531" s="19"/>
      <c r="F531" s="19"/>
      <c r="G531" s="19"/>
      <c r="H531" s="19"/>
      <c r="I531" s="19"/>
      <c r="J531" s="19"/>
      <c r="K531" s="19"/>
      <c r="L531" s="19"/>
      <c r="M531" s="19"/>
      <c r="N531" s="19"/>
      <c r="O531" s="19"/>
      <c r="P531" s="19"/>
    </row>
    <row r="532">
      <c r="A532" s="19"/>
      <c r="B532" s="19"/>
      <c r="C532" s="19"/>
      <c r="D532" s="19"/>
      <c r="E532" s="19"/>
      <c r="F532" s="19"/>
      <c r="G532" s="19"/>
      <c r="H532" s="19"/>
      <c r="I532" s="19"/>
      <c r="J532" s="19"/>
      <c r="K532" s="19"/>
      <c r="L532" s="19"/>
      <c r="M532" s="19"/>
      <c r="N532" s="19"/>
      <c r="O532" s="19"/>
      <c r="P532" s="19"/>
    </row>
    <row r="533">
      <c r="A533" s="19"/>
      <c r="B533" s="19"/>
      <c r="C533" s="19"/>
      <c r="D533" s="19"/>
      <c r="E533" s="19"/>
      <c r="F533" s="19"/>
      <c r="G533" s="19"/>
      <c r="H533" s="19"/>
      <c r="I533" s="19"/>
      <c r="J533" s="19"/>
      <c r="K533" s="19"/>
      <c r="L533" s="19"/>
      <c r="M533" s="19"/>
      <c r="N533" s="19"/>
      <c r="O533" s="19"/>
      <c r="P533" s="19"/>
    </row>
    <row r="534">
      <c r="A534" s="19"/>
      <c r="B534" s="19"/>
      <c r="C534" s="19"/>
      <c r="D534" s="19"/>
      <c r="E534" s="19"/>
      <c r="F534" s="19"/>
      <c r="G534" s="19"/>
      <c r="H534" s="19"/>
      <c r="I534" s="19"/>
      <c r="J534" s="19"/>
      <c r="K534" s="19"/>
      <c r="L534" s="19"/>
      <c r="M534" s="19"/>
      <c r="N534" s="19"/>
      <c r="O534" s="19"/>
      <c r="P534" s="19"/>
    </row>
    <row r="535">
      <c r="A535" s="19"/>
      <c r="B535" s="19"/>
      <c r="C535" s="19"/>
      <c r="D535" s="19"/>
      <c r="E535" s="19"/>
      <c r="F535" s="19"/>
      <c r="G535" s="19"/>
      <c r="H535" s="19"/>
      <c r="I535" s="19"/>
      <c r="J535" s="19"/>
      <c r="K535" s="19"/>
      <c r="L535" s="19"/>
      <c r="M535" s="19"/>
      <c r="N535" s="19"/>
      <c r="O535" s="19"/>
      <c r="P535" s="19"/>
    </row>
    <row r="536">
      <c r="A536" s="19"/>
      <c r="B536" s="19"/>
      <c r="C536" s="19"/>
      <c r="D536" s="19"/>
      <c r="E536" s="19"/>
      <c r="F536" s="19"/>
      <c r="G536" s="19"/>
      <c r="H536" s="19"/>
      <c r="I536" s="19"/>
      <c r="J536" s="19"/>
      <c r="K536" s="19"/>
      <c r="L536" s="19"/>
      <c r="M536" s="19"/>
      <c r="N536" s="19"/>
      <c r="O536" s="19"/>
      <c r="P536" s="19"/>
    </row>
    <row r="537">
      <c r="A537" s="19"/>
      <c r="B537" s="19"/>
      <c r="C537" s="19"/>
      <c r="D537" s="19"/>
      <c r="E537" s="19"/>
      <c r="F537" s="19"/>
      <c r="G537" s="19"/>
      <c r="H537" s="19"/>
      <c r="I537" s="19"/>
      <c r="J537" s="19"/>
      <c r="K537" s="19"/>
      <c r="L537" s="19"/>
      <c r="M537" s="19"/>
      <c r="N537" s="19"/>
      <c r="O537" s="19"/>
      <c r="P537" s="19"/>
    </row>
    <row r="538">
      <c r="A538" s="19"/>
      <c r="B538" s="19"/>
      <c r="C538" s="19"/>
      <c r="D538" s="19"/>
      <c r="E538" s="19"/>
      <c r="F538" s="19"/>
      <c r="G538" s="19"/>
      <c r="H538" s="19"/>
      <c r="I538" s="19"/>
      <c r="J538" s="19"/>
      <c r="K538" s="19"/>
      <c r="L538" s="19"/>
      <c r="M538" s="19"/>
      <c r="N538" s="19"/>
      <c r="O538" s="19"/>
      <c r="P538" s="19"/>
    </row>
    <row r="539">
      <c r="A539" s="19"/>
      <c r="B539" s="19"/>
      <c r="C539" s="19"/>
      <c r="D539" s="19"/>
      <c r="E539" s="19"/>
      <c r="F539" s="19"/>
      <c r="G539" s="19"/>
      <c r="H539" s="19"/>
      <c r="I539" s="19"/>
      <c r="J539" s="19"/>
      <c r="K539" s="19"/>
      <c r="L539" s="19"/>
      <c r="M539" s="19"/>
      <c r="N539" s="19"/>
      <c r="O539" s="19"/>
      <c r="P539" s="19"/>
    </row>
    <row r="540">
      <c r="A540" s="19"/>
      <c r="B540" s="19"/>
      <c r="C540" s="19"/>
      <c r="D540" s="19"/>
      <c r="E540" s="19"/>
      <c r="F540" s="19"/>
      <c r="G540" s="19"/>
      <c r="H540" s="19"/>
      <c r="I540" s="19"/>
      <c r="J540" s="19"/>
      <c r="K540" s="19"/>
      <c r="L540" s="19"/>
      <c r="M540" s="19"/>
      <c r="N540" s="19"/>
      <c r="O540" s="19"/>
      <c r="P540" s="19"/>
    </row>
    <row r="541">
      <c r="A541" s="19"/>
      <c r="B541" s="19"/>
      <c r="C541" s="19"/>
      <c r="D541" s="19"/>
      <c r="E541" s="19"/>
      <c r="F541" s="19"/>
      <c r="G541" s="19"/>
      <c r="H541" s="19"/>
      <c r="I541" s="19"/>
      <c r="J541" s="19"/>
      <c r="K541" s="19"/>
      <c r="L541" s="19"/>
      <c r="M541" s="19"/>
      <c r="N541" s="19"/>
      <c r="O541" s="19"/>
      <c r="P541" s="19"/>
    </row>
    <row r="542">
      <c r="A542" s="19"/>
      <c r="B542" s="19"/>
      <c r="C542" s="19"/>
      <c r="D542" s="19"/>
      <c r="E542" s="19"/>
      <c r="F542" s="19"/>
      <c r="G542" s="19"/>
      <c r="H542" s="19"/>
      <c r="I542" s="19"/>
      <c r="J542" s="19"/>
      <c r="K542" s="19"/>
      <c r="L542" s="19"/>
      <c r="M542" s="19"/>
      <c r="N542" s="19"/>
      <c r="O542" s="19"/>
      <c r="P542" s="19"/>
    </row>
    <row r="543">
      <c r="A543" s="19"/>
      <c r="B543" s="19"/>
      <c r="C543" s="19"/>
      <c r="D543" s="19"/>
      <c r="E543" s="19"/>
      <c r="F543" s="19"/>
      <c r="G543" s="19"/>
      <c r="H543" s="19"/>
      <c r="I543" s="19"/>
      <c r="J543" s="19"/>
      <c r="K543" s="19"/>
      <c r="L543" s="19"/>
      <c r="M543" s="19"/>
      <c r="N543" s="19"/>
      <c r="O543" s="19"/>
      <c r="P543" s="19"/>
    </row>
    <row r="544">
      <c r="A544" s="19"/>
      <c r="B544" s="19"/>
      <c r="C544" s="19"/>
      <c r="D544" s="19"/>
      <c r="E544" s="19"/>
      <c r="F544" s="19"/>
      <c r="G544" s="19"/>
      <c r="H544" s="19"/>
      <c r="I544" s="19"/>
      <c r="J544" s="19"/>
      <c r="K544" s="19"/>
      <c r="L544" s="19"/>
      <c r="M544" s="19"/>
      <c r="N544" s="19"/>
      <c r="O544" s="19"/>
      <c r="P544" s="19"/>
    </row>
    <row r="545">
      <c r="A545" s="19"/>
      <c r="B545" s="19"/>
      <c r="C545" s="19"/>
      <c r="D545" s="19"/>
      <c r="E545" s="19"/>
      <c r="F545" s="19"/>
      <c r="G545" s="19"/>
      <c r="H545" s="19"/>
      <c r="I545" s="19"/>
      <c r="J545" s="19"/>
      <c r="K545" s="19"/>
      <c r="L545" s="19"/>
      <c r="M545" s="19"/>
      <c r="N545" s="19"/>
      <c r="O545" s="19"/>
      <c r="P545" s="19"/>
    </row>
    <row r="546">
      <c r="A546" s="19"/>
      <c r="B546" s="19"/>
      <c r="C546" s="19"/>
      <c r="D546" s="19"/>
      <c r="E546" s="19"/>
      <c r="F546" s="19"/>
      <c r="G546" s="19"/>
      <c r="H546" s="19"/>
      <c r="I546" s="19"/>
      <c r="J546" s="19"/>
      <c r="K546" s="19"/>
      <c r="L546" s="19"/>
      <c r="M546" s="19"/>
      <c r="N546" s="19"/>
      <c r="O546" s="19"/>
      <c r="P546" s="19"/>
    </row>
    <row r="547">
      <c r="A547" s="19"/>
      <c r="B547" s="19"/>
      <c r="C547" s="19"/>
      <c r="D547" s="19"/>
      <c r="E547" s="19"/>
      <c r="F547" s="19"/>
      <c r="G547" s="19"/>
      <c r="H547" s="19"/>
      <c r="I547" s="19"/>
      <c r="J547" s="19"/>
      <c r="K547" s="19"/>
      <c r="L547" s="19"/>
      <c r="M547" s="19"/>
      <c r="N547" s="19"/>
      <c r="O547" s="19"/>
      <c r="P547" s="19"/>
    </row>
    <row r="548">
      <c r="A548" s="19"/>
      <c r="B548" s="19"/>
      <c r="C548" s="19"/>
      <c r="D548" s="19"/>
      <c r="E548" s="19"/>
      <c r="F548" s="19"/>
      <c r="G548" s="19"/>
      <c r="H548" s="19"/>
      <c r="I548" s="19"/>
      <c r="J548" s="19"/>
      <c r="K548" s="19"/>
      <c r="L548" s="19"/>
      <c r="M548" s="19"/>
      <c r="N548" s="19"/>
      <c r="O548" s="19"/>
      <c r="P548" s="19"/>
    </row>
    <row r="549">
      <c r="A549" s="19"/>
      <c r="B549" s="19"/>
      <c r="C549" s="19"/>
      <c r="D549" s="19"/>
      <c r="E549" s="19"/>
      <c r="F549" s="19"/>
      <c r="G549" s="19"/>
      <c r="H549" s="19"/>
      <c r="I549" s="19"/>
      <c r="J549" s="19"/>
      <c r="K549" s="19"/>
      <c r="L549" s="19"/>
      <c r="M549" s="19"/>
      <c r="N549" s="19"/>
      <c r="O549" s="19"/>
      <c r="P549" s="19"/>
    </row>
    <row r="550">
      <c r="A550" s="19"/>
      <c r="B550" s="19"/>
      <c r="C550" s="19"/>
      <c r="D550" s="19"/>
      <c r="E550" s="19"/>
      <c r="F550" s="19"/>
      <c r="G550" s="19"/>
      <c r="H550" s="19"/>
      <c r="I550" s="19"/>
      <c r="J550" s="19"/>
      <c r="K550" s="19"/>
      <c r="L550" s="19"/>
      <c r="M550" s="19"/>
      <c r="N550" s="19"/>
      <c r="O550" s="19"/>
      <c r="P550" s="19"/>
    </row>
    <row r="551">
      <c r="A551" s="19"/>
      <c r="B551" s="19"/>
      <c r="C551" s="19"/>
      <c r="D551" s="19"/>
      <c r="E551" s="19"/>
      <c r="F551" s="19"/>
      <c r="G551" s="19"/>
      <c r="H551" s="19"/>
      <c r="I551" s="19"/>
      <c r="J551" s="19"/>
      <c r="K551" s="19"/>
      <c r="L551" s="19"/>
      <c r="M551" s="19"/>
      <c r="N551" s="19"/>
      <c r="O551" s="19"/>
      <c r="P551" s="19"/>
    </row>
    <row r="552">
      <c r="A552" s="19"/>
      <c r="B552" s="19"/>
      <c r="C552" s="19"/>
      <c r="D552" s="19"/>
      <c r="E552" s="19"/>
      <c r="F552" s="19"/>
      <c r="G552" s="19"/>
      <c r="H552" s="19"/>
      <c r="I552" s="19"/>
      <c r="J552" s="19"/>
      <c r="K552" s="19"/>
      <c r="L552" s="19"/>
      <c r="M552" s="19"/>
      <c r="N552" s="19"/>
      <c r="O552" s="19"/>
      <c r="P552" s="19"/>
    </row>
    <row r="553">
      <c r="A553" s="19"/>
      <c r="B553" s="19"/>
      <c r="C553" s="19"/>
      <c r="D553" s="19"/>
      <c r="E553" s="19"/>
      <c r="F553" s="19"/>
      <c r="G553" s="19"/>
      <c r="H553" s="19"/>
      <c r="I553" s="19"/>
      <c r="J553" s="19"/>
      <c r="K553" s="19"/>
      <c r="L553" s="19"/>
      <c r="M553" s="19"/>
      <c r="N553" s="19"/>
      <c r="O553" s="19"/>
      <c r="P553" s="19"/>
    </row>
    <row r="554">
      <c r="A554" s="19"/>
      <c r="B554" s="19"/>
      <c r="C554" s="19"/>
      <c r="D554" s="19"/>
      <c r="E554" s="19"/>
      <c r="F554" s="19"/>
      <c r="G554" s="19"/>
      <c r="H554" s="19"/>
      <c r="I554" s="19"/>
      <c r="J554" s="19"/>
      <c r="K554" s="19"/>
      <c r="L554" s="19"/>
      <c r="M554" s="19"/>
      <c r="N554" s="19"/>
      <c r="O554" s="19"/>
      <c r="P554" s="19"/>
    </row>
    <row r="555">
      <c r="A555" s="19"/>
      <c r="B555" s="19"/>
      <c r="C555" s="19"/>
      <c r="D555" s="19"/>
      <c r="E555" s="19"/>
      <c r="F555" s="19"/>
      <c r="G555" s="19"/>
      <c r="H555" s="19"/>
      <c r="I555" s="19"/>
      <c r="J555" s="19"/>
      <c r="K555" s="19"/>
      <c r="L555" s="19"/>
      <c r="M555" s="19"/>
      <c r="N555" s="19"/>
      <c r="O555" s="19"/>
      <c r="P555" s="19"/>
    </row>
    <row r="556">
      <c r="A556" s="19"/>
      <c r="B556" s="19"/>
      <c r="C556" s="19"/>
      <c r="D556" s="19"/>
      <c r="E556" s="19"/>
      <c r="F556" s="19"/>
      <c r="G556" s="19"/>
      <c r="H556" s="19"/>
      <c r="I556" s="19"/>
      <c r="J556" s="19"/>
      <c r="K556" s="19"/>
      <c r="L556" s="19"/>
      <c r="M556" s="19"/>
      <c r="N556" s="19"/>
      <c r="O556" s="19"/>
      <c r="P556" s="19"/>
    </row>
    <row r="557">
      <c r="A557" s="19"/>
      <c r="B557" s="19"/>
      <c r="C557" s="19"/>
      <c r="D557" s="19"/>
      <c r="E557" s="19"/>
      <c r="F557" s="19"/>
      <c r="G557" s="19"/>
      <c r="H557" s="19"/>
      <c r="I557" s="19"/>
      <c r="J557" s="19"/>
      <c r="K557" s="19"/>
      <c r="L557" s="19"/>
      <c r="M557" s="19"/>
      <c r="N557" s="19"/>
      <c r="O557" s="19"/>
      <c r="P557" s="19"/>
    </row>
    <row r="558">
      <c r="A558" s="19"/>
      <c r="B558" s="19"/>
      <c r="C558" s="19"/>
      <c r="D558" s="19"/>
      <c r="E558" s="19"/>
      <c r="F558" s="19"/>
      <c r="G558" s="19"/>
      <c r="H558" s="19"/>
      <c r="I558" s="19"/>
      <c r="J558" s="19"/>
      <c r="K558" s="19"/>
      <c r="L558" s="19"/>
      <c r="M558" s="19"/>
      <c r="N558" s="19"/>
      <c r="O558" s="19"/>
      <c r="P558" s="19"/>
    </row>
    <row r="559">
      <c r="A559" s="19"/>
      <c r="B559" s="19"/>
      <c r="C559" s="19"/>
      <c r="D559" s="19"/>
      <c r="E559" s="19"/>
      <c r="F559" s="19"/>
      <c r="G559" s="19"/>
      <c r="H559" s="19"/>
      <c r="I559" s="19"/>
      <c r="J559" s="19"/>
      <c r="K559" s="19"/>
      <c r="L559" s="19"/>
      <c r="M559" s="19"/>
      <c r="N559" s="19"/>
      <c r="O559" s="19"/>
      <c r="P559" s="19"/>
    </row>
    <row r="560">
      <c r="A560" s="19"/>
      <c r="B560" s="19"/>
      <c r="C560" s="19"/>
      <c r="D560" s="19"/>
      <c r="E560" s="19"/>
      <c r="F560" s="19"/>
      <c r="G560" s="19"/>
      <c r="H560" s="19"/>
      <c r="I560" s="19"/>
      <c r="J560" s="19"/>
      <c r="K560" s="19"/>
      <c r="L560" s="19"/>
      <c r="M560" s="19"/>
      <c r="N560" s="19"/>
      <c r="O560" s="19"/>
      <c r="P560" s="19"/>
    </row>
    <row r="561">
      <c r="A561" s="19"/>
      <c r="B561" s="19"/>
      <c r="C561" s="19"/>
      <c r="D561" s="19"/>
      <c r="E561" s="19"/>
      <c r="F561" s="19"/>
      <c r="G561" s="19"/>
      <c r="H561" s="19"/>
      <c r="I561" s="19"/>
      <c r="J561" s="19"/>
      <c r="K561" s="19"/>
      <c r="L561" s="19"/>
      <c r="M561" s="19"/>
      <c r="N561" s="19"/>
      <c r="O561" s="19"/>
      <c r="P561" s="19"/>
    </row>
    <row r="562">
      <c r="A562" s="19"/>
      <c r="B562" s="19"/>
      <c r="C562" s="19"/>
      <c r="D562" s="19"/>
      <c r="E562" s="19"/>
      <c r="F562" s="19"/>
      <c r="G562" s="19"/>
      <c r="H562" s="19"/>
      <c r="I562" s="19"/>
      <c r="J562" s="19"/>
      <c r="K562" s="19"/>
      <c r="L562" s="19"/>
      <c r="M562" s="19"/>
      <c r="N562" s="19"/>
      <c r="O562" s="19"/>
      <c r="P562" s="19"/>
    </row>
    <row r="563">
      <c r="A563" s="19"/>
      <c r="B563" s="19"/>
      <c r="C563" s="19"/>
      <c r="D563" s="19"/>
      <c r="E563" s="19"/>
      <c r="F563" s="19"/>
      <c r="G563" s="19"/>
      <c r="H563" s="19"/>
      <c r="I563" s="19"/>
      <c r="J563" s="19"/>
      <c r="K563" s="19"/>
      <c r="L563" s="19"/>
      <c r="M563" s="19"/>
      <c r="N563" s="19"/>
      <c r="O563" s="19"/>
      <c r="P563" s="19"/>
    </row>
    <row r="564">
      <c r="A564" s="19"/>
      <c r="B564" s="19"/>
      <c r="C564" s="19"/>
      <c r="D564" s="19"/>
      <c r="E564" s="19"/>
      <c r="F564" s="19"/>
      <c r="G564" s="19"/>
      <c r="H564" s="19"/>
      <c r="I564" s="19"/>
      <c r="J564" s="19"/>
      <c r="K564" s="19"/>
      <c r="L564" s="19"/>
      <c r="M564" s="19"/>
      <c r="N564" s="19"/>
      <c r="O564" s="19"/>
      <c r="P564" s="19"/>
    </row>
    <row r="565">
      <c r="A565" s="19"/>
      <c r="B565" s="19"/>
      <c r="C565" s="19"/>
      <c r="D565" s="19"/>
      <c r="E565" s="19"/>
      <c r="F565" s="19"/>
      <c r="G565" s="19"/>
      <c r="H565" s="19"/>
      <c r="I565" s="19"/>
      <c r="J565" s="19"/>
      <c r="K565" s="19"/>
      <c r="L565" s="19"/>
      <c r="M565" s="19"/>
      <c r="N565" s="19"/>
      <c r="O565" s="19"/>
      <c r="P565" s="19"/>
    </row>
    <row r="566">
      <c r="A566" s="19"/>
      <c r="B566" s="19"/>
      <c r="C566" s="19"/>
      <c r="D566" s="19"/>
      <c r="E566" s="19"/>
      <c r="F566" s="19"/>
      <c r="G566" s="19"/>
      <c r="H566" s="19"/>
      <c r="I566" s="19"/>
      <c r="J566" s="19"/>
      <c r="K566" s="19"/>
      <c r="L566" s="19"/>
      <c r="M566" s="19"/>
      <c r="N566" s="19"/>
      <c r="O566" s="19"/>
      <c r="P566" s="19"/>
    </row>
    <row r="567">
      <c r="A567" s="19"/>
      <c r="B567" s="19"/>
      <c r="C567" s="19"/>
      <c r="D567" s="19"/>
      <c r="E567" s="19"/>
      <c r="F567" s="19"/>
      <c r="G567" s="19"/>
      <c r="H567" s="19"/>
      <c r="I567" s="19"/>
      <c r="J567" s="19"/>
      <c r="K567" s="19"/>
      <c r="L567" s="19"/>
      <c r="M567" s="19"/>
      <c r="N567" s="19"/>
      <c r="O567" s="19"/>
      <c r="P567" s="19"/>
    </row>
    <row r="568">
      <c r="A568" s="19"/>
      <c r="B568" s="19"/>
      <c r="C568" s="19"/>
      <c r="D568" s="19"/>
      <c r="E568" s="19"/>
      <c r="F568" s="19"/>
      <c r="G568" s="19"/>
      <c r="H568" s="19"/>
      <c r="I568" s="19"/>
      <c r="J568" s="19"/>
      <c r="K568" s="19"/>
      <c r="L568" s="19"/>
      <c r="M568" s="19"/>
      <c r="N568" s="19"/>
      <c r="O568" s="19"/>
      <c r="P568" s="19"/>
    </row>
    <row r="569">
      <c r="A569" s="19"/>
      <c r="B569" s="19"/>
      <c r="C569" s="19"/>
      <c r="D569" s="19"/>
      <c r="E569" s="19"/>
      <c r="F569" s="19"/>
      <c r="G569" s="19"/>
      <c r="H569" s="19"/>
      <c r="I569" s="19"/>
      <c r="J569" s="19"/>
      <c r="K569" s="19"/>
      <c r="L569" s="19"/>
      <c r="M569" s="19"/>
      <c r="N569" s="19"/>
      <c r="O569" s="19"/>
      <c r="P569" s="19"/>
    </row>
    <row r="570">
      <c r="A570" s="19"/>
      <c r="B570" s="19"/>
      <c r="C570" s="19"/>
      <c r="D570" s="19"/>
      <c r="E570" s="19"/>
      <c r="F570" s="19"/>
      <c r="G570" s="19"/>
      <c r="H570" s="19"/>
      <c r="I570" s="19"/>
      <c r="J570" s="19"/>
      <c r="K570" s="19"/>
      <c r="L570" s="19"/>
      <c r="M570" s="19"/>
      <c r="N570" s="19"/>
      <c r="O570" s="19"/>
      <c r="P570" s="19"/>
    </row>
    <row r="571">
      <c r="A571" s="19"/>
      <c r="B571" s="19"/>
      <c r="C571" s="19"/>
      <c r="D571" s="19"/>
      <c r="E571" s="19"/>
      <c r="F571" s="19"/>
      <c r="G571" s="19"/>
      <c r="H571" s="19"/>
      <c r="I571" s="19"/>
      <c r="J571" s="19"/>
      <c r="K571" s="19"/>
      <c r="L571" s="19"/>
      <c r="M571" s="19"/>
      <c r="N571" s="19"/>
      <c r="O571" s="19"/>
      <c r="P571" s="19"/>
    </row>
    <row r="572">
      <c r="A572" s="19"/>
      <c r="B572" s="19"/>
      <c r="C572" s="19"/>
      <c r="D572" s="19"/>
      <c r="E572" s="19"/>
      <c r="F572" s="19"/>
      <c r="G572" s="19"/>
      <c r="H572" s="19"/>
      <c r="I572" s="19"/>
      <c r="J572" s="19"/>
      <c r="K572" s="19"/>
      <c r="L572" s="19"/>
      <c r="M572" s="19"/>
      <c r="N572" s="19"/>
      <c r="O572" s="19"/>
      <c r="P572" s="19"/>
    </row>
    <row r="573">
      <c r="A573" s="19"/>
      <c r="B573" s="19"/>
      <c r="C573" s="19"/>
      <c r="D573" s="19"/>
      <c r="E573" s="19"/>
      <c r="F573" s="19"/>
      <c r="G573" s="19"/>
      <c r="H573" s="19"/>
      <c r="I573" s="19"/>
      <c r="J573" s="19"/>
      <c r="K573" s="19"/>
      <c r="L573" s="19"/>
      <c r="M573" s="19"/>
      <c r="N573" s="19"/>
      <c r="O573" s="19"/>
      <c r="P573" s="19"/>
    </row>
    <row r="574">
      <c r="A574" s="19"/>
      <c r="B574" s="19"/>
      <c r="C574" s="19"/>
      <c r="D574" s="19"/>
      <c r="E574" s="19"/>
      <c r="F574" s="19"/>
      <c r="G574" s="19"/>
      <c r="H574" s="19"/>
      <c r="I574" s="19"/>
      <c r="J574" s="19"/>
      <c r="K574" s="19"/>
      <c r="L574" s="19"/>
      <c r="M574" s="19"/>
      <c r="N574" s="19"/>
      <c r="O574" s="19"/>
      <c r="P574" s="19"/>
    </row>
    <row r="575">
      <c r="A575" s="19"/>
      <c r="B575" s="19"/>
      <c r="C575" s="19"/>
      <c r="D575" s="19"/>
      <c r="E575" s="19"/>
      <c r="F575" s="19"/>
      <c r="G575" s="19"/>
      <c r="H575" s="19"/>
      <c r="I575" s="19"/>
      <c r="J575" s="19"/>
      <c r="K575" s="19"/>
      <c r="L575" s="19"/>
      <c r="M575" s="19"/>
      <c r="N575" s="19"/>
      <c r="O575" s="19"/>
      <c r="P575" s="19"/>
    </row>
    <row r="576">
      <c r="A576" s="19"/>
      <c r="B576" s="19"/>
      <c r="C576" s="19"/>
      <c r="D576" s="19"/>
      <c r="E576" s="19"/>
      <c r="F576" s="19"/>
      <c r="G576" s="19"/>
      <c r="H576" s="19"/>
      <c r="I576" s="19"/>
      <c r="J576" s="19"/>
      <c r="K576" s="19"/>
      <c r="L576" s="19"/>
      <c r="M576" s="19"/>
      <c r="N576" s="19"/>
      <c r="O576" s="19"/>
      <c r="P576" s="19"/>
    </row>
    <row r="577">
      <c r="A577" s="19"/>
      <c r="B577" s="19"/>
      <c r="C577" s="19"/>
      <c r="D577" s="19"/>
      <c r="E577" s="19"/>
      <c r="F577" s="19"/>
      <c r="G577" s="19"/>
      <c r="H577" s="19"/>
      <c r="I577" s="19"/>
      <c r="J577" s="19"/>
      <c r="K577" s="19"/>
      <c r="L577" s="19"/>
      <c r="M577" s="19"/>
      <c r="N577" s="19"/>
      <c r="O577" s="19"/>
      <c r="P577" s="19"/>
    </row>
    <row r="578">
      <c r="A578" s="19"/>
      <c r="B578" s="19"/>
      <c r="C578" s="19"/>
      <c r="D578" s="19"/>
      <c r="E578" s="19"/>
      <c r="F578" s="19"/>
      <c r="G578" s="19"/>
      <c r="H578" s="19"/>
      <c r="I578" s="19"/>
      <c r="J578" s="19"/>
      <c r="K578" s="19"/>
      <c r="L578" s="19"/>
      <c r="M578" s="19"/>
      <c r="N578" s="19"/>
      <c r="O578" s="19"/>
      <c r="P578" s="19"/>
    </row>
    <row r="579">
      <c r="A579" s="19"/>
      <c r="B579" s="19"/>
      <c r="C579" s="19"/>
      <c r="D579" s="19"/>
      <c r="E579" s="19"/>
      <c r="F579" s="19"/>
      <c r="G579" s="19"/>
      <c r="H579" s="19"/>
      <c r="I579" s="19"/>
      <c r="J579" s="19"/>
      <c r="K579" s="19"/>
      <c r="L579" s="19"/>
      <c r="M579" s="19"/>
      <c r="N579" s="19"/>
      <c r="O579" s="19"/>
      <c r="P579" s="19"/>
    </row>
    <row r="580">
      <c r="A580" s="19"/>
      <c r="B580" s="19"/>
      <c r="C580" s="19"/>
      <c r="D580" s="19"/>
      <c r="E580" s="19"/>
      <c r="F580" s="19"/>
      <c r="G580" s="19"/>
      <c r="H580" s="19"/>
      <c r="I580" s="19"/>
      <c r="J580" s="19"/>
      <c r="K580" s="19"/>
      <c r="L580" s="19"/>
      <c r="M580" s="19"/>
      <c r="N580" s="19"/>
      <c r="O580" s="19"/>
      <c r="P580" s="19"/>
    </row>
    <row r="581">
      <c r="A581" s="19"/>
      <c r="B581" s="19"/>
      <c r="C581" s="19"/>
      <c r="D581" s="19"/>
      <c r="E581" s="19"/>
      <c r="F581" s="19"/>
      <c r="G581" s="19"/>
      <c r="H581" s="19"/>
      <c r="I581" s="19"/>
      <c r="J581" s="19"/>
      <c r="K581" s="19"/>
      <c r="L581" s="19"/>
      <c r="M581" s="19"/>
      <c r="N581" s="19"/>
      <c r="O581" s="19"/>
      <c r="P581" s="19"/>
    </row>
    <row r="582">
      <c r="A582" s="19"/>
      <c r="B582" s="19"/>
      <c r="C582" s="19"/>
      <c r="D582" s="19"/>
      <c r="E582" s="19"/>
      <c r="F582" s="19"/>
      <c r="G582" s="19"/>
      <c r="H582" s="19"/>
      <c r="I582" s="19"/>
      <c r="J582" s="19"/>
      <c r="K582" s="19"/>
      <c r="L582" s="19"/>
      <c r="M582" s="19"/>
      <c r="N582" s="19"/>
      <c r="O582" s="19"/>
      <c r="P582" s="19"/>
    </row>
    <row r="583">
      <c r="A583" s="19"/>
      <c r="B583" s="19"/>
      <c r="C583" s="19"/>
      <c r="D583" s="19"/>
      <c r="E583" s="19"/>
      <c r="F583" s="19"/>
      <c r="G583" s="19"/>
      <c r="H583" s="19"/>
      <c r="I583" s="19"/>
      <c r="J583" s="19"/>
      <c r="K583" s="19"/>
      <c r="L583" s="19"/>
      <c r="M583" s="19"/>
      <c r="N583" s="19"/>
      <c r="O583" s="19"/>
      <c r="P583" s="19"/>
    </row>
    <row r="584">
      <c r="A584" s="19"/>
      <c r="B584" s="19"/>
      <c r="C584" s="19"/>
      <c r="D584" s="19"/>
      <c r="E584" s="19"/>
      <c r="F584" s="19"/>
      <c r="G584" s="19"/>
      <c r="H584" s="19"/>
      <c r="I584" s="19"/>
      <c r="J584" s="19"/>
      <c r="K584" s="19"/>
      <c r="L584" s="19"/>
      <c r="M584" s="19"/>
      <c r="N584" s="19"/>
      <c r="O584" s="19"/>
      <c r="P584" s="19"/>
    </row>
    <row r="585">
      <c r="A585" s="19"/>
      <c r="B585" s="19"/>
      <c r="C585" s="19"/>
      <c r="D585" s="19"/>
      <c r="E585" s="19"/>
      <c r="F585" s="19"/>
      <c r="G585" s="19"/>
      <c r="H585" s="19"/>
      <c r="I585" s="19"/>
      <c r="J585" s="19"/>
      <c r="K585" s="19"/>
      <c r="L585" s="19"/>
      <c r="M585" s="19"/>
      <c r="N585" s="19"/>
      <c r="O585" s="19"/>
      <c r="P585" s="19"/>
    </row>
    <row r="586">
      <c r="A586" s="19"/>
      <c r="B586" s="19"/>
      <c r="C586" s="19"/>
      <c r="D586" s="19"/>
      <c r="E586" s="19"/>
      <c r="F586" s="19"/>
      <c r="G586" s="19"/>
      <c r="H586" s="19"/>
      <c r="I586" s="19"/>
      <c r="J586" s="19"/>
      <c r="K586" s="19"/>
      <c r="L586" s="19"/>
      <c r="M586" s="19"/>
      <c r="N586" s="19"/>
      <c r="O586" s="19"/>
      <c r="P586" s="19"/>
    </row>
    <row r="587">
      <c r="A587" s="19"/>
      <c r="B587" s="19"/>
      <c r="C587" s="19"/>
      <c r="D587" s="19"/>
      <c r="E587" s="19"/>
      <c r="F587" s="19"/>
      <c r="G587" s="19"/>
      <c r="H587" s="19"/>
      <c r="I587" s="19"/>
      <c r="J587" s="19"/>
      <c r="K587" s="19"/>
      <c r="L587" s="19"/>
      <c r="M587" s="19"/>
      <c r="N587" s="19"/>
      <c r="O587" s="19"/>
      <c r="P587" s="19"/>
    </row>
    <row r="588">
      <c r="A588" s="19"/>
      <c r="B588" s="19"/>
      <c r="C588" s="19"/>
      <c r="D588" s="19"/>
      <c r="E588" s="19"/>
      <c r="F588" s="19"/>
      <c r="G588" s="19"/>
      <c r="H588" s="19"/>
      <c r="I588" s="19"/>
      <c r="J588" s="19"/>
      <c r="K588" s="19"/>
      <c r="L588" s="19"/>
      <c r="M588" s="19"/>
      <c r="N588" s="19"/>
      <c r="O588" s="19"/>
      <c r="P588" s="19"/>
    </row>
    <row r="589">
      <c r="A589" s="19"/>
      <c r="B589" s="19"/>
      <c r="C589" s="19"/>
      <c r="D589" s="19"/>
      <c r="E589" s="19"/>
      <c r="F589" s="19"/>
      <c r="G589" s="19"/>
      <c r="H589" s="19"/>
      <c r="I589" s="19"/>
      <c r="J589" s="19"/>
      <c r="K589" s="19"/>
      <c r="L589" s="19"/>
      <c r="M589" s="19"/>
      <c r="N589" s="19"/>
      <c r="O589" s="19"/>
      <c r="P589" s="19"/>
    </row>
    <row r="590">
      <c r="A590" s="19"/>
      <c r="B590" s="19"/>
      <c r="C590" s="19"/>
      <c r="D590" s="19"/>
      <c r="E590" s="19"/>
      <c r="F590" s="19"/>
      <c r="G590" s="19"/>
      <c r="H590" s="19"/>
      <c r="I590" s="19"/>
      <c r="J590" s="19"/>
      <c r="K590" s="19"/>
      <c r="L590" s="19"/>
      <c r="M590" s="19"/>
      <c r="N590" s="19"/>
      <c r="O590" s="19"/>
      <c r="P590" s="19"/>
    </row>
    <row r="591">
      <c r="A591" s="19"/>
      <c r="B591" s="19"/>
      <c r="C591" s="19"/>
      <c r="D591" s="19"/>
      <c r="E591" s="19"/>
      <c r="F591" s="19"/>
      <c r="G591" s="19"/>
      <c r="H591" s="19"/>
      <c r="I591" s="19"/>
      <c r="J591" s="19"/>
      <c r="K591" s="19"/>
      <c r="L591" s="19"/>
      <c r="M591" s="19"/>
      <c r="N591" s="19"/>
      <c r="O591" s="19"/>
      <c r="P591" s="19"/>
    </row>
    <row r="592">
      <c r="A592" s="19"/>
      <c r="B592" s="19"/>
      <c r="C592" s="19"/>
      <c r="D592" s="19"/>
      <c r="E592" s="19"/>
      <c r="F592" s="19"/>
      <c r="G592" s="19"/>
      <c r="H592" s="19"/>
      <c r="I592" s="19"/>
      <c r="J592" s="19"/>
      <c r="K592" s="19"/>
      <c r="L592" s="19"/>
      <c r="M592" s="19"/>
      <c r="N592" s="19"/>
      <c r="O592" s="19"/>
      <c r="P592" s="19"/>
    </row>
    <row r="593">
      <c r="A593" s="19"/>
      <c r="B593" s="19"/>
      <c r="C593" s="19"/>
      <c r="D593" s="19"/>
      <c r="E593" s="19"/>
      <c r="F593" s="19"/>
      <c r="G593" s="19"/>
      <c r="H593" s="19"/>
      <c r="I593" s="19"/>
      <c r="J593" s="19"/>
      <c r="K593" s="19"/>
      <c r="L593" s="19"/>
      <c r="M593" s="19"/>
      <c r="N593" s="19"/>
      <c r="O593" s="19"/>
      <c r="P593" s="19"/>
    </row>
    <row r="594">
      <c r="A594" s="19"/>
      <c r="B594" s="19"/>
      <c r="C594" s="19"/>
      <c r="D594" s="19"/>
      <c r="E594" s="19"/>
      <c r="F594" s="19"/>
      <c r="G594" s="19"/>
      <c r="H594" s="19"/>
      <c r="I594" s="19"/>
      <c r="J594" s="19"/>
      <c r="K594" s="19"/>
      <c r="L594" s="19"/>
      <c r="M594" s="19"/>
      <c r="N594" s="19"/>
      <c r="O594" s="19"/>
      <c r="P594" s="19"/>
    </row>
    <row r="595">
      <c r="A595" s="19"/>
      <c r="B595" s="19"/>
      <c r="C595" s="19"/>
      <c r="D595" s="19"/>
      <c r="E595" s="19"/>
      <c r="F595" s="19"/>
      <c r="G595" s="19"/>
      <c r="H595" s="19"/>
      <c r="I595" s="19"/>
      <c r="J595" s="19"/>
      <c r="K595" s="19"/>
      <c r="L595" s="19"/>
      <c r="M595" s="19"/>
      <c r="N595" s="19"/>
      <c r="O595" s="19"/>
      <c r="P595" s="19"/>
    </row>
    <row r="596">
      <c r="A596" s="19"/>
      <c r="B596" s="19"/>
      <c r="C596" s="19"/>
      <c r="D596" s="19"/>
      <c r="E596" s="19"/>
      <c r="F596" s="19"/>
      <c r="G596" s="19"/>
      <c r="H596" s="19"/>
      <c r="I596" s="19"/>
      <c r="J596" s="19"/>
      <c r="K596" s="19"/>
      <c r="L596" s="19"/>
      <c r="M596" s="19"/>
      <c r="N596" s="19"/>
      <c r="O596" s="19"/>
      <c r="P596" s="19"/>
    </row>
    <row r="597">
      <c r="A597" s="19"/>
      <c r="B597" s="19"/>
      <c r="C597" s="19"/>
      <c r="D597" s="19"/>
      <c r="E597" s="19"/>
      <c r="F597" s="19"/>
      <c r="G597" s="19"/>
      <c r="H597" s="19"/>
      <c r="I597" s="19"/>
      <c r="J597" s="19"/>
      <c r="K597" s="19"/>
      <c r="L597" s="19"/>
      <c r="M597" s="19"/>
      <c r="N597" s="19"/>
      <c r="O597" s="19"/>
      <c r="P597" s="19"/>
    </row>
    <row r="598">
      <c r="A598" s="19"/>
      <c r="B598" s="19"/>
      <c r="C598" s="19"/>
      <c r="D598" s="19"/>
      <c r="E598" s="19"/>
      <c r="F598" s="19"/>
      <c r="G598" s="19"/>
      <c r="H598" s="19"/>
      <c r="I598" s="19"/>
      <c r="J598" s="19"/>
      <c r="K598" s="19"/>
      <c r="L598" s="19"/>
      <c r="M598" s="19"/>
      <c r="N598" s="19"/>
      <c r="O598" s="19"/>
      <c r="P598" s="19"/>
    </row>
    <row r="599">
      <c r="A599" s="19"/>
      <c r="B599" s="19"/>
      <c r="C599" s="19"/>
      <c r="D599" s="19"/>
      <c r="E599" s="19"/>
      <c r="F599" s="19"/>
      <c r="G599" s="19"/>
      <c r="H599" s="19"/>
      <c r="I599" s="19"/>
      <c r="J599" s="19"/>
      <c r="K599" s="19"/>
      <c r="L599" s="19"/>
      <c r="M599" s="19"/>
      <c r="N599" s="19"/>
      <c r="O599" s="19"/>
      <c r="P599" s="19"/>
    </row>
    <row r="600">
      <c r="A600" s="19"/>
      <c r="B600" s="19"/>
      <c r="C600" s="19"/>
      <c r="D600" s="19"/>
      <c r="E600" s="19"/>
      <c r="F600" s="19"/>
      <c r="G600" s="19"/>
      <c r="H600" s="19"/>
      <c r="I600" s="19"/>
      <c r="J600" s="19"/>
      <c r="K600" s="19"/>
      <c r="L600" s="19"/>
      <c r="M600" s="19"/>
      <c r="N600" s="19"/>
      <c r="O600" s="19"/>
      <c r="P600" s="19"/>
    </row>
    <row r="601">
      <c r="A601" s="19"/>
      <c r="B601" s="19"/>
      <c r="C601" s="19"/>
      <c r="D601" s="19"/>
      <c r="E601" s="19"/>
      <c r="F601" s="19"/>
      <c r="G601" s="19"/>
      <c r="H601" s="19"/>
      <c r="I601" s="19"/>
      <c r="J601" s="19"/>
      <c r="K601" s="19"/>
      <c r="L601" s="19"/>
      <c r="M601" s="19"/>
      <c r="N601" s="19"/>
      <c r="O601" s="19"/>
      <c r="P601" s="19"/>
    </row>
    <row r="602">
      <c r="A602" s="19"/>
      <c r="B602" s="19"/>
      <c r="C602" s="19"/>
      <c r="D602" s="19"/>
      <c r="E602" s="19"/>
      <c r="F602" s="19"/>
      <c r="G602" s="19"/>
      <c r="H602" s="19"/>
      <c r="I602" s="19"/>
      <c r="J602" s="19"/>
      <c r="K602" s="19"/>
      <c r="L602" s="19"/>
      <c r="M602" s="19"/>
      <c r="N602" s="19"/>
      <c r="O602" s="19"/>
      <c r="P602" s="19"/>
    </row>
    <row r="603">
      <c r="A603" s="19"/>
      <c r="B603" s="19"/>
      <c r="C603" s="19"/>
      <c r="D603" s="19"/>
      <c r="E603" s="19"/>
      <c r="F603" s="19"/>
      <c r="G603" s="19"/>
      <c r="H603" s="19"/>
      <c r="I603" s="19"/>
      <c r="J603" s="19"/>
      <c r="K603" s="19"/>
      <c r="L603" s="19"/>
      <c r="M603" s="19"/>
      <c r="N603" s="19"/>
      <c r="O603" s="19"/>
      <c r="P603" s="19"/>
    </row>
    <row r="604">
      <c r="A604" s="19"/>
      <c r="B604" s="19"/>
      <c r="C604" s="19"/>
      <c r="D604" s="19"/>
      <c r="E604" s="19"/>
      <c r="F604" s="19"/>
      <c r="G604" s="19"/>
      <c r="H604" s="19"/>
      <c r="I604" s="19"/>
      <c r="J604" s="19"/>
      <c r="K604" s="19"/>
      <c r="L604" s="19"/>
      <c r="M604" s="19"/>
      <c r="N604" s="19"/>
      <c r="O604" s="19"/>
      <c r="P604" s="19"/>
    </row>
    <row r="605">
      <c r="A605" s="19"/>
      <c r="B605" s="19"/>
      <c r="C605" s="19"/>
      <c r="D605" s="19"/>
      <c r="E605" s="19"/>
      <c r="F605" s="19"/>
      <c r="G605" s="19"/>
      <c r="H605" s="19"/>
      <c r="I605" s="19"/>
      <c r="J605" s="19"/>
      <c r="K605" s="19"/>
      <c r="L605" s="19"/>
      <c r="M605" s="19"/>
      <c r="N605" s="19"/>
      <c r="O605" s="19"/>
      <c r="P605" s="19"/>
    </row>
    <row r="606">
      <c r="A606" s="19"/>
      <c r="B606" s="19"/>
      <c r="C606" s="19"/>
      <c r="D606" s="19"/>
      <c r="E606" s="19"/>
      <c r="F606" s="19"/>
      <c r="G606" s="19"/>
      <c r="H606" s="19"/>
      <c r="I606" s="19"/>
      <c r="J606" s="19"/>
      <c r="K606" s="19"/>
      <c r="L606" s="19"/>
      <c r="M606" s="19"/>
      <c r="N606" s="19"/>
      <c r="O606" s="19"/>
      <c r="P606" s="19"/>
    </row>
    <row r="607">
      <c r="A607" s="19"/>
      <c r="B607" s="19"/>
      <c r="C607" s="19"/>
      <c r="D607" s="19"/>
      <c r="E607" s="19"/>
      <c r="F607" s="19"/>
      <c r="G607" s="19"/>
      <c r="H607" s="19"/>
      <c r="I607" s="19"/>
      <c r="J607" s="19"/>
      <c r="K607" s="19"/>
      <c r="L607" s="19"/>
      <c r="M607" s="19"/>
      <c r="N607" s="19"/>
      <c r="O607" s="19"/>
      <c r="P607" s="19"/>
    </row>
    <row r="608">
      <c r="A608" s="19"/>
      <c r="B608" s="19"/>
      <c r="C608" s="19"/>
      <c r="D608" s="19"/>
      <c r="E608" s="19"/>
      <c r="F608" s="19"/>
      <c r="G608" s="19"/>
      <c r="H608" s="19"/>
      <c r="I608" s="19"/>
      <c r="J608" s="19"/>
      <c r="K608" s="19"/>
      <c r="L608" s="19"/>
      <c r="M608" s="19"/>
      <c r="N608" s="19"/>
      <c r="O608" s="19"/>
      <c r="P608" s="19"/>
    </row>
    <row r="609">
      <c r="A609" s="19"/>
      <c r="B609" s="19"/>
      <c r="C609" s="19"/>
      <c r="D609" s="19"/>
      <c r="E609" s="19"/>
      <c r="F609" s="19"/>
      <c r="G609" s="19"/>
      <c r="H609" s="19"/>
      <c r="I609" s="19"/>
      <c r="J609" s="19"/>
      <c r="K609" s="19"/>
      <c r="L609" s="19"/>
      <c r="M609" s="19"/>
      <c r="N609" s="19"/>
      <c r="O609" s="19"/>
      <c r="P609" s="19"/>
    </row>
    <row r="610">
      <c r="A610" s="19"/>
      <c r="B610" s="19"/>
      <c r="C610" s="19"/>
      <c r="D610" s="19"/>
      <c r="E610" s="19"/>
      <c r="F610" s="19"/>
      <c r="G610" s="19"/>
      <c r="H610" s="19"/>
      <c r="I610" s="19"/>
      <c r="J610" s="19"/>
      <c r="K610" s="19"/>
      <c r="L610" s="19"/>
      <c r="M610" s="19"/>
      <c r="N610" s="19"/>
      <c r="O610" s="19"/>
      <c r="P610" s="19"/>
    </row>
    <row r="611">
      <c r="A611" s="19"/>
      <c r="B611" s="19"/>
      <c r="C611" s="19"/>
      <c r="D611" s="19"/>
      <c r="E611" s="19"/>
      <c r="F611" s="19"/>
      <c r="G611" s="19"/>
      <c r="H611" s="19"/>
      <c r="I611" s="19"/>
      <c r="J611" s="19"/>
      <c r="K611" s="19"/>
      <c r="L611" s="19"/>
      <c r="M611" s="19"/>
      <c r="N611" s="19"/>
      <c r="O611" s="19"/>
      <c r="P611" s="19"/>
    </row>
    <row r="612">
      <c r="A612" s="19"/>
      <c r="B612" s="19"/>
      <c r="C612" s="19"/>
      <c r="D612" s="19"/>
      <c r="E612" s="19"/>
      <c r="F612" s="19"/>
      <c r="G612" s="19"/>
      <c r="H612" s="19"/>
      <c r="I612" s="19"/>
      <c r="J612" s="19"/>
      <c r="K612" s="19"/>
      <c r="L612" s="19"/>
      <c r="M612" s="19"/>
      <c r="N612" s="19"/>
      <c r="O612" s="19"/>
      <c r="P612" s="19"/>
    </row>
    <row r="613">
      <c r="A613" s="19"/>
      <c r="B613" s="19"/>
      <c r="C613" s="19"/>
      <c r="D613" s="19"/>
      <c r="E613" s="19"/>
      <c r="F613" s="19"/>
      <c r="G613" s="19"/>
      <c r="H613" s="19"/>
      <c r="I613" s="19"/>
      <c r="J613" s="19"/>
      <c r="K613" s="19"/>
      <c r="L613" s="19"/>
      <c r="M613" s="19"/>
      <c r="N613" s="19"/>
      <c r="O613" s="19"/>
      <c r="P613" s="19"/>
    </row>
    <row r="614">
      <c r="A614" s="19"/>
      <c r="B614" s="19"/>
      <c r="C614" s="19"/>
      <c r="D614" s="19"/>
      <c r="E614" s="19"/>
      <c r="F614" s="19"/>
      <c r="G614" s="19"/>
      <c r="H614" s="19"/>
      <c r="I614" s="19"/>
      <c r="J614" s="19"/>
      <c r="K614" s="19"/>
      <c r="L614" s="19"/>
      <c r="M614" s="19"/>
      <c r="N614" s="19"/>
      <c r="O614" s="19"/>
      <c r="P614" s="19"/>
    </row>
    <row r="615">
      <c r="A615" s="19"/>
      <c r="B615" s="19"/>
      <c r="C615" s="19"/>
      <c r="D615" s="19"/>
      <c r="E615" s="19"/>
      <c r="F615" s="19"/>
      <c r="G615" s="19"/>
      <c r="H615" s="19"/>
      <c r="I615" s="19"/>
      <c r="J615" s="19"/>
      <c r="K615" s="19"/>
      <c r="L615" s="19"/>
      <c r="M615" s="19"/>
      <c r="N615" s="19"/>
      <c r="O615" s="19"/>
      <c r="P615" s="19"/>
    </row>
    <row r="616">
      <c r="A616" s="19"/>
      <c r="B616" s="19"/>
      <c r="C616" s="19"/>
      <c r="D616" s="19"/>
      <c r="E616" s="19"/>
      <c r="F616" s="19"/>
      <c r="G616" s="19"/>
      <c r="H616" s="19"/>
      <c r="I616" s="19"/>
      <c r="J616" s="19"/>
      <c r="K616" s="19"/>
      <c r="L616" s="19"/>
      <c r="M616" s="19"/>
      <c r="N616" s="19"/>
      <c r="O616" s="19"/>
      <c r="P616" s="19"/>
    </row>
    <row r="617">
      <c r="A617" s="19"/>
      <c r="B617" s="19"/>
      <c r="C617" s="19"/>
      <c r="D617" s="19"/>
      <c r="E617" s="19"/>
      <c r="F617" s="19"/>
      <c r="G617" s="19"/>
      <c r="H617" s="19"/>
      <c r="I617" s="19"/>
      <c r="J617" s="19"/>
      <c r="K617" s="19"/>
      <c r="L617" s="19"/>
      <c r="M617" s="19"/>
      <c r="N617" s="19"/>
      <c r="O617" s="19"/>
      <c r="P617" s="19"/>
    </row>
    <row r="618">
      <c r="A618" s="19"/>
      <c r="B618" s="19"/>
      <c r="C618" s="19"/>
      <c r="D618" s="19"/>
      <c r="E618" s="19"/>
      <c r="F618" s="19"/>
      <c r="G618" s="19"/>
      <c r="H618" s="19"/>
      <c r="I618" s="19"/>
      <c r="J618" s="19"/>
      <c r="K618" s="19"/>
      <c r="L618" s="19"/>
      <c r="M618" s="19"/>
      <c r="N618" s="19"/>
      <c r="O618" s="19"/>
      <c r="P618" s="19"/>
    </row>
    <row r="619">
      <c r="A619" s="19"/>
      <c r="B619" s="19"/>
      <c r="C619" s="19"/>
      <c r="D619" s="19"/>
      <c r="E619" s="19"/>
      <c r="F619" s="19"/>
      <c r="G619" s="19"/>
      <c r="H619" s="19"/>
      <c r="I619" s="19"/>
      <c r="J619" s="19"/>
      <c r="K619" s="19"/>
      <c r="L619" s="19"/>
      <c r="M619" s="19"/>
      <c r="N619" s="19"/>
      <c r="O619" s="19"/>
      <c r="P619" s="19"/>
    </row>
    <row r="620">
      <c r="A620" s="19"/>
      <c r="B620" s="19"/>
      <c r="C620" s="19"/>
      <c r="D620" s="19"/>
      <c r="E620" s="19"/>
      <c r="F620" s="19"/>
      <c r="G620" s="19"/>
      <c r="H620" s="19"/>
      <c r="I620" s="19"/>
      <c r="J620" s="19"/>
      <c r="K620" s="19"/>
      <c r="L620" s="19"/>
      <c r="M620" s="19"/>
      <c r="N620" s="19"/>
      <c r="O620" s="19"/>
      <c r="P620" s="19"/>
    </row>
    <row r="621">
      <c r="A621" s="19"/>
      <c r="B621" s="19"/>
      <c r="C621" s="19"/>
      <c r="D621" s="19"/>
      <c r="E621" s="19"/>
      <c r="F621" s="19"/>
      <c r="G621" s="19"/>
      <c r="H621" s="19"/>
      <c r="I621" s="19"/>
      <c r="J621" s="19"/>
      <c r="K621" s="19"/>
      <c r="L621" s="19"/>
      <c r="M621" s="19"/>
      <c r="N621" s="19"/>
      <c r="O621" s="19"/>
      <c r="P621" s="19"/>
    </row>
    <row r="622">
      <c r="A622" s="19"/>
      <c r="B622" s="19"/>
      <c r="C622" s="19"/>
      <c r="D622" s="19"/>
      <c r="E622" s="19"/>
      <c r="F622" s="19"/>
      <c r="G622" s="19"/>
      <c r="H622" s="19"/>
      <c r="I622" s="19"/>
      <c r="J622" s="19"/>
      <c r="K622" s="19"/>
      <c r="L622" s="19"/>
      <c r="M622" s="19"/>
      <c r="N622" s="19"/>
      <c r="O622" s="19"/>
      <c r="P622" s="19"/>
    </row>
    <row r="623">
      <c r="A623" s="19"/>
      <c r="B623" s="19"/>
      <c r="C623" s="19"/>
      <c r="D623" s="19"/>
      <c r="E623" s="19"/>
      <c r="F623" s="19"/>
      <c r="G623" s="19"/>
      <c r="H623" s="19"/>
      <c r="I623" s="19"/>
      <c r="J623" s="19"/>
      <c r="K623" s="19"/>
      <c r="L623" s="19"/>
      <c r="M623" s="19"/>
      <c r="N623" s="19"/>
      <c r="O623" s="19"/>
      <c r="P623" s="19"/>
    </row>
    <row r="624">
      <c r="A624" s="19"/>
      <c r="B624" s="19"/>
      <c r="C624" s="19"/>
      <c r="D624" s="19"/>
      <c r="E624" s="19"/>
      <c r="F624" s="19"/>
      <c r="G624" s="19"/>
      <c r="H624" s="19"/>
      <c r="I624" s="19"/>
      <c r="J624" s="19"/>
      <c r="K624" s="19"/>
      <c r="L624" s="19"/>
      <c r="M624" s="19"/>
      <c r="N624" s="19"/>
      <c r="O624" s="19"/>
      <c r="P624" s="19"/>
    </row>
    <row r="625">
      <c r="A625" s="19"/>
      <c r="B625" s="19"/>
      <c r="C625" s="19"/>
      <c r="D625" s="19"/>
      <c r="E625" s="19"/>
      <c r="F625" s="19"/>
      <c r="G625" s="19"/>
      <c r="H625" s="19"/>
      <c r="I625" s="19"/>
      <c r="J625" s="19"/>
      <c r="K625" s="19"/>
      <c r="L625" s="19"/>
      <c r="M625" s="19"/>
      <c r="N625" s="19"/>
      <c r="O625" s="19"/>
      <c r="P625" s="19"/>
    </row>
    <row r="626">
      <c r="A626" s="19"/>
      <c r="B626" s="19"/>
      <c r="C626" s="19"/>
      <c r="D626" s="19"/>
      <c r="E626" s="19"/>
      <c r="F626" s="19"/>
      <c r="G626" s="19"/>
      <c r="H626" s="19"/>
      <c r="I626" s="19"/>
      <c r="J626" s="19"/>
      <c r="K626" s="19"/>
      <c r="L626" s="19"/>
      <c r="M626" s="19"/>
      <c r="N626" s="19"/>
      <c r="O626" s="19"/>
      <c r="P626" s="19"/>
    </row>
    <row r="627">
      <c r="A627" s="19"/>
      <c r="B627" s="19"/>
      <c r="C627" s="19"/>
      <c r="D627" s="19"/>
      <c r="E627" s="19"/>
      <c r="F627" s="19"/>
      <c r="G627" s="19"/>
      <c r="H627" s="19"/>
      <c r="I627" s="19"/>
      <c r="J627" s="19"/>
      <c r="K627" s="19"/>
      <c r="L627" s="19"/>
      <c r="M627" s="19"/>
      <c r="N627" s="19"/>
      <c r="O627" s="19"/>
      <c r="P627" s="19"/>
    </row>
    <row r="628">
      <c r="A628" s="19"/>
      <c r="B628" s="19"/>
      <c r="C628" s="19"/>
      <c r="D628" s="19"/>
      <c r="E628" s="19"/>
      <c r="F628" s="19"/>
      <c r="G628" s="19"/>
      <c r="H628" s="19"/>
      <c r="I628" s="19"/>
      <c r="J628" s="19"/>
      <c r="K628" s="19"/>
      <c r="L628" s="19"/>
      <c r="M628" s="19"/>
      <c r="N628" s="19"/>
      <c r="O628" s="19"/>
      <c r="P628" s="19"/>
    </row>
    <row r="629">
      <c r="A629" s="19"/>
      <c r="B629" s="19"/>
      <c r="C629" s="19"/>
      <c r="D629" s="19"/>
      <c r="E629" s="19"/>
      <c r="F629" s="19"/>
      <c r="G629" s="19"/>
      <c r="H629" s="19"/>
      <c r="I629" s="19"/>
      <c r="J629" s="19"/>
      <c r="K629" s="19"/>
      <c r="L629" s="19"/>
      <c r="M629" s="19"/>
      <c r="N629" s="19"/>
      <c r="O629" s="19"/>
      <c r="P629" s="19"/>
    </row>
    <row r="630">
      <c r="A630" s="19"/>
      <c r="B630" s="19"/>
      <c r="C630" s="19"/>
      <c r="D630" s="19"/>
      <c r="E630" s="19"/>
      <c r="F630" s="19"/>
      <c r="G630" s="19"/>
      <c r="H630" s="19"/>
      <c r="I630" s="19"/>
      <c r="J630" s="19"/>
      <c r="K630" s="19"/>
      <c r="L630" s="19"/>
      <c r="M630" s="19"/>
      <c r="N630" s="19"/>
      <c r="O630" s="19"/>
      <c r="P630" s="19"/>
    </row>
    <row r="631">
      <c r="A631" s="19"/>
      <c r="B631" s="19"/>
      <c r="C631" s="19"/>
      <c r="D631" s="19"/>
      <c r="E631" s="19"/>
      <c r="F631" s="19"/>
      <c r="G631" s="19"/>
      <c r="H631" s="19"/>
      <c r="I631" s="19"/>
      <c r="J631" s="19"/>
      <c r="K631" s="19"/>
      <c r="L631" s="19"/>
      <c r="M631" s="19"/>
      <c r="N631" s="19"/>
      <c r="O631" s="19"/>
      <c r="P631" s="19"/>
    </row>
    <row r="632">
      <c r="A632" s="19"/>
      <c r="B632" s="19"/>
      <c r="C632" s="19"/>
      <c r="D632" s="19"/>
      <c r="E632" s="19"/>
      <c r="F632" s="19"/>
      <c r="G632" s="19"/>
      <c r="H632" s="19"/>
      <c r="I632" s="19"/>
      <c r="J632" s="19"/>
      <c r="K632" s="19"/>
      <c r="L632" s="19"/>
      <c r="M632" s="19"/>
      <c r="N632" s="19"/>
      <c r="O632" s="19"/>
      <c r="P632" s="19"/>
    </row>
    <row r="633">
      <c r="A633" s="19"/>
      <c r="B633" s="19"/>
      <c r="C633" s="19"/>
      <c r="D633" s="19"/>
      <c r="E633" s="19"/>
      <c r="F633" s="19"/>
      <c r="G633" s="19"/>
      <c r="H633" s="19"/>
      <c r="I633" s="19"/>
      <c r="J633" s="19"/>
      <c r="K633" s="19"/>
      <c r="L633" s="19"/>
      <c r="M633" s="19"/>
      <c r="N633" s="19"/>
      <c r="O633" s="19"/>
      <c r="P633" s="19"/>
    </row>
    <row r="634">
      <c r="A634" s="19"/>
      <c r="B634" s="19"/>
      <c r="C634" s="19"/>
      <c r="D634" s="19"/>
      <c r="E634" s="19"/>
      <c r="F634" s="19"/>
      <c r="G634" s="19"/>
      <c r="H634" s="19"/>
      <c r="I634" s="19"/>
      <c r="J634" s="19"/>
      <c r="K634" s="19"/>
      <c r="L634" s="19"/>
      <c r="M634" s="19"/>
      <c r="N634" s="19"/>
      <c r="O634" s="19"/>
      <c r="P634" s="19"/>
    </row>
    <row r="635">
      <c r="A635" s="19"/>
      <c r="B635" s="19"/>
      <c r="C635" s="19"/>
      <c r="D635" s="19"/>
      <c r="E635" s="19"/>
      <c r="F635" s="19"/>
      <c r="G635" s="19"/>
      <c r="H635" s="19"/>
      <c r="I635" s="19"/>
      <c r="J635" s="19"/>
      <c r="K635" s="19"/>
      <c r="L635" s="19"/>
      <c r="M635" s="19"/>
      <c r="N635" s="19"/>
      <c r="O635" s="19"/>
      <c r="P635" s="19"/>
    </row>
    <row r="636">
      <c r="A636" s="19"/>
      <c r="B636" s="19"/>
      <c r="C636" s="19"/>
      <c r="D636" s="19"/>
      <c r="E636" s="19"/>
      <c r="F636" s="19"/>
      <c r="G636" s="19"/>
      <c r="H636" s="19"/>
      <c r="I636" s="19"/>
      <c r="J636" s="19"/>
      <c r="K636" s="19"/>
      <c r="L636" s="19"/>
      <c r="M636" s="19"/>
      <c r="N636" s="19"/>
      <c r="O636" s="19"/>
      <c r="P636" s="19"/>
    </row>
    <row r="637">
      <c r="A637" s="19"/>
      <c r="B637" s="19"/>
      <c r="C637" s="19"/>
      <c r="D637" s="19"/>
      <c r="E637" s="19"/>
      <c r="F637" s="19"/>
      <c r="G637" s="19"/>
      <c r="H637" s="19"/>
      <c r="I637" s="19"/>
      <c r="J637" s="19"/>
      <c r="K637" s="19"/>
      <c r="L637" s="19"/>
      <c r="M637" s="19"/>
      <c r="N637" s="19"/>
      <c r="O637" s="19"/>
      <c r="P637" s="19"/>
    </row>
    <row r="638">
      <c r="A638" s="19"/>
      <c r="B638" s="19"/>
      <c r="C638" s="19"/>
      <c r="D638" s="19"/>
      <c r="E638" s="19"/>
      <c r="F638" s="19"/>
      <c r="G638" s="19"/>
      <c r="H638" s="19"/>
      <c r="I638" s="19"/>
      <c r="J638" s="19"/>
      <c r="K638" s="19"/>
      <c r="L638" s="19"/>
      <c r="M638" s="19"/>
      <c r="N638" s="19"/>
      <c r="O638" s="19"/>
      <c r="P638" s="19"/>
    </row>
    <row r="639">
      <c r="A639" s="19"/>
      <c r="B639" s="19"/>
      <c r="C639" s="19"/>
      <c r="D639" s="19"/>
      <c r="E639" s="19"/>
      <c r="F639" s="19"/>
      <c r="G639" s="19"/>
      <c r="H639" s="19"/>
      <c r="I639" s="19"/>
      <c r="J639" s="19"/>
      <c r="K639" s="19"/>
      <c r="L639" s="19"/>
      <c r="M639" s="19"/>
      <c r="N639" s="19"/>
      <c r="O639" s="19"/>
      <c r="P639" s="19"/>
    </row>
    <row r="640">
      <c r="A640" s="19"/>
      <c r="B640" s="19"/>
      <c r="C640" s="19"/>
      <c r="D640" s="19"/>
      <c r="E640" s="19"/>
      <c r="F640" s="19"/>
      <c r="G640" s="19"/>
      <c r="H640" s="19"/>
      <c r="I640" s="19"/>
      <c r="J640" s="19"/>
      <c r="K640" s="19"/>
      <c r="L640" s="19"/>
      <c r="M640" s="19"/>
      <c r="N640" s="19"/>
      <c r="O640" s="19"/>
      <c r="P640" s="19"/>
    </row>
    <row r="641">
      <c r="A641" s="19"/>
      <c r="B641" s="19"/>
      <c r="C641" s="19"/>
      <c r="D641" s="19"/>
      <c r="E641" s="19"/>
      <c r="F641" s="19"/>
      <c r="G641" s="19"/>
      <c r="H641" s="19"/>
      <c r="I641" s="19"/>
      <c r="J641" s="19"/>
      <c r="K641" s="19"/>
      <c r="L641" s="19"/>
      <c r="M641" s="19"/>
      <c r="N641" s="19"/>
      <c r="O641" s="19"/>
      <c r="P641" s="19"/>
    </row>
    <row r="642">
      <c r="A642" s="19"/>
      <c r="B642" s="19"/>
      <c r="C642" s="19"/>
      <c r="D642" s="19"/>
      <c r="E642" s="19"/>
      <c r="F642" s="19"/>
      <c r="G642" s="19"/>
      <c r="H642" s="19"/>
      <c r="I642" s="19"/>
      <c r="J642" s="19"/>
      <c r="K642" s="19"/>
      <c r="L642" s="19"/>
      <c r="M642" s="19"/>
      <c r="N642" s="19"/>
      <c r="O642" s="19"/>
      <c r="P642" s="19"/>
    </row>
    <row r="643">
      <c r="A643" s="19"/>
      <c r="B643" s="19"/>
      <c r="C643" s="19"/>
      <c r="D643" s="19"/>
      <c r="E643" s="19"/>
      <c r="F643" s="19"/>
      <c r="G643" s="19"/>
      <c r="H643" s="19"/>
      <c r="I643" s="19"/>
      <c r="J643" s="19"/>
      <c r="K643" s="19"/>
      <c r="L643" s="19"/>
      <c r="M643" s="19"/>
      <c r="N643" s="19"/>
      <c r="O643" s="19"/>
      <c r="P643" s="19"/>
    </row>
    <row r="644">
      <c r="A644" s="19"/>
      <c r="B644" s="19"/>
      <c r="C644" s="19"/>
      <c r="D644" s="19"/>
      <c r="E644" s="19"/>
      <c r="F644" s="19"/>
      <c r="G644" s="19"/>
      <c r="H644" s="19"/>
      <c r="I644" s="19"/>
      <c r="J644" s="19"/>
      <c r="K644" s="19"/>
      <c r="L644" s="19"/>
      <c r="M644" s="19"/>
      <c r="N644" s="19"/>
      <c r="O644" s="19"/>
      <c r="P644" s="19"/>
    </row>
    <row r="645">
      <c r="A645" s="19"/>
      <c r="B645" s="19"/>
      <c r="C645" s="19"/>
      <c r="D645" s="19"/>
      <c r="E645" s="19"/>
      <c r="F645" s="19"/>
      <c r="G645" s="19"/>
      <c r="H645" s="19"/>
      <c r="I645" s="19"/>
      <c r="J645" s="19"/>
      <c r="K645" s="19"/>
      <c r="L645" s="19"/>
      <c r="M645" s="19"/>
      <c r="N645" s="19"/>
      <c r="O645" s="19"/>
      <c r="P645" s="19"/>
    </row>
    <row r="646">
      <c r="A646" s="19"/>
      <c r="B646" s="19"/>
      <c r="C646" s="19"/>
      <c r="D646" s="19"/>
      <c r="E646" s="19"/>
      <c r="F646" s="19"/>
      <c r="G646" s="19"/>
      <c r="H646" s="19"/>
      <c r="I646" s="19"/>
      <c r="J646" s="19"/>
      <c r="K646" s="19"/>
      <c r="L646" s="19"/>
      <c r="M646" s="19"/>
      <c r="N646" s="19"/>
      <c r="O646" s="19"/>
      <c r="P646" s="19"/>
    </row>
    <row r="647">
      <c r="A647" s="19"/>
      <c r="B647" s="19"/>
      <c r="C647" s="19"/>
      <c r="D647" s="19"/>
      <c r="E647" s="19"/>
      <c r="F647" s="19"/>
      <c r="G647" s="19"/>
      <c r="H647" s="19"/>
      <c r="I647" s="19"/>
      <c r="J647" s="19"/>
      <c r="K647" s="19"/>
      <c r="L647" s="19"/>
      <c r="M647" s="19"/>
      <c r="N647" s="19"/>
      <c r="O647" s="19"/>
      <c r="P647" s="19"/>
    </row>
    <row r="648">
      <c r="A648" s="19"/>
      <c r="B648" s="19"/>
      <c r="C648" s="19"/>
      <c r="D648" s="19"/>
      <c r="E648" s="19"/>
      <c r="F648" s="19"/>
      <c r="G648" s="19"/>
      <c r="H648" s="19"/>
      <c r="I648" s="19"/>
      <c r="J648" s="19"/>
      <c r="K648" s="19"/>
      <c r="L648" s="19"/>
      <c r="M648" s="19"/>
      <c r="N648" s="19"/>
      <c r="O648" s="19"/>
      <c r="P648" s="19"/>
    </row>
    <row r="649">
      <c r="A649" s="19"/>
      <c r="B649" s="19"/>
      <c r="C649" s="19"/>
      <c r="D649" s="19"/>
      <c r="E649" s="19"/>
      <c r="F649" s="19"/>
      <c r="G649" s="19"/>
      <c r="H649" s="19"/>
      <c r="I649" s="19"/>
      <c r="J649" s="19"/>
      <c r="K649" s="19"/>
      <c r="L649" s="19"/>
      <c r="M649" s="19"/>
      <c r="N649" s="19"/>
      <c r="O649" s="19"/>
      <c r="P649" s="19"/>
    </row>
    <row r="650">
      <c r="A650" s="19"/>
      <c r="B650" s="19"/>
      <c r="C650" s="19"/>
      <c r="D650" s="19"/>
      <c r="E650" s="19"/>
      <c r="F650" s="19"/>
      <c r="G650" s="19"/>
      <c r="H650" s="19"/>
      <c r="I650" s="19"/>
      <c r="J650" s="19"/>
      <c r="K650" s="19"/>
      <c r="L650" s="19"/>
      <c r="M650" s="19"/>
      <c r="N650" s="19"/>
      <c r="O650" s="19"/>
      <c r="P650" s="19"/>
    </row>
    <row r="651">
      <c r="A651" s="19"/>
      <c r="B651" s="19"/>
      <c r="C651" s="19"/>
      <c r="D651" s="19"/>
      <c r="E651" s="19"/>
      <c r="F651" s="19"/>
      <c r="G651" s="19"/>
      <c r="H651" s="19"/>
      <c r="I651" s="19"/>
      <c r="J651" s="19"/>
      <c r="K651" s="19"/>
      <c r="L651" s="19"/>
      <c r="M651" s="19"/>
      <c r="N651" s="19"/>
      <c r="O651" s="19"/>
      <c r="P651" s="19"/>
    </row>
    <row r="652">
      <c r="A652" s="19"/>
      <c r="B652" s="19"/>
      <c r="C652" s="19"/>
      <c r="D652" s="19"/>
      <c r="E652" s="19"/>
      <c r="F652" s="19"/>
      <c r="G652" s="19"/>
      <c r="H652" s="19"/>
      <c r="I652" s="19"/>
      <c r="J652" s="19"/>
      <c r="K652" s="19"/>
      <c r="L652" s="19"/>
      <c r="M652" s="19"/>
      <c r="N652" s="19"/>
      <c r="O652" s="19"/>
      <c r="P652" s="19"/>
    </row>
    <row r="653">
      <c r="A653" s="19"/>
      <c r="B653" s="19"/>
      <c r="C653" s="19"/>
      <c r="D653" s="19"/>
      <c r="E653" s="19"/>
      <c r="F653" s="19"/>
      <c r="G653" s="19"/>
      <c r="H653" s="19"/>
      <c r="I653" s="19"/>
      <c r="J653" s="19"/>
      <c r="K653" s="19"/>
      <c r="L653" s="19"/>
      <c r="M653" s="19"/>
      <c r="N653" s="19"/>
      <c r="O653" s="19"/>
      <c r="P653" s="19"/>
    </row>
    <row r="654">
      <c r="A654" s="19"/>
      <c r="B654" s="19"/>
      <c r="C654" s="19"/>
      <c r="D654" s="19"/>
      <c r="E654" s="19"/>
      <c r="F654" s="19"/>
      <c r="G654" s="19"/>
      <c r="H654" s="19"/>
      <c r="I654" s="19"/>
      <c r="J654" s="19"/>
      <c r="K654" s="19"/>
      <c r="L654" s="19"/>
      <c r="M654" s="19"/>
      <c r="N654" s="19"/>
      <c r="O654" s="19"/>
      <c r="P654" s="19"/>
    </row>
    <row r="655">
      <c r="A655" s="19"/>
      <c r="B655" s="19"/>
      <c r="C655" s="19"/>
      <c r="D655" s="19"/>
      <c r="E655" s="19"/>
      <c r="F655" s="19"/>
      <c r="G655" s="19"/>
      <c r="H655" s="19"/>
      <c r="I655" s="19"/>
      <c r="J655" s="19"/>
      <c r="K655" s="19"/>
      <c r="L655" s="19"/>
      <c r="M655" s="19"/>
      <c r="N655" s="19"/>
      <c r="O655" s="19"/>
      <c r="P655" s="19"/>
    </row>
    <row r="656">
      <c r="A656" s="19"/>
      <c r="B656" s="19"/>
      <c r="C656" s="19"/>
      <c r="D656" s="19"/>
      <c r="E656" s="19"/>
      <c r="F656" s="19"/>
      <c r="G656" s="19"/>
      <c r="H656" s="19"/>
      <c r="I656" s="19"/>
      <c r="J656" s="19"/>
      <c r="K656" s="19"/>
      <c r="L656" s="19"/>
      <c r="M656" s="19"/>
      <c r="N656" s="19"/>
      <c r="O656" s="19"/>
      <c r="P656" s="19"/>
    </row>
    <row r="657">
      <c r="A657" s="19"/>
      <c r="B657" s="19"/>
      <c r="C657" s="19"/>
      <c r="D657" s="19"/>
      <c r="E657" s="19"/>
      <c r="F657" s="19"/>
      <c r="G657" s="19"/>
      <c r="H657" s="19"/>
      <c r="I657" s="19"/>
      <c r="J657" s="19"/>
      <c r="K657" s="19"/>
      <c r="L657" s="19"/>
      <c r="M657" s="19"/>
      <c r="N657" s="19"/>
      <c r="O657" s="19"/>
      <c r="P657" s="19"/>
    </row>
    <row r="658">
      <c r="A658" s="19"/>
      <c r="B658" s="19"/>
      <c r="C658" s="19"/>
      <c r="D658" s="19"/>
      <c r="E658" s="19"/>
      <c r="F658" s="19"/>
      <c r="G658" s="19"/>
      <c r="H658" s="19"/>
      <c r="I658" s="19"/>
      <c r="J658" s="19"/>
      <c r="K658" s="19"/>
      <c r="L658" s="19"/>
      <c r="M658" s="19"/>
      <c r="N658" s="19"/>
      <c r="O658" s="19"/>
      <c r="P658" s="19"/>
    </row>
    <row r="659">
      <c r="A659" s="19"/>
      <c r="B659" s="19"/>
      <c r="C659" s="19"/>
      <c r="D659" s="19"/>
      <c r="E659" s="19"/>
      <c r="F659" s="19"/>
      <c r="G659" s="19"/>
      <c r="H659" s="19"/>
      <c r="I659" s="19"/>
      <c r="J659" s="19"/>
      <c r="K659" s="19"/>
      <c r="L659" s="19"/>
      <c r="M659" s="19"/>
      <c r="N659" s="19"/>
      <c r="O659" s="19"/>
      <c r="P659" s="19"/>
    </row>
    <row r="660">
      <c r="A660" s="19"/>
      <c r="B660" s="19"/>
      <c r="C660" s="19"/>
      <c r="D660" s="19"/>
      <c r="E660" s="19"/>
      <c r="F660" s="19"/>
      <c r="G660" s="19"/>
      <c r="H660" s="19"/>
      <c r="I660" s="19"/>
      <c r="J660" s="19"/>
      <c r="K660" s="19"/>
      <c r="L660" s="19"/>
      <c r="M660" s="19"/>
      <c r="N660" s="19"/>
      <c r="O660" s="19"/>
      <c r="P660" s="19"/>
    </row>
    <row r="661">
      <c r="A661" s="19"/>
      <c r="B661" s="19"/>
      <c r="C661" s="19"/>
      <c r="D661" s="19"/>
      <c r="E661" s="19"/>
      <c r="F661" s="19"/>
      <c r="G661" s="19"/>
      <c r="H661" s="19"/>
      <c r="I661" s="19"/>
      <c r="J661" s="19"/>
      <c r="K661" s="19"/>
      <c r="L661" s="19"/>
      <c r="M661" s="19"/>
      <c r="N661" s="19"/>
      <c r="O661" s="19"/>
      <c r="P661" s="19"/>
    </row>
    <row r="662">
      <c r="A662" s="19"/>
      <c r="B662" s="19"/>
      <c r="C662" s="19"/>
      <c r="D662" s="19"/>
      <c r="E662" s="19"/>
      <c r="F662" s="19"/>
      <c r="G662" s="19"/>
      <c r="H662" s="19"/>
      <c r="I662" s="19"/>
      <c r="J662" s="19"/>
      <c r="K662" s="19"/>
      <c r="L662" s="19"/>
      <c r="M662" s="19"/>
      <c r="N662" s="19"/>
      <c r="O662" s="19"/>
      <c r="P662" s="19"/>
    </row>
    <row r="663">
      <c r="A663" s="19"/>
      <c r="B663" s="19"/>
      <c r="C663" s="19"/>
      <c r="D663" s="19"/>
      <c r="E663" s="19"/>
      <c r="F663" s="19"/>
      <c r="G663" s="19"/>
      <c r="H663" s="19"/>
      <c r="I663" s="19"/>
      <c r="J663" s="19"/>
      <c r="K663" s="19"/>
      <c r="L663" s="19"/>
      <c r="M663" s="19"/>
      <c r="N663" s="19"/>
      <c r="O663" s="19"/>
      <c r="P663" s="19"/>
    </row>
    <row r="664">
      <c r="A664" s="19"/>
      <c r="B664" s="19"/>
      <c r="C664" s="19"/>
      <c r="D664" s="19"/>
      <c r="E664" s="19"/>
      <c r="F664" s="19"/>
      <c r="G664" s="19"/>
      <c r="H664" s="19"/>
      <c r="I664" s="19"/>
      <c r="J664" s="19"/>
      <c r="K664" s="19"/>
      <c r="L664" s="19"/>
      <c r="M664" s="19"/>
      <c r="N664" s="19"/>
      <c r="O664" s="19"/>
      <c r="P664" s="19"/>
    </row>
    <row r="665">
      <c r="A665" s="19"/>
      <c r="B665" s="19"/>
      <c r="C665" s="19"/>
      <c r="D665" s="19"/>
      <c r="E665" s="19"/>
      <c r="F665" s="19"/>
      <c r="G665" s="19"/>
      <c r="H665" s="19"/>
      <c r="I665" s="19"/>
      <c r="J665" s="19"/>
      <c r="K665" s="19"/>
      <c r="L665" s="19"/>
      <c r="M665" s="19"/>
      <c r="N665" s="19"/>
      <c r="O665" s="19"/>
      <c r="P665" s="19"/>
    </row>
    <row r="666">
      <c r="A666" s="19"/>
      <c r="B666" s="19"/>
      <c r="C666" s="19"/>
      <c r="D666" s="19"/>
      <c r="E666" s="19"/>
      <c r="F666" s="19"/>
      <c r="G666" s="19"/>
      <c r="H666" s="19"/>
      <c r="I666" s="19"/>
      <c r="J666" s="19"/>
      <c r="K666" s="19"/>
      <c r="L666" s="19"/>
      <c r="M666" s="19"/>
      <c r="N666" s="19"/>
      <c r="O666" s="19"/>
      <c r="P666" s="19"/>
    </row>
    <row r="667">
      <c r="A667" s="19"/>
      <c r="B667" s="19"/>
      <c r="C667" s="19"/>
      <c r="D667" s="19"/>
      <c r="E667" s="19"/>
      <c r="F667" s="19"/>
      <c r="G667" s="19"/>
      <c r="H667" s="19"/>
      <c r="I667" s="19"/>
      <c r="J667" s="19"/>
      <c r="K667" s="19"/>
      <c r="L667" s="19"/>
      <c r="M667" s="19"/>
      <c r="N667" s="19"/>
      <c r="O667" s="19"/>
      <c r="P667" s="19"/>
    </row>
    <row r="668">
      <c r="A668" s="19"/>
      <c r="B668" s="19"/>
      <c r="C668" s="19"/>
      <c r="D668" s="19"/>
      <c r="E668" s="19"/>
      <c r="F668" s="19"/>
      <c r="G668" s="19"/>
      <c r="H668" s="19"/>
      <c r="I668" s="19"/>
      <c r="J668" s="19"/>
      <c r="K668" s="19"/>
      <c r="L668" s="19"/>
      <c r="M668" s="19"/>
      <c r="N668" s="19"/>
      <c r="O668" s="19"/>
      <c r="P668" s="19"/>
    </row>
    <row r="669">
      <c r="A669" s="19"/>
      <c r="B669" s="19"/>
      <c r="C669" s="19"/>
      <c r="D669" s="19"/>
      <c r="E669" s="19"/>
      <c r="F669" s="19"/>
      <c r="G669" s="19"/>
      <c r="H669" s="19"/>
      <c r="I669" s="19"/>
      <c r="J669" s="19"/>
      <c r="K669" s="19"/>
      <c r="L669" s="19"/>
      <c r="M669" s="19"/>
      <c r="N669" s="19"/>
      <c r="O669" s="19"/>
      <c r="P669" s="19"/>
    </row>
    <row r="670">
      <c r="A670" s="19"/>
      <c r="B670" s="19"/>
      <c r="C670" s="19"/>
      <c r="D670" s="19"/>
      <c r="E670" s="19"/>
      <c r="F670" s="19"/>
      <c r="G670" s="19"/>
      <c r="H670" s="19"/>
      <c r="I670" s="19"/>
      <c r="J670" s="19"/>
      <c r="K670" s="19"/>
      <c r="L670" s="19"/>
      <c r="M670" s="19"/>
      <c r="N670" s="19"/>
      <c r="O670" s="19"/>
      <c r="P670" s="19"/>
    </row>
    <row r="671">
      <c r="A671" s="19"/>
      <c r="B671" s="19"/>
      <c r="C671" s="19"/>
      <c r="D671" s="19"/>
      <c r="E671" s="19"/>
      <c r="F671" s="19"/>
      <c r="G671" s="19"/>
      <c r="H671" s="19"/>
      <c r="I671" s="19"/>
      <c r="J671" s="19"/>
      <c r="K671" s="19"/>
      <c r="L671" s="19"/>
      <c r="M671" s="19"/>
      <c r="N671" s="19"/>
      <c r="O671" s="19"/>
      <c r="P671" s="19"/>
    </row>
    <row r="672">
      <c r="A672" s="19"/>
      <c r="B672" s="19"/>
      <c r="C672" s="19"/>
      <c r="D672" s="19"/>
      <c r="E672" s="19"/>
      <c r="F672" s="19"/>
      <c r="G672" s="19"/>
      <c r="H672" s="19"/>
      <c r="I672" s="19"/>
      <c r="J672" s="19"/>
      <c r="K672" s="19"/>
      <c r="L672" s="19"/>
      <c r="M672" s="19"/>
      <c r="N672" s="19"/>
      <c r="O672" s="19"/>
      <c r="P672" s="19"/>
    </row>
    <row r="673">
      <c r="A673" s="19"/>
      <c r="B673" s="19"/>
      <c r="C673" s="19"/>
      <c r="D673" s="19"/>
      <c r="E673" s="19"/>
      <c r="F673" s="19"/>
      <c r="G673" s="19"/>
      <c r="H673" s="19"/>
      <c r="I673" s="19"/>
      <c r="J673" s="19"/>
      <c r="K673" s="19"/>
      <c r="L673" s="19"/>
      <c r="M673" s="19"/>
      <c r="N673" s="19"/>
      <c r="O673" s="19"/>
      <c r="P673" s="19"/>
    </row>
    <row r="674">
      <c r="A674" s="19"/>
      <c r="B674" s="19"/>
      <c r="C674" s="19"/>
      <c r="D674" s="19"/>
      <c r="E674" s="19"/>
      <c r="F674" s="19"/>
      <c r="G674" s="19"/>
      <c r="H674" s="19"/>
      <c r="I674" s="19"/>
      <c r="J674" s="19"/>
      <c r="K674" s="19"/>
      <c r="L674" s="19"/>
      <c r="M674" s="19"/>
      <c r="N674" s="19"/>
      <c r="O674" s="19"/>
      <c r="P674" s="19"/>
    </row>
    <row r="675">
      <c r="A675" s="19"/>
      <c r="B675" s="19"/>
      <c r="C675" s="19"/>
      <c r="D675" s="19"/>
      <c r="E675" s="19"/>
      <c r="F675" s="19"/>
      <c r="G675" s="19"/>
      <c r="H675" s="19"/>
      <c r="I675" s="19"/>
      <c r="J675" s="19"/>
      <c r="K675" s="19"/>
      <c r="L675" s="19"/>
      <c r="M675" s="19"/>
      <c r="N675" s="19"/>
      <c r="O675" s="19"/>
      <c r="P675" s="19"/>
    </row>
    <row r="676">
      <c r="A676" s="19"/>
      <c r="B676" s="19"/>
      <c r="C676" s="19"/>
      <c r="D676" s="19"/>
      <c r="E676" s="19"/>
      <c r="F676" s="19"/>
      <c r="G676" s="19"/>
      <c r="H676" s="19"/>
      <c r="I676" s="19"/>
      <c r="J676" s="19"/>
      <c r="K676" s="19"/>
      <c r="L676" s="19"/>
      <c r="M676" s="19"/>
      <c r="N676" s="19"/>
      <c r="O676" s="19"/>
      <c r="P676" s="19"/>
    </row>
    <row r="677">
      <c r="A677" s="19"/>
      <c r="B677" s="19"/>
      <c r="C677" s="19"/>
      <c r="D677" s="19"/>
      <c r="E677" s="19"/>
      <c r="F677" s="19"/>
      <c r="G677" s="19"/>
      <c r="H677" s="19"/>
      <c r="I677" s="19"/>
      <c r="J677" s="19"/>
      <c r="K677" s="19"/>
      <c r="L677" s="19"/>
      <c r="M677" s="19"/>
      <c r="N677" s="19"/>
      <c r="O677" s="19"/>
      <c r="P677" s="19"/>
    </row>
    <row r="678">
      <c r="A678" s="19"/>
      <c r="B678" s="19"/>
      <c r="C678" s="19"/>
      <c r="D678" s="19"/>
      <c r="E678" s="19"/>
      <c r="F678" s="19"/>
      <c r="G678" s="19"/>
      <c r="H678" s="19"/>
      <c r="I678" s="19"/>
      <c r="J678" s="19"/>
      <c r="K678" s="19"/>
      <c r="L678" s="19"/>
      <c r="M678" s="19"/>
      <c r="N678" s="19"/>
      <c r="O678" s="19"/>
      <c r="P678" s="19"/>
    </row>
    <row r="679">
      <c r="A679" s="19"/>
      <c r="B679" s="19"/>
      <c r="C679" s="19"/>
      <c r="D679" s="19"/>
      <c r="E679" s="19"/>
      <c r="F679" s="19"/>
      <c r="G679" s="19"/>
      <c r="H679" s="19"/>
      <c r="I679" s="19"/>
      <c r="J679" s="19"/>
      <c r="K679" s="19"/>
      <c r="L679" s="19"/>
      <c r="M679" s="19"/>
      <c r="N679" s="19"/>
      <c r="O679" s="19"/>
      <c r="P679" s="19"/>
    </row>
    <row r="680">
      <c r="A680" s="19"/>
      <c r="B680" s="19"/>
      <c r="C680" s="19"/>
      <c r="D680" s="19"/>
      <c r="E680" s="19"/>
      <c r="F680" s="19"/>
      <c r="G680" s="19"/>
      <c r="H680" s="19"/>
      <c r="I680" s="19"/>
      <c r="J680" s="19"/>
      <c r="K680" s="19"/>
      <c r="L680" s="19"/>
      <c r="M680" s="19"/>
      <c r="N680" s="19"/>
      <c r="O680" s="19"/>
      <c r="P680" s="19"/>
    </row>
    <row r="681">
      <c r="A681" s="19"/>
      <c r="B681" s="19"/>
      <c r="C681" s="19"/>
      <c r="D681" s="19"/>
      <c r="E681" s="19"/>
      <c r="F681" s="19"/>
      <c r="G681" s="19"/>
      <c r="H681" s="19"/>
      <c r="I681" s="19"/>
      <c r="J681" s="19"/>
      <c r="K681" s="19"/>
      <c r="L681" s="19"/>
      <c r="M681" s="19"/>
      <c r="N681" s="19"/>
      <c r="O681" s="19"/>
      <c r="P681" s="19"/>
    </row>
    <row r="682">
      <c r="A682" s="19"/>
      <c r="B682" s="19"/>
      <c r="C682" s="19"/>
      <c r="D682" s="19"/>
      <c r="E682" s="19"/>
      <c r="F682" s="19"/>
      <c r="G682" s="19"/>
      <c r="H682" s="19"/>
      <c r="I682" s="19"/>
      <c r="J682" s="19"/>
      <c r="K682" s="19"/>
      <c r="L682" s="19"/>
      <c r="M682" s="19"/>
      <c r="N682" s="19"/>
      <c r="O682" s="19"/>
      <c r="P682" s="19"/>
    </row>
    <row r="683">
      <c r="A683" s="19"/>
      <c r="B683" s="19"/>
      <c r="C683" s="19"/>
      <c r="D683" s="19"/>
      <c r="E683" s="19"/>
      <c r="F683" s="19"/>
      <c r="G683" s="19"/>
      <c r="H683" s="19"/>
      <c r="I683" s="19"/>
      <c r="J683" s="19"/>
      <c r="K683" s="19"/>
      <c r="L683" s="19"/>
      <c r="M683" s="19"/>
      <c r="N683" s="19"/>
      <c r="O683" s="19"/>
      <c r="P683" s="19"/>
    </row>
    <row r="684">
      <c r="A684" s="19"/>
      <c r="B684" s="19"/>
      <c r="C684" s="19"/>
      <c r="D684" s="19"/>
      <c r="E684" s="19"/>
      <c r="F684" s="19"/>
      <c r="G684" s="19"/>
      <c r="H684" s="19"/>
      <c r="I684" s="19"/>
      <c r="J684" s="19"/>
      <c r="K684" s="19"/>
      <c r="L684" s="19"/>
      <c r="M684" s="19"/>
      <c r="N684" s="19"/>
      <c r="O684" s="19"/>
      <c r="P684" s="19"/>
    </row>
    <row r="685">
      <c r="A685" s="19"/>
      <c r="B685" s="19"/>
      <c r="C685" s="19"/>
      <c r="D685" s="19"/>
      <c r="E685" s="19"/>
      <c r="F685" s="19"/>
      <c r="G685" s="19"/>
      <c r="H685" s="19"/>
      <c r="I685" s="19"/>
      <c r="J685" s="19"/>
      <c r="K685" s="19"/>
      <c r="L685" s="19"/>
      <c r="M685" s="19"/>
      <c r="N685" s="19"/>
      <c r="O685" s="19"/>
      <c r="P685" s="19"/>
    </row>
    <row r="686">
      <c r="A686" s="19"/>
      <c r="B686" s="19"/>
      <c r="C686" s="19"/>
      <c r="D686" s="19"/>
      <c r="E686" s="19"/>
      <c r="F686" s="19"/>
      <c r="G686" s="19"/>
      <c r="H686" s="19"/>
      <c r="I686" s="19"/>
      <c r="J686" s="19"/>
      <c r="K686" s="19"/>
      <c r="L686" s="19"/>
      <c r="M686" s="19"/>
      <c r="N686" s="19"/>
      <c r="O686" s="19"/>
      <c r="P686" s="19"/>
    </row>
    <row r="687">
      <c r="A687" s="19"/>
      <c r="B687" s="19"/>
      <c r="C687" s="19"/>
      <c r="D687" s="19"/>
      <c r="E687" s="19"/>
      <c r="F687" s="19"/>
      <c r="G687" s="19"/>
      <c r="H687" s="19"/>
      <c r="I687" s="19"/>
      <c r="J687" s="19"/>
      <c r="K687" s="19"/>
      <c r="L687" s="19"/>
      <c r="M687" s="19"/>
      <c r="N687" s="19"/>
      <c r="O687" s="19"/>
      <c r="P687" s="19"/>
    </row>
    <row r="688">
      <c r="A688" s="19"/>
      <c r="B688" s="19"/>
      <c r="C688" s="19"/>
      <c r="D688" s="19"/>
      <c r="E688" s="19"/>
      <c r="F688" s="19"/>
      <c r="G688" s="19"/>
      <c r="H688" s="19"/>
      <c r="I688" s="19"/>
      <c r="J688" s="19"/>
      <c r="K688" s="19"/>
      <c r="L688" s="19"/>
      <c r="M688" s="19"/>
      <c r="N688" s="19"/>
      <c r="O688" s="19"/>
      <c r="P688" s="19"/>
    </row>
    <row r="689">
      <c r="A689" s="19"/>
      <c r="B689" s="19"/>
      <c r="C689" s="19"/>
      <c r="D689" s="19"/>
      <c r="E689" s="19"/>
      <c r="F689" s="19"/>
      <c r="G689" s="19"/>
      <c r="H689" s="19"/>
      <c r="I689" s="19"/>
      <c r="J689" s="19"/>
      <c r="K689" s="19"/>
      <c r="L689" s="19"/>
      <c r="M689" s="19"/>
      <c r="N689" s="19"/>
      <c r="O689" s="19"/>
      <c r="P689" s="19"/>
    </row>
    <row r="690">
      <c r="A690" s="19"/>
      <c r="B690" s="19"/>
      <c r="C690" s="19"/>
      <c r="D690" s="19"/>
      <c r="E690" s="19"/>
      <c r="F690" s="19"/>
      <c r="G690" s="19"/>
      <c r="H690" s="19"/>
      <c r="I690" s="19"/>
      <c r="J690" s="19"/>
      <c r="K690" s="19"/>
      <c r="L690" s="19"/>
      <c r="M690" s="19"/>
      <c r="N690" s="19"/>
      <c r="O690" s="19"/>
      <c r="P690" s="19"/>
    </row>
    <row r="691">
      <c r="A691" s="19"/>
      <c r="B691" s="19"/>
      <c r="C691" s="19"/>
      <c r="D691" s="19"/>
      <c r="E691" s="19"/>
      <c r="F691" s="19"/>
      <c r="G691" s="19"/>
      <c r="H691" s="19"/>
      <c r="I691" s="19"/>
      <c r="J691" s="19"/>
      <c r="K691" s="19"/>
      <c r="L691" s="19"/>
      <c r="M691" s="19"/>
      <c r="N691" s="19"/>
      <c r="O691" s="19"/>
      <c r="P691" s="19"/>
    </row>
    <row r="692">
      <c r="A692" s="19"/>
      <c r="B692" s="19"/>
      <c r="C692" s="19"/>
      <c r="D692" s="19"/>
      <c r="E692" s="19"/>
      <c r="F692" s="19"/>
      <c r="G692" s="19"/>
      <c r="H692" s="19"/>
      <c r="I692" s="19"/>
      <c r="J692" s="19"/>
      <c r="K692" s="19"/>
      <c r="L692" s="19"/>
      <c r="M692" s="19"/>
      <c r="N692" s="19"/>
      <c r="O692" s="19"/>
      <c r="P692" s="19"/>
    </row>
    <row r="693">
      <c r="A693" s="19"/>
      <c r="B693" s="19"/>
      <c r="C693" s="19"/>
      <c r="D693" s="19"/>
      <c r="E693" s="19"/>
      <c r="F693" s="19"/>
      <c r="G693" s="19"/>
      <c r="H693" s="19"/>
      <c r="I693" s="19"/>
      <c r="J693" s="19"/>
      <c r="K693" s="19"/>
      <c r="L693" s="19"/>
      <c r="M693" s="19"/>
      <c r="N693" s="19"/>
      <c r="O693" s="19"/>
      <c r="P693" s="19"/>
    </row>
    <row r="694">
      <c r="A694" s="19"/>
      <c r="B694" s="19"/>
      <c r="C694" s="19"/>
      <c r="D694" s="19"/>
      <c r="E694" s="19"/>
      <c r="F694" s="19"/>
      <c r="G694" s="19"/>
      <c r="H694" s="19"/>
      <c r="I694" s="19"/>
      <c r="J694" s="19"/>
      <c r="K694" s="19"/>
      <c r="L694" s="19"/>
      <c r="M694" s="19"/>
      <c r="N694" s="19"/>
      <c r="O694" s="19"/>
      <c r="P694" s="19"/>
    </row>
    <row r="695">
      <c r="A695" s="19"/>
      <c r="B695" s="19"/>
      <c r="C695" s="19"/>
      <c r="D695" s="19"/>
      <c r="E695" s="19"/>
      <c r="F695" s="19"/>
      <c r="G695" s="19"/>
      <c r="H695" s="19"/>
      <c r="I695" s="19"/>
      <c r="J695" s="19"/>
      <c r="K695" s="19"/>
      <c r="L695" s="19"/>
      <c r="M695" s="19"/>
      <c r="N695" s="19"/>
      <c r="O695" s="19"/>
      <c r="P695" s="19"/>
    </row>
    <row r="696">
      <c r="A696" s="19"/>
      <c r="B696" s="19"/>
      <c r="C696" s="19"/>
      <c r="D696" s="19"/>
      <c r="E696" s="19"/>
      <c r="F696" s="19"/>
      <c r="G696" s="19"/>
      <c r="H696" s="19"/>
      <c r="I696" s="19"/>
      <c r="J696" s="19"/>
      <c r="K696" s="19"/>
      <c r="L696" s="19"/>
      <c r="M696" s="19"/>
      <c r="N696" s="19"/>
      <c r="O696" s="19"/>
      <c r="P696" s="19"/>
    </row>
    <row r="697">
      <c r="A697" s="19"/>
      <c r="B697" s="19"/>
      <c r="C697" s="19"/>
      <c r="D697" s="19"/>
      <c r="E697" s="19"/>
      <c r="F697" s="19"/>
      <c r="G697" s="19"/>
      <c r="H697" s="19"/>
      <c r="I697" s="19"/>
      <c r="J697" s="19"/>
      <c r="K697" s="19"/>
      <c r="L697" s="19"/>
      <c r="M697" s="19"/>
      <c r="N697" s="19"/>
      <c r="O697" s="19"/>
      <c r="P697" s="19"/>
    </row>
    <row r="698">
      <c r="A698" s="19"/>
      <c r="B698" s="19"/>
      <c r="C698" s="19"/>
      <c r="D698" s="19"/>
      <c r="E698" s="19"/>
      <c r="F698" s="19"/>
      <c r="G698" s="19"/>
      <c r="H698" s="19"/>
      <c r="I698" s="19"/>
      <c r="J698" s="19"/>
      <c r="K698" s="19"/>
      <c r="L698" s="19"/>
      <c r="M698" s="19"/>
      <c r="N698" s="19"/>
      <c r="O698" s="19"/>
      <c r="P698" s="19"/>
    </row>
    <row r="699">
      <c r="A699" s="19"/>
      <c r="B699" s="19"/>
      <c r="C699" s="19"/>
      <c r="D699" s="19"/>
      <c r="E699" s="19"/>
      <c r="F699" s="19"/>
      <c r="G699" s="19"/>
      <c r="H699" s="19"/>
      <c r="I699" s="19"/>
      <c r="J699" s="19"/>
      <c r="K699" s="19"/>
      <c r="L699" s="19"/>
      <c r="M699" s="19"/>
      <c r="N699" s="19"/>
      <c r="O699" s="19"/>
      <c r="P699" s="19"/>
    </row>
    <row r="700">
      <c r="A700" s="19"/>
      <c r="B700" s="19"/>
      <c r="C700" s="19"/>
      <c r="D700" s="19"/>
      <c r="E700" s="19"/>
      <c r="F700" s="19"/>
      <c r="G700" s="19"/>
      <c r="H700" s="19"/>
      <c r="I700" s="19"/>
      <c r="J700" s="19"/>
      <c r="K700" s="19"/>
      <c r="L700" s="19"/>
      <c r="M700" s="19"/>
      <c r="N700" s="19"/>
      <c r="O700" s="19"/>
      <c r="P700" s="19"/>
    </row>
    <row r="701">
      <c r="A701" s="19"/>
      <c r="B701" s="19"/>
      <c r="C701" s="19"/>
      <c r="D701" s="19"/>
      <c r="E701" s="19"/>
      <c r="F701" s="19"/>
      <c r="G701" s="19"/>
      <c r="H701" s="19"/>
      <c r="I701" s="19"/>
      <c r="J701" s="19"/>
      <c r="K701" s="19"/>
      <c r="L701" s="19"/>
      <c r="M701" s="19"/>
      <c r="N701" s="19"/>
      <c r="O701" s="19"/>
      <c r="P701" s="19"/>
    </row>
    <row r="702">
      <c r="A702" s="19"/>
      <c r="B702" s="19"/>
      <c r="C702" s="19"/>
      <c r="D702" s="19"/>
      <c r="E702" s="19"/>
      <c r="F702" s="19"/>
      <c r="G702" s="19"/>
      <c r="H702" s="19"/>
      <c r="I702" s="19"/>
      <c r="J702" s="19"/>
      <c r="K702" s="19"/>
      <c r="L702" s="19"/>
      <c r="M702" s="19"/>
      <c r="N702" s="19"/>
      <c r="O702" s="19"/>
      <c r="P702" s="19"/>
    </row>
    <row r="703">
      <c r="A703" s="19"/>
      <c r="B703" s="19"/>
      <c r="C703" s="19"/>
      <c r="D703" s="19"/>
      <c r="E703" s="19"/>
      <c r="F703" s="19"/>
      <c r="G703" s="19"/>
      <c r="H703" s="19"/>
      <c r="I703" s="19"/>
      <c r="J703" s="19"/>
      <c r="K703" s="19"/>
      <c r="L703" s="19"/>
      <c r="M703" s="19"/>
      <c r="N703" s="19"/>
      <c r="O703" s="19"/>
      <c r="P703" s="19"/>
    </row>
    <row r="704">
      <c r="A704" s="19"/>
      <c r="B704" s="19"/>
      <c r="C704" s="19"/>
      <c r="D704" s="19"/>
      <c r="E704" s="19"/>
      <c r="F704" s="19"/>
      <c r="G704" s="19"/>
      <c r="H704" s="19"/>
      <c r="I704" s="19"/>
      <c r="J704" s="19"/>
      <c r="K704" s="19"/>
      <c r="L704" s="19"/>
      <c r="M704" s="19"/>
      <c r="N704" s="19"/>
      <c r="O704" s="19"/>
      <c r="P704" s="19"/>
    </row>
    <row r="705">
      <c r="A705" s="19"/>
      <c r="B705" s="19"/>
      <c r="C705" s="19"/>
      <c r="D705" s="19"/>
      <c r="E705" s="19"/>
      <c r="F705" s="19"/>
      <c r="G705" s="19"/>
      <c r="H705" s="19"/>
      <c r="I705" s="19"/>
      <c r="J705" s="19"/>
      <c r="K705" s="19"/>
      <c r="L705" s="19"/>
      <c r="M705" s="19"/>
      <c r="N705" s="19"/>
      <c r="O705" s="19"/>
      <c r="P705" s="19"/>
    </row>
    <row r="706">
      <c r="A706" s="19"/>
      <c r="B706" s="19"/>
      <c r="C706" s="19"/>
      <c r="D706" s="19"/>
      <c r="E706" s="19"/>
      <c r="F706" s="19"/>
      <c r="G706" s="19"/>
      <c r="H706" s="19"/>
      <c r="I706" s="19"/>
      <c r="J706" s="19"/>
      <c r="K706" s="19"/>
      <c r="L706" s="19"/>
      <c r="M706" s="19"/>
      <c r="N706" s="19"/>
      <c r="O706" s="19"/>
      <c r="P706" s="19"/>
    </row>
    <row r="707">
      <c r="A707" s="19"/>
      <c r="B707" s="19"/>
      <c r="C707" s="19"/>
      <c r="D707" s="19"/>
      <c r="E707" s="19"/>
      <c r="F707" s="19"/>
      <c r="G707" s="19"/>
      <c r="H707" s="19"/>
      <c r="I707" s="19"/>
      <c r="J707" s="19"/>
      <c r="K707" s="19"/>
      <c r="L707" s="19"/>
      <c r="M707" s="19"/>
      <c r="N707" s="19"/>
      <c r="O707" s="19"/>
      <c r="P707" s="19"/>
    </row>
    <row r="708">
      <c r="A708" s="19"/>
      <c r="B708" s="19"/>
      <c r="C708" s="19"/>
      <c r="D708" s="19"/>
      <c r="E708" s="19"/>
      <c r="F708" s="19"/>
      <c r="G708" s="19"/>
      <c r="H708" s="19"/>
      <c r="I708" s="19"/>
      <c r="J708" s="19"/>
      <c r="K708" s="19"/>
      <c r="L708" s="19"/>
      <c r="M708" s="19"/>
      <c r="N708" s="19"/>
      <c r="O708" s="19"/>
      <c r="P708" s="19"/>
    </row>
    <row r="709">
      <c r="A709" s="19"/>
      <c r="B709" s="19"/>
      <c r="C709" s="19"/>
      <c r="D709" s="19"/>
      <c r="E709" s="19"/>
      <c r="F709" s="19"/>
      <c r="G709" s="19"/>
      <c r="H709" s="19"/>
      <c r="I709" s="19"/>
      <c r="J709" s="19"/>
      <c r="K709" s="19"/>
      <c r="L709" s="19"/>
      <c r="M709" s="19"/>
      <c r="N709" s="19"/>
      <c r="O709" s="19"/>
      <c r="P709" s="19"/>
    </row>
    <row r="710">
      <c r="A710" s="19"/>
      <c r="B710" s="19"/>
      <c r="C710" s="19"/>
      <c r="D710" s="19"/>
      <c r="E710" s="19"/>
      <c r="F710" s="19"/>
      <c r="G710" s="19"/>
      <c r="H710" s="19"/>
      <c r="I710" s="19"/>
      <c r="J710" s="19"/>
      <c r="K710" s="19"/>
      <c r="L710" s="19"/>
      <c r="M710" s="19"/>
      <c r="N710" s="19"/>
      <c r="O710" s="19"/>
      <c r="P710" s="19"/>
    </row>
    <row r="711">
      <c r="A711" s="19"/>
      <c r="B711" s="19"/>
      <c r="C711" s="19"/>
      <c r="D711" s="19"/>
      <c r="E711" s="19"/>
      <c r="F711" s="19"/>
      <c r="G711" s="19"/>
      <c r="H711" s="19"/>
      <c r="I711" s="19"/>
      <c r="J711" s="19"/>
      <c r="K711" s="19"/>
      <c r="L711" s="19"/>
      <c r="M711" s="19"/>
      <c r="N711" s="19"/>
      <c r="O711" s="19"/>
      <c r="P711" s="19"/>
    </row>
    <row r="712">
      <c r="A712" s="19"/>
      <c r="B712" s="19"/>
      <c r="C712" s="19"/>
      <c r="D712" s="19"/>
      <c r="E712" s="19"/>
      <c r="F712" s="19"/>
      <c r="G712" s="19"/>
      <c r="H712" s="19"/>
      <c r="I712" s="19"/>
      <c r="J712" s="19"/>
      <c r="K712" s="19"/>
      <c r="L712" s="19"/>
      <c r="M712" s="19"/>
      <c r="N712" s="19"/>
      <c r="O712" s="19"/>
      <c r="P712" s="19"/>
    </row>
    <row r="713">
      <c r="A713" s="19"/>
      <c r="B713" s="19"/>
      <c r="C713" s="19"/>
      <c r="D713" s="19"/>
      <c r="E713" s="19"/>
      <c r="F713" s="19"/>
      <c r="G713" s="19"/>
      <c r="H713" s="19"/>
      <c r="I713" s="19"/>
      <c r="J713" s="19"/>
      <c r="K713" s="19"/>
      <c r="L713" s="19"/>
      <c r="M713" s="19"/>
      <c r="N713" s="19"/>
      <c r="O713" s="19"/>
      <c r="P713" s="19"/>
    </row>
    <row r="714">
      <c r="A714" s="19"/>
      <c r="B714" s="19"/>
      <c r="C714" s="19"/>
      <c r="D714" s="19"/>
      <c r="E714" s="19"/>
      <c r="F714" s="19"/>
      <c r="G714" s="19"/>
      <c r="H714" s="19"/>
      <c r="I714" s="19"/>
      <c r="J714" s="19"/>
      <c r="K714" s="19"/>
      <c r="L714" s="19"/>
      <c r="M714" s="19"/>
      <c r="N714" s="19"/>
      <c r="O714" s="19"/>
      <c r="P714" s="19"/>
    </row>
    <row r="715">
      <c r="A715" s="19"/>
      <c r="B715" s="19"/>
      <c r="C715" s="19"/>
      <c r="D715" s="19"/>
      <c r="E715" s="19"/>
      <c r="F715" s="19"/>
      <c r="G715" s="19"/>
      <c r="H715" s="19"/>
      <c r="I715" s="19"/>
      <c r="J715" s="19"/>
      <c r="K715" s="19"/>
      <c r="L715" s="19"/>
      <c r="M715" s="19"/>
      <c r="N715" s="19"/>
      <c r="O715" s="19"/>
      <c r="P715" s="19"/>
    </row>
    <row r="716">
      <c r="A716" s="19"/>
      <c r="B716" s="19"/>
      <c r="C716" s="19"/>
      <c r="D716" s="19"/>
      <c r="E716" s="19"/>
      <c r="F716" s="19"/>
      <c r="G716" s="19"/>
      <c r="H716" s="19"/>
      <c r="I716" s="19"/>
      <c r="J716" s="19"/>
      <c r="K716" s="19"/>
      <c r="L716" s="19"/>
      <c r="M716" s="19"/>
      <c r="N716" s="19"/>
      <c r="O716" s="19"/>
      <c r="P716" s="19"/>
    </row>
    <row r="717">
      <c r="A717" s="19"/>
      <c r="B717" s="19"/>
      <c r="C717" s="19"/>
      <c r="D717" s="19"/>
      <c r="E717" s="19"/>
      <c r="F717" s="19"/>
      <c r="G717" s="19"/>
      <c r="H717" s="19"/>
      <c r="I717" s="19"/>
      <c r="J717" s="19"/>
      <c r="K717" s="19"/>
      <c r="L717" s="19"/>
      <c r="M717" s="19"/>
      <c r="N717" s="19"/>
      <c r="O717" s="19"/>
      <c r="P717" s="19"/>
    </row>
    <row r="718">
      <c r="A718" s="19"/>
      <c r="B718" s="19"/>
      <c r="C718" s="19"/>
      <c r="D718" s="19"/>
      <c r="E718" s="19"/>
      <c r="F718" s="19"/>
      <c r="G718" s="19"/>
      <c r="H718" s="19"/>
      <c r="I718" s="19"/>
      <c r="J718" s="19"/>
      <c r="K718" s="19"/>
      <c r="L718" s="19"/>
      <c r="M718" s="19"/>
      <c r="N718" s="19"/>
      <c r="O718" s="19"/>
      <c r="P718" s="19"/>
    </row>
    <row r="719">
      <c r="A719" s="19"/>
      <c r="B719" s="19"/>
      <c r="C719" s="19"/>
      <c r="D719" s="19"/>
      <c r="E719" s="19"/>
      <c r="F719" s="19"/>
      <c r="G719" s="19"/>
      <c r="H719" s="19"/>
      <c r="I719" s="19"/>
      <c r="J719" s="19"/>
      <c r="K719" s="19"/>
      <c r="L719" s="19"/>
      <c r="M719" s="19"/>
      <c r="N719" s="19"/>
      <c r="O719" s="19"/>
      <c r="P719" s="19"/>
    </row>
    <row r="720">
      <c r="A720" s="19"/>
      <c r="B720" s="19"/>
      <c r="C720" s="19"/>
      <c r="D720" s="19"/>
      <c r="E720" s="19"/>
      <c r="F720" s="19"/>
      <c r="G720" s="19"/>
      <c r="H720" s="19"/>
      <c r="I720" s="19"/>
      <c r="J720" s="19"/>
      <c r="K720" s="19"/>
      <c r="L720" s="19"/>
      <c r="M720" s="19"/>
      <c r="N720" s="19"/>
      <c r="O720" s="19"/>
      <c r="P720" s="19"/>
    </row>
    <row r="721">
      <c r="A721" s="19"/>
      <c r="B721" s="19"/>
      <c r="C721" s="19"/>
      <c r="D721" s="19"/>
      <c r="E721" s="19"/>
      <c r="F721" s="19"/>
      <c r="G721" s="19"/>
      <c r="H721" s="19"/>
      <c r="I721" s="19"/>
      <c r="J721" s="19"/>
      <c r="K721" s="19"/>
      <c r="L721" s="19"/>
      <c r="M721" s="19"/>
      <c r="N721" s="19"/>
      <c r="O721" s="19"/>
      <c r="P721" s="19"/>
    </row>
    <row r="722">
      <c r="A722" s="19"/>
      <c r="B722" s="19"/>
      <c r="C722" s="19"/>
      <c r="D722" s="19"/>
      <c r="E722" s="19"/>
      <c r="F722" s="19"/>
      <c r="G722" s="19"/>
      <c r="H722" s="19"/>
      <c r="I722" s="19"/>
      <c r="J722" s="19"/>
      <c r="K722" s="19"/>
      <c r="L722" s="19"/>
      <c r="M722" s="19"/>
      <c r="N722" s="19"/>
      <c r="O722" s="19"/>
      <c r="P722" s="19"/>
    </row>
    <row r="723">
      <c r="A723" s="19"/>
      <c r="B723" s="19"/>
      <c r="C723" s="19"/>
      <c r="D723" s="19"/>
      <c r="E723" s="19"/>
      <c r="F723" s="19"/>
      <c r="G723" s="19"/>
      <c r="H723" s="19"/>
      <c r="I723" s="19"/>
      <c r="J723" s="19"/>
      <c r="K723" s="19"/>
      <c r="L723" s="19"/>
      <c r="M723" s="19"/>
      <c r="N723" s="19"/>
      <c r="O723" s="19"/>
      <c r="P723" s="19"/>
    </row>
    <row r="724">
      <c r="A724" s="19"/>
      <c r="B724" s="19"/>
      <c r="C724" s="19"/>
      <c r="D724" s="19"/>
      <c r="E724" s="19"/>
      <c r="F724" s="19"/>
      <c r="G724" s="19"/>
      <c r="H724" s="19"/>
      <c r="I724" s="19"/>
      <c r="J724" s="19"/>
      <c r="K724" s="19"/>
      <c r="L724" s="19"/>
      <c r="M724" s="19"/>
      <c r="N724" s="19"/>
      <c r="O724" s="19"/>
      <c r="P724" s="19"/>
    </row>
    <row r="725">
      <c r="A725" s="19"/>
      <c r="B725" s="19"/>
      <c r="C725" s="19"/>
      <c r="D725" s="19"/>
      <c r="E725" s="19"/>
      <c r="F725" s="19"/>
      <c r="G725" s="19"/>
      <c r="H725" s="19"/>
      <c r="I725" s="19"/>
      <c r="J725" s="19"/>
      <c r="K725" s="19"/>
      <c r="L725" s="19"/>
      <c r="M725" s="19"/>
      <c r="N725" s="19"/>
      <c r="O725" s="19"/>
      <c r="P725" s="19"/>
    </row>
    <row r="726">
      <c r="A726" s="19"/>
      <c r="B726" s="19"/>
      <c r="C726" s="19"/>
      <c r="D726" s="19"/>
      <c r="E726" s="19"/>
      <c r="F726" s="19"/>
      <c r="G726" s="19"/>
      <c r="H726" s="19"/>
      <c r="I726" s="19"/>
      <c r="J726" s="19"/>
      <c r="K726" s="19"/>
      <c r="L726" s="19"/>
      <c r="M726" s="19"/>
      <c r="N726" s="19"/>
      <c r="O726" s="19"/>
      <c r="P726" s="19"/>
    </row>
    <row r="727">
      <c r="A727" s="19"/>
      <c r="B727" s="19"/>
      <c r="C727" s="19"/>
      <c r="D727" s="19"/>
      <c r="E727" s="19"/>
      <c r="F727" s="19"/>
      <c r="G727" s="19"/>
      <c r="H727" s="19"/>
      <c r="I727" s="19"/>
      <c r="J727" s="19"/>
      <c r="K727" s="19"/>
      <c r="L727" s="19"/>
      <c r="M727" s="19"/>
      <c r="N727" s="19"/>
      <c r="O727" s="19"/>
      <c r="P727" s="19"/>
    </row>
    <row r="728">
      <c r="A728" s="19"/>
      <c r="B728" s="19"/>
      <c r="C728" s="19"/>
      <c r="D728" s="19"/>
      <c r="E728" s="19"/>
      <c r="F728" s="19"/>
      <c r="G728" s="19"/>
      <c r="H728" s="19"/>
      <c r="I728" s="19"/>
      <c r="J728" s="19"/>
      <c r="K728" s="19"/>
      <c r="L728" s="19"/>
      <c r="M728" s="19"/>
      <c r="N728" s="19"/>
      <c r="O728" s="19"/>
      <c r="P728" s="19"/>
    </row>
    <row r="729">
      <c r="A729" s="19"/>
      <c r="B729" s="19"/>
      <c r="C729" s="19"/>
      <c r="D729" s="19"/>
      <c r="E729" s="19"/>
      <c r="F729" s="19"/>
      <c r="G729" s="19"/>
      <c r="H729" s="19"/>
      <c r="I729" s="19"/>
      <c r="J729" s="19"/>
      <c r="K729" s="19"/>
      <c r="L729" s="19"/>
      <c r="M729" s="19"/>
      <c r="N729" s="19"/>
      <c r="O729" s="19"/>
      <c r="P729" s="19"/>
    </row>
    <row r="730">
      <c r="A730" s="19"/>
      <c r="B730" s="19"/>
      <c r="C730" s="19"/>
      <c r="D730" s="19"/>
      <c r="E730" s="19"/>
      <c r="F730" s="19"/>
      <c r="G730" s="19"/>
      <c r="H730" s="19"/>
      <c r="I730" s="19"/>
      <c r="J730" s="19"/>
      <c r="K730" s="19"/>
      <c r="L730" s="19"/>
      <c r="M730" s="19"/>
      <c r="N730" s="19"/>
      <c r="O730" s="19"/>
      <c r="P730" s="19"/>
    </row>
    <row r="731">
      <c r="A731" s="19"/>
      <c r="B731" s="19"/>
      <c r="C731" s="19"/>
      <c r="D731" s="19"/>
      <c r="E731" s="19"/>
      <c r="F731" s="19"/>
      <c r="G731" s="19"/>
      <c r="H731" s="19"/>
      <c r="I731" s="19"/>
      <c r="J731" s="19"/>
      <c r="K731" s="19"/>
      <c r="L731" s="19"/>
      <c r="M731" s="19"/>
      <c r="N731" s="19"/>
      <c r="O731" s="19"/>
      <c r="P731" s="19"/>
    </row>
    <row r="732">
      <c r="A732" s="19"/>
      <c r="B732" s="19"/>
      <c r="C732" s="19"/>
      <c r="D732" s="19"/>
      <c r="E732" s="19"/>
      <c r="F732" s="19"/>
      <c r="G732" s="19"/>
      <c r="H732" s="19"/>
      <c r="I732" s="19"/>
      <c r="J732" s="19"/>
      <c r="K732" s="19"/>
      <c r="L732" s="19"/>
      <c r="M732" s="19"/>
      <c r="N732" s="19"/>
      <c r="O732" s="19"/>
      <c r="P732" s="19"/>
    </row>
    <row r="733">
      <c r="A733" s="19"/>
      <c r="B733" s="19"/>
      <c r="C733" s="19"/>
      <c r="D733" s="19"/>
      <c r="E733" s="19"/>
      <c r="F733" s="19"/>
      <c r="G733" s="19"/>
      <c r="H733" s="19"/>
      <c r="I733" s="19"/>
      <c r="J733" s="19"/>
      <c r="K733" s="19"/>
      <c r="L733" s="19"/>
      <c r="M733" s="19"/>
      <c r="N733" s="19"/>
      <c r="O733" s="19"/>
      <c r="P733" s="19"/>
    </row>
    <row r="734">
      <c r="A734" s="19"/>
      <c r="B734" s="19"/>
      <c r="C734" s="19"/>
      <c r="D734" s="19"/>
      <c r="E734" s="19"/>
      <c r="F734" s="19"/>
      <c r="G734" s="19"/>
      <c r="H734" s="19"/>
      <c r="I734" s="19"/>
      <c r="J734" s="19"/>
      <c r="K734" s="19"/>
      <c r="L734" s="19"/>
      <c r="M734" s="19"/>
      <c r="N734" s="19"/>
      <c r="O734" s="19"/>
      <c r="P734" s="19"/>
    </row>
    <row r="735">
      <c r="A735" s="19"/>
      <c r="B735" s="19"/>
      <c r="C735" s="19"/>
      <c r="D735" s="19"/>
      <c r="E735" s="19"/>
      <c r="F735" s="19"/>
      <c r="G735" s="19"/>
      <c r="H735" s="19"/>
      <c r="I735" s="19"/>
      <c r="J735" s="19"/>
      <c r="K735" s="19"/>
      <c r="L735" s="19"/>
      <c r="M735" s="19"/>
      <c r="N735" s="19"/>
      <c r="O735" s="19"/>
      <c r="P735" s="19"/>
    </row>
    <row r="736">
      <c r="A736" s="19"/>
      <c r="B736" s="19"/>
      <c r="C736" s="19"/>
      <c r="D736" s="19"/>
      <c r="E736" s="19"/>
      <c r="F736" s="19"/>
      <c r="G736" s="19"/>
      <c r="H736" s="19"/>
      <c r="I736" s="19"/>
      <c r="J736" s="19"/>
      <c r="K736" s="19"/>
      <c r="L736" s="19"/>
      <c r="M736" s="19"/>
      <c r="N736" s="19"/>
      <c r="O736" s="19"/>
      <c r="P736" s="19"/>
    </row>
    <row r="737">
      <c r="A737" s="19"/>
      <c r="B737" s="19"/>
      <c r="C737" s="19"/>
      <c r="D737" s="19"/>
      <c r="E737" s="19"/>
      <c r="F737" s="19"/>
      <c r="G737" s="19"/>
      <c r="H737" s="19"/>
      <c r="I737" s="19"/>
      <c r="J737" s="19"/>
      <c r="K737" s="19"/>
      <c r="L737" s="19"/>
      <c r="M737" s="19"/>
      <c r="N737" s="19"/>
      <c r="O737" s="19"/>
      <c r="P737" s="19"/>
    </row>
    <row r="738">
      <c r="A738" s="19"/>
      <c r="B738" s="19"/>
      <c r="C738" s="19"/>
      <c r="D738" s="19"/>
      <c r="E738" s="19"/>
      <c r="F738" s="19"/>
      <c r="G738" s="19"/>
      <c r="H738" s="19"/>
      <c r="I738" s="19"/>
      <c r="J738" s="19"/>
      <c r="K738" s="19"/>
      <c r="L738" s="19"/>
      <c r="M738" s="19"/>
      <c r="N738" s="19"/>
      <c r="O738" s="19"/>
      <c r="P738" s="19"/>
    </row>
    <row r="739">
      <c r="A739" s="19"/>
      <c r="B739" s="19"/>
      <c r="C739" s="19"/>
      <c r="D739" s="19"/>
      <c r="E739" s="19"/>
      <c r="F739" s="19"/>
      <c r="G739" s="19"/>
      <c r="H739" s="19"/>
      <c r="I739" s="19"/>
      <c r="J739" s="19"/>
      <c r="K739" s="19"/>
      <c r="L739" s="19"/>
      <c r="M739" s="19"/>
      <c r="N739" s="19"/>
      <c r="O739" s="19"/>
      <c r="P739" s="19"/>
    </row>
    <row r="740">
      <c r="A740" s="19"/>
      <c r="B740" s="19"/>
      <c r="C740" s="19"/>
      <c r="D740" s="19"/>
      <c r="E740" s="19"/>
      <c r="F740" s="19"/>
      <c r="G740" s="19"/>
      <c r="H740" s="19"/>
      <c r="I740" s="19"/>
      <c r="J740" s="19"/>
      <c r="K740" s="19"/>
      <c r="L740" s="19"/>
      <c r="M740" s="19"/>
      <c r="N740" s="19"/>
      <c r="O740" s="19"/>
      <c r="P740" s="19"/>
    </row>
    <row r="741">
      <c r="A741" s="19"/>
      <c r="B741" s="19"/>
      <c r="C741" s="19"/>
      <c r="D741" s="19"/>
      <c r="E741" s="19"/>
      <c r="F741" s="19"/>
      <c r="G741" s="19"/>
      <c r="H741" s="19"/>
      <c r="I741" s="19"/>
      <c r="J741" s="19"/>
      <c r="K741" s="19"/>
      <c r="L741" s="19"/>
      <c r="M741" s="19"/>
      <c r="N741" s="19"/>
      <c r="O741" s="19"/>
      <c r="P741" s="19"/>
    </row>
    <row r="742">
      <c r="A742" s="19"/>
      <c r="B742" s="19"/>
      <c r="C742" s="19"/>
      <c r="D742" s="19"/>
      <c r="E742" s="19"/>
      <c r="F742" s="19"/>
      <c r="G742" s="19"/>
      <c r="H742" s="19"/>
      <c r="I742" s="19"/>
      <c r="J742" s="19"/>
      <c r="K742" s="19"/>
      <c r="L742" s="19"/>
      <c r="M742" s="19"/>
      <c r="N742" s="19"/>
      <c r="O742" s="19"/>
      <c r="P742" s="19"/>
    </row>
    <row r="743">
      <c r="A743" s="19"/>
      <c r="B743" s="19"/>
      <c r="C743" s="19"/>
      <c r="D743" s="19"/>
      <c r="E743" s="19"/>
      <c r="F743" s="19"/>
      <c r="G743" s="19"/>
      <c r="H743" s="19"/>
      <c r="I743" s="19"/>
      <c r="J743" s="19"/>
      <c r="K743" s="19"/>
      <c r="L743" s="19"/>
      <c r="M743" s="19"/>
      <c r="N743" s="19"/>
      <c r="O743" s="19"/>
      <c r="P743" s="19"/>
    </row>
    <row r="744">
      <c r="A744" s="19"/>
      <c r="B744" s="19"/>
      <c r="C744" s="19"/>
      <c r="D744" s="19"/>
      <c r="E744" s="19"/>
      <c r="F744" s="19"/>
      <c r="G744" s="19"/>
      <c r="H744" s="19"/>
      <c r="I744" s="19"/>
      <c r="J744" s="19"/>
      <c r="K744" s="19"/>
      <c r="L744" s="19"/>
      <c r="M744" s="19"/>
      <c r="N744" s="19"/>
      <c r="O744" s="19"/>
      <c r="P744" s="19"/>
    </row>
    <row r="745">
      <c r="A745" s="19"/>
      <c r="B745" s="19"/>
      <c r="C745" s="19"/>
      <c r="D745" s="19"/>
      <c r="E745" s="19"/>
      <c r="F745" s="19"/>
      <c r="G745" s="19"/>
      <c r="H745" s="19"/>
      <c r="I745" s="19"/>
      <c r="J745" s="19"/>
      <c r="K745" s="19"/>
      <c r="L745" s="19"/>
      <c r="M745" s="19"/>
      <c r="N745" s="19"/>
      <c r="O745" s="19"/>
      <c r="P745" s="19"/>
    </row>
    <row r="746">
      <c r="A746" s="19"/>
      <c r="B746" s="19"/>
      <c r="C746" s="19"/>
      <c r="D746" s="19"/>
      <c r="E746" s="19"/>
      <c r="F746" s="19"/>
      <c r="G746" s="19"/>
      <c r="H746" s="19"/>
      <c r="I746" s="19"/>
      <c r="J746" s="19"/>
      <c r="K746" s="19"/>
      <c r="L746" s="19"/>
      <c r="M746" s="19"/>
      <c r="N746" s="19"/>
      <c r="O746" s="19"/>
      <c r="P746" s="19"/>
    </row>
    <row r="747">
      <c r="A747" s="19"/>
      <c r="B747" s="19"/>
      <c r="C747" s="19"/>
      <c r="D747" s="19"/>
      <c r="E747" s="19"/>
      <c r="F747" s="19"/>
      <c r="G747" s="19"/>
      <c r="H747" s="19"/>
      <c r="I747" s="19"/>
      <c r="J747" s="19"/>
      <c r="K747" s="19"/>
      <c r="L747" s="19"/>
      <c r="M747" s="19"/>
      <c r="N747" s="19"/>
      <c r="O747" s="19"/>
      <c r="P747" s="19"/>
    </row>
    <row r="748">
      <c r="A748" s="19"/>
      <c r="B748" s="19"/>
      <c r="C748" s="19"/>
      <c r="D748" s="19"/>
      <c r="E748" s="19"/>
      <c r="F748" s="19"/>
      <c r="G748" s="19"/>
      <c r="H748" s="19"/>
      <c r="I748" s="19"/>
      <c r="J748" s="19"/>
      <c r="K748" s="19"/>
      <c r="L748" s="19"/>
      <c r="M748" s="19"/>
      <c r="N748" s="19"/>
      <c r="O748" s="19"/>
      <c r="P748" s="19"/>
    </row>
    <row r="749">
      <c r="A749" s="19"/>
      <c r="B749" s="19"/>
      <c r="C749" s="19"/>
      <c r="D749" s="19"/>
      <c r="E749" s="19"/>
      <c r="F749" s="19"/>
      <c r="G749" s="19"/>
      <c r="H749" s="19"/>
      <c r="I749" s="19"/>
      <c r="J749" s="19"/>
      <c r="K749" s="19"/>
      <c r="L749" s="19"/>
      <c r="M749" s="19"/>
      <c r="N749" s="19"/>
      <c r="O749" s="19"/>
      <c r="P749" s="19"/>
    </row>
    <row r="750">
      <c r="A750" s="19"/>
      <c r="B750" s="19"/>
      <c r="C750" s="19"/>
      <c r="D750" s="19"/>
      <c r="E750" s="19"/>
      <c r="F750" s="19"/>
      <c r="G750" s="19"/>
      <c r="H750" s="19"/>
      <c r="I750" s="19"/>
      <c r="J750" s="19"/>
      <c r="K750" s="19"/>
      <c r="L750" s="19"/>
      <c r="M750" s="19"/>
      <c r="N750" s="19"/>
      <c r="O750" s="19"/>
      <c r="P750" s="19"/>
    </row>
    <row r="751">
      <c r="A751" s="19"/>
      <c r="B751" s="19"/>
      <c r="C751" s="19"/>
      <c r="D751" s="19"/>
      <c r="E751" s="19"/>
      <c r="F751" s="19"/>
      <c r="G751" s="19"/>
      <c r="H751" s="19"/>
      <c r="I751" s="19"/>
      <c r="J751" s="19"/>
      <c r="K751" s="19"/>
      <c r="L751" s="19"/>
      <c r="M751" s="19"/>
      <c r="N751" s="19"/>
      <c r="O751" s="19"/>
      <c r="P751" s="19"/>
    </row>
    <row r="752">
      <c r="A752" s="19"/>
      <c r="B752" s="19"/>
      <c r="C752" s="19"/>
      <c r="D752" s="19"/>
      <c r="E752" s="19"/>
      <c r="F752" s="19"/>
      <c r="G752" s="19"/>
      <c r="H752" s="19"/>
      <c r="I752" s="19"/>
      <c r="J752" s="19"/>
      <c r="K752" s="19"/>
      <c r="L752" s="19"/>
      <c r="M752" s="19"/>
      <c r="N752" s="19"/>
      <c r="O752" s="19"/>
      <c r="P752" s="19"/>
    </row>
    <row r="753">
      <c r="A753" s="19"/>
      <c r="B753" s="19"/>
      <c r="C753" s="19"/>
      <c r="D753" s="19"/>
      <c r="E753" s="19"/>
      <c r="F753" s="19"/>
      <c r="G753" s="19"/>
      <c r="H753" s="19"/>
      <c r="I753" s="19"/>
      <c r="J753" s="19"/>
      <c r="K753" s="19"/>
      <c r="L753" s="19"/>
      <c r="M753" s="19"/>
      <c r="N753" s="19"/>
      <c r="O753" s="19"/>
      <c r="P753" s="19"/>
    </row>
    <row r="754">
      <c r="A754" s="19"/>
      <c r="B754" s="19"/>
      <c r="C754" s="19"/>
      <c r="D754" s="19"/>
      <c r="E754" s="19"/>
      <c r="F754" s="19"/>
      <c r="G754" s="19"/>
      <c r="H754" s="19"/>
      <c r="I754" s="19"/>
      <c r="J754" s="19"/>
      <c r="K754" s="19"/>
      <c r="L754" s="19"/>
      <c r="M754" s="19"/>
      <c r="N754" s="19"/>
      <c r="O754" s="19"/>
      <c r="P754" s="19"/>
    </row>
    <row r="755">
      <c r="A755" s="19"/>
      <c r="B755" s="19"/>
      <c r="C755" s="19"/>
      <c r="D755" s="19"/>
      <c r="E755" s="19"/>
      <c r="F755" s="19"/>
      <c r="G755" s="19"/>
      <c r="H755" s="19"/>
      <c r="I755" s="19"/>
      <c r="J755" s="19"/>
      <c r="K755" s="19"/>
      <c r="L755" s="19"/>
      <c r="M755" s="19"/>
      <c r="N755" s="19"/>
      <c r="O755" s="19"/>
      <c r="P755" s="19"/>
    </row>
    <row r="756">
      <c r="A756" s="19"/>
      <c r="B756" s="19"/>
      <c r="C756" s="19"/>
      <c r="D756" s="19"/>
      <c r="E756" s="19"/>
      <c r="F756" s="19"/>
      <c r="G756" s="19"/>
      <c r="H756" s="19"/>
      <c r="I756" s="19"/>
      <c r="J756" s="19"/>
      <c r="K756" s="19"/>
      <c r="L756" s="19"/>
      <c r="M756" s="19"/>
      <c r="N756" s="19"/>
      <c r="O756" s="19"/>
      <c r="P756" s="19"/>
    </row>
    <row r="757">
      <c r="A757" s="19"/>
      <c r="B757" s="19"/>
      <c r="C757" s="19"/>
      <c r="D757" s="19"/>
      <c r="E757" s="19"/>
      <c r="F757" s="19"/>
      <c r="G757" s="19"/>
      <c r="H757" s="19"/>
      <c r="I757" s="19"/>
      <c r="J757" s="19"/>
      <c r="K757" s="19"/>
      <c r="L757" s="19"/>
      <c r="M757" s="19"/>
      <c r="N757" s="19"/>
      <c r="O757" s="19"/>
      <c r="P757" s="19"/>
    </row>
    <row r="758">
      <c r="A758" s="19"/>
      <c r="B758" s="19"/>
      <c r="C758" s="19"/>
      <c r="D758" s="19"/>
      <c r="E758" s="19"/>
      <c r="F758" s="19"/>
      <c r="G758" s="19"/>
      <c r="H758" s="19"/>
      <c r="I758" s="19"/>
      <c r="J758" s="19"/>
      <c r="K758" s="19"/>
      <c r="L758" s="19"/>
      <c r="M758" s="19"/>
      <c r="N758" s="19"/>
      <c r="O758" s="19"/>
      <c r="P758" s="19"/>
    </row>
    <row r="759">
      <c r="A759" s="19"/>
      <c r="B759" s="19"/>
      <c r="C759" s="19"/>
      <c r="D759" s="19"/>
      <c r="E759" s="19"/>
      <c r="F759" s="19"/>
      <c r="G759" s="19"/>
      <c r="H759" s="19"/>
      <c r="I759" s="19"/>
      <c r="J759" s="19"/>
      <c r="K759" s="19"/>
      <c r="L759" s="19"/>
      <c r="M759" s="19"/>
      <c r="N759" s="19"/>
      <c r="O759" s="19"/>
      <c r="P759" s="19"/>
    </row>
    <row r="760">
      <c r="A760" s="19"/>
      <c r="B760" s="19"/>
      <c r="C760" s="19"/>
      <c r="D760" s="19"/>
      <c r="E760" s="19"/>
      <c r="F760" s="19"/>
      <c r="G760" s="19"/>
      <c r="H760" s="19"/>
      <c r="I760" s="19"/>
      <c r="J760" s="19"/>
      <c r="K760" s="19"/>
      <c r="L760" s="19"/>
      <c r="M760" s="19"/>
      <c r="N760" s="19"/>
      <c r="O760" s="19"/>
      <c r="P760" s="19"/>
    </row>
    <row r="761">
      <c r="A761" s="19"/>
      <c r="B761" s="19"/>
      <c r="C761" s="19"/>
      <c r="D761" s="19"/>
      <c r="E761" s="19"/>
      <c r="F761" s="19"/>
      <c r="G761" s="19"/>
      <c r="H761" s="19"/>
      <c r="I761" s="19"/>
      <c r="J761" s="19"/>
      <c r="K761" s="19"/>
      <c r="L761" s="19"/>
      <c r="M761" s="19"/>
      <c r="N761" s="19"/>
      <c r="O761" s="19"/>
      <c r="P761" s="19"/>
    </row>
    <row r="762">
      <c r="A762" s="19"/>
      <c r="B762" s="19"/>
      <c r="C762" s="19"/>
      <c r="D762" s="19"/>
      <c r="E762" s="19"/>
      <c r="F762" s="19"/>
      <c r="G762" s="19"/>
      <c r="H762" s="19"/>
      <c r="I762" s="19"/>
      <c r="J762" s="19"/>
      <c r="K762" s="19"/>
      <c r="L762" s="19"/>
      <c r="M762" s="19"/>
      <c r="N762" s="19"/>
      <c r="O762" s="19"/>
      <c r="P762" s="19"/>
    </row>
    <row r="763">
      <c r="A763" s="19"/>
      <c r="B763" s="19"/>
      <c r="C763" s="19"/>
      <c r="D763" s="19"/>
      <c r="E763" s="19"/>
      <c r="F763" s="19"/>
      <c r="G763" s="19"/>
      <c r="H763" s="19"/>
      <c r="I763" s="19"/>
      <c r="J763" s="19"/>
      <c r="K763" s="19"/>
      <c r="L763" s="19"/>
      <c r="M763" s="19"/>
      <c r="N763" s="19"/>
      <c r="O763" s="19"/>
      <c r="P763" s="19"/>
    </row>
    <row r="764">
      <c r="A764" s="19"/>
      <c r="B764" s="19"/>
      <c r="C764" s="19"/>
      <c r="D764" s="19"/>
      <c r="E764" s="19"/>
      <c r="F764" s="19"/>
      <c r="G764" s="19"/>
      <c r="H764" s="19"/>
      <c r="I764" s="19"/>
      <c r="J764" s="19"/>
      <c r="K764" s="19"/>
      <c r="L764" s="19"/>
      <c r="M764" s="19"/>
      <c r="N764" s="19"/>
      <c r="O764" s="19"/>
      <c r="P764" s="19"/>
    </row>
    <row r="765">
      <c r="A765" s="19"/>
      <c r="B765" s="19"/>
      <c r="C765" s="19"/>
      <c r="D765" s="19"/>
      <c r="E765" s="19"/>
      <c r="F765" s="19"/>
      <c r="G765" s="19"/>
      <c r="H765" s="19"/>
      <c r="I765" s="19"/>
      <c r="J765" s="19"/>
      <c r="K765" s="19"/>
      <c r="L765" s="19"/>
      <c r="M765" s="19"/>
      <c r="N765" s="19"/>
      <c r="O765" s="19"/>
      <c r="P765" s="19"/>
    </row>
    <row r="766">
      <c r="A766" s="19"/>
      <c r="B766" s="19"/>
      <c r="C766" s="19"/>
      <c r="D766" s="19"/>
      <c r="E766" s="19"/>
      <c r="F766" s="19"/>
      <c r="G766" s="19"/>
      <c r="H766" s="19"/>
      <c r="I766" s="19"/>
      <c r="J766" s="19"/>
      <c r="K766" s="19"/>
      <c r="L766" s="19"/>
      <c r="M766" s="19"/>
      <c r="N766" s="19"/>
      <c r="O766" s="19"/>
      <c r="P766" s="19"/>
    </row>
    <row r="767">
      <c r="A767" s="19"/>
      <c r="B767" s="19"/>
      <c r="C767" s="19"/>
      <c r="D767" s="19"/>
      <c r="E767" s="19"/>
      <c r="F767" s="19"/>
      <c r="G767" s="19"/>
      <c r="H767" s="19"/>
      <c r="I767" s="19"/>
      <c r="J767" s="19"/>
      <c r="K767" s="19"/>
      <c r="L767" s="19"/>
      <c r="M767" s="19"/>
      <c r="N767" s="19"/>
      <c r="O767" s="19"/>
      <c r="P767" s="19"/>
    </row>
    <row r="768">
      <c r="A768" s="19"/>
      <c r="B768" s="19"/>
      <c r="C768" s="19"/>
      <c r="D768" s="19"/>
      <c r="E768" s="19"/>
      <c r="F768" s="19"/>
      <c r="G768" s="19"/>
      <c r="H768" s="19"/>
      <c r="I768" s="19"/>
      <c r="J768" s="19"/>
      <c r="K768" s="19"/>
      <c r="L768" s="19"/>
      <c r="M768" s="19"/>
      <c r="N768" s="19"/>
      <c r="O768" s="19"/>
      <c r="P768" s="19"/>
    </row>
    <row r="769">
      <c r="A769" s="19"/>
      <c r="B769" s="19"/>
      <c r="C769" s="19"/>
      <c r="D769" s="19"/>
      <c r="E769" s="19"/>
      <c r="F769" s="19"/>
      <c r="G769" s="19"/>
      <c r="H769" s="19"/>
      <c r="I769" s="19"/>
      <c r="J769" s="19"/>
      <c r="K769" s="19"/>
      <c r="L769" s="19"/>
      <c r="M769" s="19"/>
      <c r="N769" s="19"/>
      <c r="O769" s="19"/>
      <c r="P769" s="19"/>
    </row>
    <row r="770">
      <c r="A770" s="19"/>
      <c r="B770" s="19"/>
      <c r="C770" s="19"/>
      <c r="D770" s="19"/>
      <c r="E770" s="19"/>
      <c r="F770" s="19"/>
      <c r="G770" s="19"/>
      <c r="H770" s="19"/>
      <c r="I770" s="19"/>
      <c r="J770" s="19"/>
      <c r="K770" s="19"/>
      <c r="L770" s="19"/>
      <c r="M770" s="19"/>
      <c r="N770" s="19"/>
      <c r="O770" s="19"/>
      <c r="P770" s="19"/>
    </row>
    <row r="771">
      <c r="A771" s="19"/>
      <c r="B771" s="19"/>
      <c r="C771" s="19"/>
      <c r="D771" s="19"/>
      <c r="E771" s="19"/>
      <c r="F771" s="19"/>
      <c r="G771" s="19"/>
      <c r="H771" s="19"/>
      <c r="I771" s="19"/>
      <c r="J771" s="19"/>
      <c r="K771" s="19"/>
      <c r="L771" s="19"/>
      <c r="M771" s="19"/>
      <c r="N771" s="19"/>
      <c r="O771" s="19"/>
      <c r="P771" s="19"/>
    </row>
    <row r="772">
      <c r="A772" s="19"/>
      <c r="B772" s="19"/>
      <c r="C772" s="19"/>
      <c r="D772" s="19"/>
      <c r="E772" s="19"/>
      <c r="F772" s="19"/>
      <c r="G772" s="19"/>
      <c r="H772" s="19"/>
      <c r="I772" s="19"/>
      <c r="J772" s="19"/>
      <c r="K772" s="19"/>
      <c r="L772" s="19"/>
      <c r="M772" s="19"/>
      <c r="N772" s="19"/>
      <c r="O772" s="19"/>
      <c r="P772" s="19"/>
    </row>
    <row r="773">
      <c r="A773" s="19"/>
      <c r="B773" s="19"/>
      <c r="C773" s="19"/>
      <c r="D773" s="19"/>
      <c r="E773" s="19"/>
      <c r="F773" s="19"/>
      <c r="G773" s="19"/>
      <c r="H773" s="19"/>
      <c r="I773" s="19"/>
      <c r="J773" s="19"/>
      <c r="K773" s="19"/>
      <c r="L773" s="19"/>
      <c r="M773" s="19"/>
      <c r="N773" s="19"/>
      <c r="O773" s="19"/>
      <c r="P773" s="19"/>
    </row>
    <row r="774">
      <c r="A774" s="19"/>
      <c r="B774" s="19"/>
      <c r="C774" s="19"/>
      <c r="D774" s="19"/>
      <c r="E774" s="19"/>
      <c r="F774" s="19"/>
      <c r="G774" s="19"/>
      <c r="H774" s="19"/>
      <c r="I774" s="19"/>
      <c r="J774" s="19"/>
      <c r="K774" s="19"/>
      <c r="L774" s="19"/>
      <c r="M774" s="19"/>
      <c r="N774" s="19"/>
      <c r="O774" s="19"/>
      <c r="P774" s="19"/>
    </row>
    <row r="775">
      <c r="A775" s="19"/>
      <c r="B775" s="19"/>
      <c r="C775" s="19"/>
      <c r="D775" s="19"/>
      <c r="E775" s="19"/>
      <c r="F775" s="19"/>
      <c r="G775" s="19"/>
      <c r="H775" s="19"/>
      <c r="I775" s="19"/>
      <c r="J775" s="19"/>
      <c r="K775" s="19"/>
      <c r="L775" s="19"/>
      <c r="M775" s="19"/>
      <c r="N775" s="19"/>
      <c r="O775" s="19"/>
      <c r="P775" s="19"/>
    </row>
    <row r="776">
      <c r="A776" s="19"/>
      <c r="B776" s="19"/>
      <c r="C776" s="19"/>
      <c r="D776" s="19"/>
      <c r="E776" s="19"/>
      <c r="F776" s="19"/>
      <c r="G776" s="19"/>
      <c r="H776" s="19"/>
      <c r="I776" s="19"/>
      <c r="J776" s="19"/>
      <c r="K776" s="19"/>
      <c r="L776" s="19"/>
      <c r="M776" s="19"/>
      <c r="N776" s="19"/>
      <c r="O776" s="19"/>
      <c r="P776" s="19"/>
    </row>
    <row r="777">
      <c r="A777" s="19"/>
      <c r="B777" s="19"/>
      <c r="C777" s="19"/>
      <c r="D777" s="19"/>
      <c r="E777" s="19"/>
      <c r="F777" s="19"/>
      <c r="G777" s="19"/>
      <c r="H777" s="19"/>
      <c r="I777" s="19"/>
      <c r="J777" s="19"/>
      <c r="K777" s="19"/>
      <c r="L777" s="19"/>
      <c r="M777" s="19"/>
      <c r="N777" s="19"/>
      <c r="O777" s="19"/>
      <c r="P777" s="19"/>
    </row>
    <row r="778">
      <c r="A778" s="19"/>
      <c r="B778" s="19"/>
      <c r="C778" s="19"/>
      <c r="D778" s="19"/>
      <c r="E778" s="19"/>
      <c r="F778" s="19"/>
      <c r="G778" s="19"/>
      <c r="H778" s="19"/>
      <c r="I778" s="19"/>
      <c r="J778" s="19"/>
      <c r="K778" s="19"/>
      <c r="L778" s="19"/>
      <c r="M778" s="19"/>
      <c r="N778" s="19"/>
      <c r="O778" s="19"/>
      <c r="P778" s="19"/>
    </row>
    <row r="779">
      <c r="A779" s="19"/>
      <c r="B779" s="19"/>
      <c r="C779" s="19"/>
      <c r="D779" s="19"/>
      <c r="E779" s="19"/>
      <c r="F779" s="19"/>
      <c r="G779" s="19"/>
      <c r="H779" s="19"/>
      <c r="I779" s="19"/>
      <c r="J779" s="19"/>
      <c r="K779" s="19"/>
      <c r="L779" s="19"/>
      <c r="M779" s="19"/>
      <c r="N779" s="19"/>
      <c r="O779" s="19"/>
      <c r="P779" s="19"/>
    </row>
    <row r="780">
      <c r="A780" s="19"/>
      <c r="B780" s="19"/>
      <c r="C780" s="19"/>
      <c r="D780" s="19"/>
      <c r="E780" s="19"/>
      <c r="F780" s="19"/>
      <c r="G780" s="19"/>
      <c r="H780" s="19"/>
      <c r="I780" s="19"/>
      <c r="J780" s="19"/>
      <c r="K780" s="19"/>
      <c r="L780" s="19"/>
      <c r="M780" s="19"/>
      <c r="N780" s="19"/>
      <c r="O780" s="19"/>
      <c r="P780" s="19"/>
    </row>
    <row r="781">
      <c r="A781" s="19"/>
      <c r="B781" s="19"/>
      <c r="C781" s="19"/>
      <c r="D781" s="19"/>
      <c r="E781" s="19"/>
      <c r="F781" s="19"/>
      <c r="G781" s="19"/>
      <c r="H781" s="19"/>
      <c r="I781" s="19"/>
      <c r="J781" s="19"/>
      <c r="K781" s="19"/>
      <c r="L781" s="19"/>
      <c r="M781" s="19"/>
      <c r="N781" s="19"/>
      <c r="O781" s="19"/>
      <c r="P781" s="19"/>
    </row>
    <row r="782">
      <c r="A782" s="19"/>
      <c r="B782" s="19"/>
      <c r="C782" s="19"/>
      <c r="D782" s="19"/>
      <c r="E782" s="19"/>
      <c r="F782" s="19"/>
      <c r="G782" s="19"/>
      <c r="H782" s="19"/>
      <c r="I782" s="19"/>
      <c r="J782" s="19"/>
      <c r="K782" s="19"/>
      <c r="L782" s="19"/>
      <c r="M782" s="19"/>
      <c r="N782" s="19"/>
      <c r="O782" s="19"/>
      <c r="P782" s="19"/>
    </row>
    <row r="783">
      <c r="A783" s="19"/>
      <c r="B783" s="19"/>
      <c r="C783" s="19"/>
      <c r="D783" s="19"/>
      <c r="E783" s="19"/>
      <c r="F783" s="19"/>
      <c r="G783" s="19"/>
      <c r="H783" s="19"/>
      <c r="I783" s="19"/>
      <c r="J783" s="19"/>
      <c r="K783" s="19"/>
      <c r="L783" s="19"/>
      <c r="M783" s="19"/>
      <c r="N783" s="19"/>
      <c r="O783" s="19"/>
      <c r="P783" s="19"/>
    </row>
    <row r="784">
      <c r="A784" s="19"/>
      <c r="B784" s="19"/>
      <c r="C784" s="19"/>
      <c r="D784" s="19"/>
      <c r="E784" s="19"/>
      <c r="F784" s="19"/>
      <c r="G784" s="19"/>
      <c r="H784" s="19"/>
      <c r="I784" s="19"/>
      <c r="J784" s="19"/>
      <c r="K784" s="19"/>
      <c r="L784" s="19"/>
      <c r="M784" s="19"/>
      <c r="N784" s="19"/>
      <c r="O784" s="19"/>
      <c r="P784" s="19"/>
    </row>
    <row r="785">
      <c r="A785" s="19"/>
      <c r="B785" s="19"/>
      <c r="C785" s="19"/>
      <c r="D785" s="19"/>
      <c r="E785" s="19"/>
      <c r="F785" s="19"/>
      <c r="G785" s="19"/>
      <c r="H785" s="19"/>
      <c r="I785" s="19"/>
      <c r="J785" s="19"/>
      <c r="K785" s="19"/>
      <c r="L785" s="19"/>
      <c r="M785" s="19"/>
      <c r="N785" s="19"/>
      <c r="O785" s="19"/>
      <c r="P785" s="19"/>
    </row>
    <row r="786">
      <c r="A786" s="19"/>
      <c r="B786" s="19"/>
      <c r="C786" s="19"/>
      <c r="D786" s="19"/>
      <c r="E786" s="19"/>
      <c r="F786" s="19"/>
      <c r="G786" s="19"/>
      <c r="H786" s="19"/>
      <c r="I786" s="19"/>
      <c r="J786" s="19"/>
      <c r="K786" s="19"/>
      <c r="L786" s="19"/>
      <c r="M786" s="19"/>
      <c r="N786" s="19"/>
      <c r="O786" s="19"/>
      <c r="P786" s="19"/>
    </row>
    <row r="787">
      <c r="A787" s="19"/>
      <c r="B787" s="19"/>
      <c r="C787" s="19"/>
      <c r="D787" s="19"/>
      <c r="E787" s="19"/>
      <c r="F787" s="19"/>
      <c r="G787" s="19"/>
      <c r="H787" s="19"/>
      <c r="I787" s="19"/>
      <c r="J787" s="19"/>
      <c r="K787" s="19"/>
      <c r="L787" s="19"/>
      <c r="M787" s="19"/>
      <c r="N787" s="19"/>
      <c r="O787" s="19"/>
      <c r="P787" s="19"/>
    </row>
    <row r="788">
      <c r="A788" s="19"/>
      <c r="B788" s="19"/>
      <c r="C788" s="19"/>
      <c r="D788" s="19"/>
      <c r="E788" s="19"/>
      <c r="F788" s="19"/>
      <c r="G788" s="19"/>
      <c r="H788" s="19"/>
      <c r="I788" s="19"/>
      <c r="J788" s="19"/>
      <c r="K788" s="19"/>
      <c r="L788" s="19"/>
      <c r="M788" s="19"/>
      <c r="N788" s="19"/>
      <c r="O788" s="19"/>
      <c r="P788" s="19"/>
    </row>
    <row r="789">
      <c r="A789" s="19"/>
      <c r="B789" s="19"/>
      <c r="C789" s="19"/>
      <c r="D789" s="19"/>
      <c r="E789" s="19"/>
      <c r="F789" s="19"/>
      <c r="G789" s="19"/>
      <c r="H789" s="19"/>
      <c r="I789" s="19"/>
      <c r="J789" s="19"/>
      <c r="K789" s="19"/>
      <c r="L789" s="19"/>
      <c r="M789" s="19"/>
      <c r="N789" s="19"/>
      <c r="O789" s="19"/>
      <c r="P789" s="19"/>
    </row>
    <row r="790">
      <c r="A790" s="19"/>
      <c r="B790" s="19"/>
      <c r="C790" s="19"/>
      <c r="D790" s="19"/>
      <c r="E790" s="19"/>
      <c r="F790" s="19"/>
      <c r="G790" s="19"/>
      <c r="H790" s="19"/>
      <c r="I790" s="19"/>
      <c r="J790" s="19"/>
      <c r="K790" s="19"/>
      <c r="L790" s="19"/>
      <c r="M790" s="19"/>
      <c r="N790" s="19"/>
      <c r="O790" s="19"/>
      <c r="P790" s="19"/>
    </row>
    <row r="791">
      <c r="A791" s="19"/>
      <c r="B791" s="19"/>
      <c r="C791" s="19"/>
      <c r="D791" s="19"/>
      <c r="E791" s="19"/>
      <c r="F791" s="19"/>
      <c r="G791" s="19"/>
      <c r="H791" s="19"/>
      <c r="I791" s="19"/>
      <c r="J791" s="19"/>
      <c r="K791" s="19"/>
      <c r="L791" s="19"/>
      <c r="M791" s="19"/>
      <c r="N791" s="19"/>
      <c r="O791" s="19"/>
      <c r="P791" s="19"/>
    </row>
    <row r="792">
      <c r="A792" s="19"/>
      <c r="B792" s="19"/>
      <c r="C792" s="19"/>
      <c r="D792" s="19"/>
      <c r="E792" s="19"/>
      <c r="F792" s="19"/>
      <c r="G792" s="19"/>
      <c r="H792" s="19"/>
      <c r="I792" s="19"/>
      <c r="J792" s="19"/>
      <c r="K792" s="19"/>
      <c r="L792" s="19"/>
      <c r="M792" s="19"/>
      <c r="N792" s="19"/>
      <c r="O792" s="19"/>
      <c r="P792" s="19"/>
    </row>
    <row r="793">
      <c r="A793" s="19"/>
      <c r="B793" s="19"/>
      <c r="C793" s="19"/>
      <c r="D793" s="19"/>
      <c r="E793" s="19"/>
      <c r="F793" s="19"/>
      <c r="G793" s="19"/>
      <c r="H793" s="19"/>
      <c r="I793" s="19"/>
      <c r="J793" s="19"/>
      <c r="K793" s="19"/>
      <c r="L793" s="19"/>
      <c r="M793" s="19"/>
      <c r="N793" s="19"/>
      <c r="O793" s="19"/>
      <c r="P793" s="19"/>
    </row>
    <row r="794">
      <c r="A794" s="19"/>
      <c r="B794" s="19"/>
      <c r="C794" s="19"/>
      <c r="D794" s="19"/>
      <c r="E794" s="19"/>
      <c r="F794" s="19"/>
      <c r="G794" s="19"/>
      <c r="H794" s="19"/>
      <c r="I794" s="19"/>
      <c r="J794" s="19"/>
      <c r="K794" s="19"/>
      <c r="L794" s="19"/>
      <c r="M794" s="19"/>
      <c r="N794" s="19"/>
      <c r="O794" s="19"/>
      <c r="P794" s="19"/>
    </row>
    <row r="795">
      <c r="A795" s="19"/>
      <c r="B795" s="19"/>
      <c r="C795" s="19"/>
      <c r="D795" s="19"/>
      <c r="E795" s="19"/>
      <c r="F795" s="19"/>
      <c r="G795" s="19"/>
      <c r="H795" s="19"/>
      <c r="I795" s="19"/>
      <c r="J795" s="19"/>
      <c r="K795" s="19"/>
      <c r="L795" s="19"/>
      <c r="M795" s="19"/>
      <c r="N795" s="19"/>
      <c r="O795" s="19"/>
      <c r="P795" s="19"/>
    </row>
    <row r="796">
      <c r="A796" s="19"/>
      <c r="B796" s="19"/>
      <c r="C796" s="19"/>
      <c r="D796" s="19"/>
      <c r="E796" s="19"/>
      <c r="F796" s="19"/>
      <c r="G796" s="19"/>
      <c r="H796" s="19"/>
      <c r="I796" s="19"/>
      <c r="J796" s="19"/>
      <c r="K796" s="19"/>
      <c r="L796" s="19"/>
      <c r="M796" s="19"/>
      <c r="N796" s="19"/>
      <c r="O796" s="19"/>
      <c r="P796" s="19"/>
    </row>
    <row r="797">
      <c r="A797" s="19"/>
      <c r="B797" s="19"/>
      <c r="C797" s="19"/>
      <c r="D797" s="19"/>
      <c r="E797" s="19"/>
      <c r="F797" s="19"/>
      <c r="G797" s="19"/>
      <c r="H797" s="19"/>
      <c r="I797" s="19"/>
      <c r="J797" s="19"/>
      <c r="K797" s="19"/>
      <c r="L797" s="19"/>
      <c r="M797" s="19"/>
      <c r="N797" s="19"/>
      <c r="O797" s="19"/>
      <c r="P797" s="19"/>
    </row>
    <row r="798">
      <c r="A798" s="19"/>
      <c r="B798" s="19"/>
      <c r="C798" s="19"/>
      <c r="D798" s="19"/>
      <c r="E798" s="19"/>
      <c r="F798" s="19"/>
      <c r="G798" s="19"/>
      <c r="H798" s="19"/>
      <c r="I798" s="19"/>
      <c r="J798" s="19"/>
      <c r="K798" s="19"/>
      <c r="L798" s="19"/>
      <c r="M798" s="19"/>
      <c r="N798" s="19"/>
      <c r="O798" s="19"/>
      <c r="P798" s="19"/>
    </row>
    <row r="799">
      <c r="A799" s="19"/>
      <c r="B799" s="19"/>
      <c r="C799" s="19"/>
      <c r="D799" s="19"/>
      <c r="E799" s="19"/>
      <c r="F799" s="19"/>
      <c r="G799" s="19"/>
      <c r="H799" s="19"/>
      <c r="I799" s="19"/>
      <c r="J799" s="19"/>
      <c r="K799" s="19"/>
      <c r="L799" s="19"/>
      <c r="M799" s="19"/>
      <c r="N799" s="19"/>
      <c r="O799" s="19"/>
      <c r="P799" s="19"/>
    </row>
    <row r="800">
      <c r="A800" s="19"/>
      <c r="B800" s="19"/>
      <c r="C800" s="19"/>
      <c r="D800" s="19"/>
      <c r="E800" s="19"/>
      <c r="F800" s="19"/>
      <c r="G800" s="19"/>
      <c r="H800" s="19"/>
      <c r="I800" s="19"/>
      <c r="J800" s="19"/>
      <c r="K800" s="19"/>
      <c r="L800" s="19"/>
      <c r="M800" s="19"/>
      <c r="N800" s="19"/>
      <c r="O800" s="19"/>
      <c r="P800" s="19"/>
    </row>
    <row r="801">
      <c r="A801" s="19"/>
      <c r="B801" s="19"/>
      <c r="C801" s="19"/>
      <c r="D801" s="19"/>
      <c r="E801" s="19"/>
      <c r="F801" s="19"/>
      <c r="G801" s="19"/>
      <c r="H801" s="19"/>
      <c r="I801" s="19"/>
      <c r="J801" s="19"/>
      <c r="K801" s="19"/>
      <c r="L801" s="19"/>
      <c r="M801" s="19"/>
      <c r="N801" s="19"/>
      <c r="O801" s="19"/>
      <c r="P801" s="19"/>
    </row>
    <row r="802">
      <c r="A802" s="19"/>
      <c r="B802" s="19"/>
      <c r="C802" s="19"/>
      <c r="D802" s="19"/>
      <c r="E802" s="19"/>
      <c r="F802" s="19"/>
      <c r="G802" s="19"/>
      <c r="H802" s="19"/>
      <c r="I802" s="19"/>
      <c r="J802" s="19"/>
      <c r="K802" s="19"/>
      <c r="L802" s="19"/>
      <c r="M802" s="19"/>
      <c r="N802" s="19"/>
      <c r="O802" s="19"/>
      <c r="P802" s="19"/>
    </row>
    <row r="803">
      <c r="A803" s="19"/>
      <c r="B803" s="19"/>
      <c r="C803" s="19"/>
      <c r="D803" s="19"/>
      <c r="E803" s="19"/>
      <c r="F803" s="19"/>
      <c r="G803" s="19"/>
      <c r="H803" s="19"/>
      <c r="I803" s="19"/>
      <c r="J803" s="19"/>
      <c r="K803" s="19"/>
      <c r="L803" s="19"/>
      <c r="M803" s="19"/>
      <c r="N803" s="19"/>
      <c r="O803" s="19"/>
      <c r="P803" s="19"/>
    </row>
    <row r="804">
      <c r="A804" s="19"/>
      <c r="B804" s="19"/>
      <c r="C804" s="19"/>
      <c r="D804" s="19"/>
      <c r="E804" s="19"/>
      <c r="F804" s="19"/>
      <c r="G804" s="19"/>
      <c r="H804" s="19"/>
      <c r="I804" s="19"/>
      <c r="J804" s="19"/>
      <c r="K804" s="19"/>
      <c r="L804" s="19"/>
      <c r="M804" s="19"/>
      <c r="N804" s="19"/>
      <c r="O804" s="19"/>
      <c r="P804" s="19"/>
    </row>
    <row r="805">
      <c r="A805" s="19"/>
      <c r="B805" s="19"/>
      <c r="C805" s="19"/>
      <c r="D805" s="19"/>
      <c r="E805" s="19"/>
      <c r="F805" s="19"/>
      <c r="G805" s="19"/>
      <c r="H805" s="19"/>
      <c r="I805" s="19"/>
      <c r="J805" s="19"/>
      <c r="K805" s="19"/>
      <c r="L805" s="19"/>
      <c r="M805" s="19"/>
      <c r="N805" s="19"/>
      <c r="O805" s="19"/>
      <c r="P805" s="19"/>
    </row>
    <row r="806">
      <c r="A806" s="19"/>
      <c r="B806" s="19"/>
      <c r="C806" s="19"/>
      <c r="D806" s="19"/>
      <c r="E806" s="19"/>
      <c r="F806" s="19"/>
      <c r="G806" s="19"/>
      <c r="H806" s="19"/>
      <c r="I806" s="19"/>
      <c r="J806" s="19"/>
      <c r="K806" s="19"/>
      <c r="L806" s="19"/>
      <c r="M806" s="19"/>
      <c r="N806" s="19"/>
      <c r="O806" s="19"/>
      <c r="P806" s="19"/>
    </row>
    <row r="807">
      <c r="A807" s="19"/>
      <c r="B807" s="19"/>
      <c r="C807" s="19"/>
      <c r="D807" s="19"/>
      <c r="E807" s="19"/>
      <c r="F807" s="19"/>
      <c r="G807" s="19"/>
      <c r="H807" s="19"/>
      <c r="I807" s="19"/>
      <c r="J807" s="19"/>
      <c r="K807" s="19"/>
      <c r="L807" s="19"/>
      <c r="M807" s="19"/>
      <c r="N807" s="19"/>
      <c r="O807" s="19"/>
      <c r="P807" s="19"/>
    </row>
    <row r="808">
      <c r="A808" s="19"/>
      <c r="B808" s="19"/>
      <c r="C808" s="19"/>
      <c r="D808" s="19"/>
      <c r="E808" s="19"/>
      <c r="F808" s="19"/>
      <c r="G808" s="19"/>
      <c r="H808" s="19"/>
      <c r="I808" s="19"/>
      <c r="J808" s="19"/>
      <c r="K808" s="19"/>
      <c r="L808" s="19"/>
      <c r="M808" s="19"/>
      <c r="N808" s="19"/>
      <c r="O808" s="19"/>
      <c r="P808" s="19"/>
    </row>
    <row r="809">
      <c r="A809" s="19"/>
      <c r="B809" s="19"/>
      <c r="C809" s="19"/>
      <c r="D809" s="19"/>
      <c r="E809" s="19"/>
      <c r="F809" s="19"/>
      <c r="G809" s="19"/>
      <c r="H809" s="19"/>
      <c r="I809" s="19"/>
      <c r="J809" s="19"/>
      <c r="K809" s="19"/>
      <c r="L809" s="19"/>
      <c r="M809" s="19"/>
      <c r="N809" s="19"/>
      <c r="O809" s="19"/>
      <c r="P809" s="19"/>
    </row>
    <row r="810">
      <c r="A810" s="19"/>
      <c r="B810" s="19"/>
      <c r="C810" s="19"/>
      <c r="D810" s="19"/>
      <c r="E810" s="19"/>
      <c r="F810" s="19"/>
      <c r="G810" s="19"/>
      <c r="H810" s="19"/>
      <c r="I810" s="19"/>
      <c r="J810" s="19"/>
      <c r="K810" s="19"/>
      <c r="L810" s="19"/>
      <c r="M810" s="19"/>
      <c r="N810" s="19"/>
      <c r="O810" s="19"/>
      <c r="P810" s="19"/>
    </row>
    <row r="811">
      <c r="A811" s="19"/>
      <c r="B811" s="19"/>
      <c r="C811" s="19"/>
      <c r="D811" s="19"/>
      <c r="E811" s="19"/>
      <c r="F811" s="19"/>
      <c r="G811" s="19"/>
      <c r="H811" s="19"/>
      <c r="I811" s="19"/>
      <c r="J811" s="19"/>
      <c r="K811" s="19"/>
      <c r="L811" s="19"/>
      <c r="M811" s="19"/>
      <c r="N811" s="19"/>
      <c r="O811" s="19"/>
      <c r="P811" s="19"/>
    </row>
    <row r="812">
      <c r="A812" s="19"/>
      <c r="B812" s="19"/>
      <c r="C812" s="19"/>
      <c r="D812" s="19"/>
      <c r="E812" s="19"/>
      <c r="F812" s="19"/>
      <c r="G812" s="19"/>
      <c r="H812" s="19"/>
      <c r="I812" s="19"/>
      <c r="J812" s="19"/>
      <c r="K812" s="19"/>
      <c r="L812" s="19"/>
      <c r="M812" s="19"/>
      <c r="N812" s="19"/>
      <c r="O812" s="19"/>
      <c r="P812" s="19"/>
    </row>
    <row r="813">
      <c r="A813" s="19"/>
      <c r="B813" s="19"/>
      <c r="C813" s="19"/>
      <c r="D813" s="19"/>
      <c r="E813" s="19"/>
      <c r="F813" s="19"/>
      <c r="G813" s="19"/>
      <c r="H813" s="19"/>
      <c r="I813" s="19"/>
      <c r="J813" s="19"/>
      <c r="K813" s="19"/>
      <c r="L813" s="19"/>
      <c r="M813" s="19"/>
      <c r="N813" s="19"/>
      <c r="O813" s="19"/>
      <c r="P813" s="19"/>
    </row>
    <row r="814">
      <c r="A814" s="19"/>
      <c r="B814" s="19"/>
      <c r="C814" s="19"/>
      <c r="D814" s="19"/>
      <c r="E814" s="19"/>
      <c r="F814" s="19"/>
      <c r="G814" s="19"/>
      <c r="H814" s="19"/>
      <c r="I814" s="19"/>
      <c r="J814" s="19"/>
      <c r="K814" s="19"/>
      <c r="L814" s="19"/>
      <c r="M814" s="19"/>
      <c r="N814" s="19"/>
      <c r="O814" s="19"/>
      <c r="P814" s="19"/>
    </row>
    <row r="815">
      <c r="A815" s="19"/>
      <c r="B815" s="19"/>
      <c r="C815" s="19"/>
      <c r="D815" s="19"/>
      <c r="E815" s="19"/>
      <c r="F815" s="19"/>
      <c r="G815" s="19"/>
      <c r="H815" s="19"/>
      <c r="I815" s="19"/>
      <c r="J815" s="19"/>
      <c r="K815" s="19"/>
      <c r="L815" s="19"/>
      <c r="M815" s="19"/>
      <c r="N815" s="19"/>
      <c r="O815" s="19"/>
      <c r="P815" s="19"/>
    </row>
    <row r="816">
      <c r="A816" s="19"/>
      <c r="B816" s="19"/>
      <c r="C816" s="19"/>
      <c r="D816" s="19"/>
      <c r="E816" s="19"/>
      <c r="F816" s="19"/>
      <c r="G816" s="19"/>
      <c r="H816" s="19"/>
      <c r="I816" s="19"/>
      <c r="J816" s="19"/>
      <c r="K816" s="19"/>
      <c r="L816" s="19"/>
      <c r="M816" s="19"/>
      <c r="N816" s="19"/>
      <c r="O816" s="19"/>
      <c r="P816" s="19"/>
    </row>
    <row r="817">
      <c r="A817" s="19"/>
      <c r="B817" s="19"/>
      <c r="C817" s="19"/>
      <c r="D817" s="19"/>
      <c r="E817" s="19"/>
      <c r="F817" s="19"/>
      <c r="G817" s="19"/>
      <c r="H817" s="19"/>
      <c r="I817" s="19"/>
      <c r="J817" s="19"/>
      <c r="K817" s="19"/>
      <c r="L817" s="19"/>
      <c r="M817" s="19"/>
      <c r="N817" s="19"/>
      <c r="O817" s="19"/>
      <c r="P817" s="19"/>
    </row>
    <row r="818">
      <c r="A818" s="19"/>
      <c r="B818" s="19"/>
      <c r="C818" s="19"/>
      <c r="D818" s="19"/>
      <c r="E818" s="19"/>
      <c r="F818" s="19"/>
      <c r="G818" s="19"/>
      <c r="H818" s="19"/>
      <c r="I818" s="19"/>
      <c r="J818" s="19"/>
      <c r="K818" s="19"/>
      <c r="L818" s="19"/>
      <c r="M818" s="19"/>
      <c r="N818" s="19"/>
      <c r="O818" s="19"/>
      <c r="P818" s="19"/>
    </row>
    <row r="819">
      <c r="A819" s="19"/>
      <c r="B819" s="19"/>
      <c r="C819" s="19"/>
      <c r="D819" s="19"/>
      <c r="E819" s="19"/>
      <c r="F819" s="19"/>
      <c r="G819" s="19"/>
      <c r="H819" s="19"/>
      <c r="I819" s="19"/>
      <c r="J819" s="19"/>
      <c r="K819" s="19"/>
      <c r="L819" s="19"/>
      <c r="M819" s="19"/>
      <c r="N819" s="19"/>
      <c r="O819" s="19"/>
      <c r="P819" s="19"/>
    </row>
    <row r="820">
      <c r="A820" s="19"/>
      <c r="B820" s="19"/>
      <c r="C820" s="19"/>
      <c r="D820" s="19"/>
      <c r="E820" s="19"/>
      <c r="F820" s="19"/>
      <c r="G820" s="19"/>
      <c r="H820" s="19"/>
      <c r="I820" s="19"/>
      <c r="J820" s="19"/>
      <c r="K820" s="19"/>
      <c r="L820" s="19"/>
      <c r="M820" s="19"/>
      <c r="N820" s="19"/>
      <c r="O820" s="19"/>
      <c r="P820" s="19"/>
    </row>
    <row r="821">
      <c r="A821" s="19"/>
      <c r="B821" s="19"/>
      <c r="C821" s="19"/>
      <c r="D821" s="19"/>
      <c r="E821" s="19"/>
      <c r="F821" s="19"/>
      <c r="G821" s="19"/>
      <c r="H821" s="19"/>
      <c r="I821" s="19"/>
      <c r="J821" s="19"/>
      <c r="K821" s="19"/>
      <c r="L821" s="19"/>
      <c r="M821" s="19"/>
      <c r="N821" s="19"/>
      <c r="O821" s="19"/>
      <c r="P821" s="19"/>
    </row>
    <row r="822">
      <c r="A822" s="19"/>
      <c r="B822" s="19"/>
      <c r="C822" s="19"/>
      <c r="D822" s="19"/>
      <c r="E822" s="19"/>
      <c r="F822" s="19"/>
      <c r="G822" s="19"/>
      <c r="H822" s="19"/>
      <c r="I822" s="19"/>
      <c r="J822" s="19"/>
      <c r="K822" s="19"/>
      <c r="L822" s="19"/>
      <c r="M822" s="19"/>
      <c r="N822" s="19"/>
      <c r="O822" s="19"/>
      <c r="P822" s="19"/>
    </row>
    <row r="823">
      <c r="A823" s="19"/>
      <c r="B823" s="19"/>
      <c r="C823" s="19"/>
      <c r="D823" s="19"/>
      <c r="E823" s="19"/>
      <c r="F823" s="19"/>
      <c r="G823" s="19"/>
      <c r="H823" s="19"/>
      <c r="I823" s="19"/>
      <c r="J823" s="19"/>
      <c r="K823" s="19"/>
      <c r="L823" s="19"/>
      <c r="M823" s="19"/>
      <c r="N823" s="19"/>
      <c r="O823" s="19"/>
      <c r="P823" s="19"/>
    </row>
    <row r="824">
      <c r="A824" s="19"/>
      <c r="B824" s="19"/>
      <c r="C824" s="19"/>
      <c r="D824" s="19"/>
      <c r="E824" s="19"/>
      <c r="F824" s="19"/>
      <c r="G824" s="19"/>
      <c r="H824" s="19"/>
      <c r="I824" s="19"/>
      <c r="J824" s="19"/>
      <c r="K824" s="19"/>
      <c r="L824" s="19"/>
      <c r="M824" s="19"/>
      <c r="N824" s="19"/>
      <c r="O824" s="19"/>
      <c r="P824" s="19"/>
    </row>
    <row r="825">
      <c r="A825" s="19"/>
      <c r="B825" s="19"/>
      <c r="C825" s="19"/>
      <c r="D825" s="19"/>
      <c r="E825" s="19"/>
      <c r="F825" s="19"/>
      <c r="G825" s="19"/>
      <c r="H825" s="19"/>
      <c r="I825" s="19"/>
      <c r="J825" s="19"/>
      <c r="K825" s="19"/>
      <c r="L825" s="19"/>
      <c r="M825" s="19"/>
      <c r="N825" s="19"/>
      <c r="O825" s="19"/>
      <c r="P825" s="19"/>
    </row>
    <row r="826">
      <c r="A826" s="19"/>
      <c r="B826" s="19"/>
      <c r="C826" s="19"/>
      <c r="D826" s="19"/>
      <c r="E826" s="19"/>
      <c r="F826" s="19"/>
      <c r="G826" s="19"/>
      <c r="H826" s="19"/>
      <c r="I826" s="19"/>
      <c r="J826" s="19"/>
      <c r="K826" s="19"/>
      <c r="L826" s="19"/>
      <c r="M826" s="19"/>
      <c r="N826" s="19"/>
      <c r="O826" s="19"/>
      <c r="P826" s="19"/>
    </row>
    <row r="827">
      <c r="A827" s="19"/>
      <c r="B827" s="19"/>
      <c r="C827" s="19"/>
      <c r="D827" s="19"/>
      <c r="E827" s="19"/>
      <c r="F827" s="19"/>
      <c r="G827" s="19"/>
      <c r="H827" s="19"/>
      <c r="I827" s="19"/>
      <c r="J827" s="19"/>
      <c r="K827" s="19"/>
      <c r="L827" s="19"/>
      <c r="M827" s="19"/>
      <c r="N827" s="19"/>
      <c r="O827" s="19"/>
      <c r="P827" s="19"/>
    </row>
    <row r="828">
      <c r="A828" s="19"/>
      <c r="B828" s="19"/>
      <c r="C828" s="19"/>
      <c r="D828" s="19"/>
      <c r="E828" s="19"/>
      <c r="F828" s="19"/>
      <c r="G828" s="19"/>
      <c r="H828" s="19"/>
      <c r="I828" s="19"/>
      <c r="J828" s="19"/>
      <c r="K828" s="19"/>
      <c r="L828" s="19"/>
      <c r="M828" s="19"/>
      <c r="N828" s="19"/>
      <c r="O828" s="19"/>
      <c r="P828" s="19"/>
    </row>
    <row r="829">
      <c r="A829" s="19"/>
      <c r="B829" s="19"/>
      <c r="C829" s="19"/>
      <c r="D829" s="19"/>
      <c r="E829" s="19"/>
      <c r="F829" s="19"/>
      <c r="G829" s="19"/>
      <c r="H829" s="19"/>
      <c r="I829" s="19"/>
      <c r="J829" s="19"/>
      <c r="K829" s="19"/>
      <c r="L829" s="19"/>
      <c r="M829" s="19"/>
      <c r="N829" s="19"/>
      <c r="O829" s="19"/>
      <c r="P829" s="19"/>
    </row>
    <row r="830">
      <c r="A830" s="19"/>
      <c r="B830" s="19"/>
      <c r="C830" s="19"/>
      <c r="D830" s="19"/>
      <c r="E830" s="19"/>
      <c r="F830" s="19"/>
      <c r="G830" s="19"/>
      <c r="H830" s="19"/>
      <c r="I830" s="19"/>
      <c r="J830" s="19"/>
      <c r="K830" s="19"/>
      <c r="L830" s="19"/>
      <c r="M830" s="19"/>
      <c r="N830" s="19"/>
      <c r="O830" s="19"/>
      <c r="P830" s="19"/>
    </row>
    <row r="831">
      <c r="A831" s="19"/>
      <c r="B831" s="19"/>
      <c r="C831" s="19"/>
      <c r="D831" s="19"/>
      <c r="E831" s="19"/>
      <c r="F831" s="19"/>
      <c r="G831" s="19"/>
      <c r="H831" s="19"/>
      <c r="I831" s="19"/>
      <c r="J831" s="19"/>
      <c r="K831" s="19"/>
      <c r="L831" s="19"/>
      <c r="M831" s="19"/>
      <c r="N831" s="19"/>
      <c r="O831" s="19"/>
      <c r="P831" s="19"/>
    </row>
    <row r="832">
      <c r="A832" s="19"/>
      <c r="B832" s="19"/>
      <c r="C832" s="19"/>
      <c r="D832" s="19"/>
      <c r="E832" s="19"/>
      <c r="F832" s="19"/>
      <c r="G832" s="19"/>
      <c r="H832" s="19"/>
      <c r="I832" s="19"/>
      <c r="J832" s="19"/>
      <c r="K832" s="19"/>
      <c r="L832" s="19"/>
      <c r="M832" s="19"/>
      <c r="N832" s="19"/>
      <c r="O832" s="19"/>
      <c r="P832" s="19"/>
    </row>
    <row r="833">
      <c r="A833" s="19"/>
      <c r="B833" s="19"/>
      <c r="C833" s="19"/>
      <c r="D833" s="19"/>
      <c r="E833" s="19"/>
      <c r="F833" s="19"/>
      <c r="G833" s="19"/>
      <c r="H833" s="19"/>
      <c r="I833" s="19"/>
      <c r="J833" s="19"/>
      <c r="K833" s="19"/>
      <c r="L833" s="19"/>
      <c r="M833" s="19"/>
      <c r="N833" s="19"/>
      <c r="O833" s="19"/>
      <c r="P833" s="19"/>
    </row>
    <row r="834">
      <c r="A834" s="19"/>
      <c r="B834" s="19"/>
      <c r="C834" s="19"/>
      <c r="D834" s="19"/>
      <c r="E834" s="19"/>
      <c r="F834" s="19"/>
      <c r="G834" s="19"/>
      <c r="H834" s="19"/>
      <c r="I834" s="19"/>
      <c r="J834" s="19"/>
      <c r="K834" s="19"/>
      <c r="L834" s="19"/>
      <c r="M834" s="19"/>
      <c r="N834" s="19"/>
      <c r="O834" s="19"/>
      <c r="P834" s="19"/>
    </row>
    <row r="835">
      <c r="A835" s="19"/>
      <c r="B835" s="19"/>
      <c r="C835" s="19"/>
      <c r="D835" s="19"/>
      <c r="E835" s="19"/>
      <c r="F835" s="19"/>
      <c r="G835" s="19"/>
      <c r="H835" s="19"/>
      <c r="I835" s="19"/>
      <c r="J835" s="19"/>
      <c r="K835" s="19"/>
      <c r="L835" s="19"/>
      <c r="M835" s="19"/>
      <c r="N835" s="19"/>
      <c r="O835" s="19"/>
      <c r="P835" s="19"/>
    </row>
    <row r="836">
      <c r="A836" s="19"/>
      <c r="B836" s="19"/>
      <c r="C836" s="19"/>
      <c r="D836" s="19"/>
      <c r="E836" s="19"/>
      <c r="F836" s="19"/>
      <c r="G836" s="19"/>
      <c r="H836" s="19"/>
      <c r="I836" s="19"/>
      <c r="J836" s="19"/>
      <c r="K836" s="19"/>
      <c r="L836" s="19"/>
      <c r="M836" s="19"/>
      <c r="N836" s="19"/>
      <c r="O836" s="19"/>
      <c r="P836" s="19"/>
    </row>
    <row r="837">
      <c r="A837" s="19"/>
      <c r="B837" s="19"/>
      <c r="C837" s="19"/>
      <c r="D837" s="19"/>
      <c r="E837" s="19"/>
      <c r="F837" s="19"/>
      <c r="G837" s="19"/>
      <c r="H837" s="19"/>
      <c r="I837" s="19"/>
      <c r="J837" s="19"/>
      <c r="K837" s="19"/>
      <c r="L837" s="19"/>
      <c r="M837" s="19"/>
      <c r="N837" s="19"/>
      <c r="O837" s="19"/>
      <c r="P837" s="19"/>
    </row>
    <row r="838">
      <c r="A838" s="19"/>
      <c r="B838" s="19"/>
      <c r="C838" s="19"/>
      <c r="D838" s="19"/>
      <c r="E838" s="19"/>
      <c r="F838" s="19"/>
      <c r="G838" s="19"/>
      <c r="H838" s="19"/>
      <c r="I838" s="19"/>
      <c r="J838" s="19"/>
      <c r="K838" s="19"/>
      <c r="L838" s="19"/>
      <c r="M838" s="19"/>
      <c r="N838" s="19"/>
      <c r="O838" s="19"/>
      <c r="P838" s="19"/>
    </row>
    <row r="839">
      <c r="A839" s="19"/>
      <c r="B839" s="19"/>
      <c r="C839" s="19"/>
      <c r="D839" s="19"/>
      <c r="E839" s="19"/>
      <c r="F839" s="19"/>
      <c r="G839" s="19"/>
      <c r="H839" s="19"/>
      <c r="I839" s="19"/>
      <c r="J839" s="19"/>
      <c r="K839" s="19"/>
      <c r="L839" s="19"/>
      <c r="M839" s="19"/>
      <c r="N839" s="19"/>
      <c r="O839" s="19"/>
      <c r="P839" s="19"/>
    </row>
    <row r="840">
      <c r="A840" s="19"/>
      <c r="B840" s="19"/>
      <c r="C840" s="19"/>
      <c r="D840" s="19"/>
      <c r="E840" s="19"/>
      <c r="F840" s="19"/>
      <c r="G840" s="19"/>
      <c r="H840" s="19"/>
      <c r="I840" s="19"/>
      <c r="J840" s="19"/>
      <c r="K840" s="19"/>
      <c r="L840" s="19"/>
      <c r="M840" s="19"/>
      <c r="N840" s="19"/>
      <c r="O840" s="19"/>
      <c r="P840" s="19"/>
    </row>
    <row r="841">
      <c r="A841" s="19"/>
      <c r="B841" s="19"/>
      <c r="C841" s="19"/>
      <c r="D841" s="19"/>
      <c r="E841" s="19"/>
      <c r="F841" s="19"/>
      <c r="G841" s="19"/>
      <c r="H841" s="19"/>
      <c r="I841" s="19"/>
      <c r="J841" s="19"/>
      <c r="K841" s="19"/>
      <c r="L841" s="19"/>
      <c r="M841" s="19"/>
      <c r="N841" s="19"/>
      <c r="O841" s="19"/>
      <c r="P841" s="19"/>
    </row>
    <row r="842">
      <c r="A842" s="19"/>
      <c r="B842" s="19"/>
      <c r="C842" s="19"/>
      <c r="D842" s="19"/>
      <c r="E842" s="19"/>
      <c r="F842" s="19"/>
      <c r="G842" s="19"/>
      <c r="H842" s="19"/>
      <c r="I842" s="19"/>
      <c r="J842" s="19"/>
      <c r="K842" s="19"/>
      <c r="L842" s="19"/>
      <c r="M842" s="19"/>
      <c r="N842" s="19"/>
      <c r="O842" s="19"/>
      <c r="P842" s="19"/>
    </row>
    <row r="843">
      <c r="A843" s="19"/>
      <c r="B843" s="19"/>
      <c r="C843" s="19"/>
      <c r="D843" s="19"/>
      <c r="E843" s="19"/>
      <c r="F843" s="19"/>
      <c r="G843" s="19"/>
      <c r="H843" s="19"/>
      <c r="I843" s="19"/>
      <c r="J843" s="19"/>
      <c r="K843" s="19"/>
      <c r="L843" s="19"/>
      <c r="M843" s="19"/>
      <c r="N843" s="19"/>
      <c r="O843" s="19"/>
      <c r="P843" s="19"/>
    </row>
    <row r="844">
      <c r="A844" s="19"/>
      <c r="B844" s="19"/>
      <c r="C844" s="19"/>
      <c r="D844" s="19"/>
      <c r="E844" s="19"/>
      <c r="F844" s="19"/>
      <c r="G844" s="19"/>
      <c r="H844" s="19"/>
      <c r="I844" s="19"/>
      <c r="J844" s="19"/>
      <c r="K844" s="19"/>
      <c r="L844" s="19"/>
      <c r="M844" s="19"/>
      <c r="N844" s="19"/>
      <c r="O844" s="19"/>
      <c r="P844" s="19"/>
    </row>
    <row r="845">
      <c r="A845" s="19"/>
      <c r="B845" s="19"/>
      <c r="C845" s="19"/>
      <c r="D845" s="19"/>
      <c r="E845" s="19"/>
      <c r="F845" s="19"/>
      <c r="G845" s="19"/>
      <c r="H845" s="19"/>
      <c r="I845" s="19"/>
      <c r="J845" s="19"/>
      <c r="K845" s="19"/>
      <c r="L845" s="19"/>
      <c r="M845" s="19"/>
      <c r="N845" s="19"/>
      <c r="O845" s="19"/>
      <c r="P845" s="19"/>
    </row>
    <row r="846">
      <c r="A846" s="19"/>
      <c r="B846" s="19"/>
      <c r="C846" s="19"/>
      <c r="D846" s="19"/>
      <c r="E846" s="19"/>
      <c r="F846" s="19"/>
      <c r="G846" s="19"/>
      <c r="H846" s="19"/>
      <c r="I846" s="19"/>
      <c r="J846" s="19"/>
      <c r="K846" s="19"/>
      <c r="L846" s="19"/>
      <c r="M846" s="19"/>
      <c r="N846" s="19"/>
      <c r="O846" s="19"/>
      <c r="P846" s="19"/>
    </row>
    <row r="847">
      <c r="A847" s="19"/>
      <c r="B847" s="19"/>
      <c r="C847" s="19"/>
      <c r="D847" s="19"/>
      <c r="E847" s="19"/>
      <c r="F847" s="19"/>
      <c r="G847" s="19"/>
      <c r="H847" s="19"/>
      <c r="I847" s="19"/>
      <c r="J847" s="19"/>
      <c r="K847" s="19"/>
      <c r="L847" s="19"/>
      <c r="M847" s="19"/>
      <c r="N847" s="19"/>
      <c r="O847" s="19"/>
      <c r="P847" s="19"/>
    </row>
    <row r="848">
      <c r="A848" s="19"/>
      <c r="B848" s="19"/>
      <c r="C848" s="19"/>
      <c r="D848" s="19"/>
      <c r="E848" s="19"/>
      <c r="F848" s="19"/>
      <c r="G848" s="19"/>
      <c r="H848" s="19"/>
      <c r="I848" s="19"/>
      <c r="J848" s="19"/>
      <c r="K848" s="19"/>
      <c r="L848" s="19"/>
      <c r="M848" s="19"/>
      <c r="N848" s="19"/>
      <c r="O848" s="19"/>
      <c r="P848" s="19"/>
    </row>
    <row r="849">
      <c r="A849" s="19"/>
      <c r="B849" s="19"/>
      <c r="C849" s="19"/>
      <c r="D849" s="19"/>
      <c r="E849" s="19"/>
      <c r="F849" s="19"/>
      <c r="G849" s="19"/>
      <c r="H849" s="19"/>
      <c r="I849" s="19"/>
      <c r="J849" s="19"/>
      <c r="K849" s="19"/>
      <c r="L849" s="19"/>
      <c r="M849" s="19"/>
      <c r="N849" s="19"/>
      <c r="O849" s="19"/>
      <c r="P849" s="19"/>
    </row>
    <row r="850">
      <c r="A850" s="19"/>
      <c r="B850" s="19"/>
      <c r="C850" s="19"/>
      <c r="D850" s="19"/>
      <c r="E850" s="19"/>
      <c r="F850" s="19"/>
      <c r="G850" s="19"/>
      <c r="H850" s="19"/>
      <c r="I850" s="19"/>
      <c r="J850" s="19"/>
      <c r="K850" s="19"/>
      <c r="L850" s="19"/>
      <c r="M850" s="19"/>
      <c r="N850" s="19"/>
      <c r="O850" s="19"/>
      <c r="P850" s="19"/>
    </row>
    <row r="851">
      <c r="A851" s="19"/>
      <c r="B851" s="19"/>
      <c r="C851" s="19"/>
      <c r="D851" s="19"/>
      <c r="E851" s="19"/>
      <c r="F851" s="19"/>
      <c r="G851" s="19"/>
      <c r="H851" s="19"/>
      <c r="I851" s="19"/>
      <c r="J851" s="19"/>
      <c r="K851" s="19"/>
      <c r="L851" s="19"/>
      <c r="M851" s="19"/>
      <c r="N851" s="19"/>
      <c r="O851" s="19"/>
      <c r="P851" s="19"/>
    </row>
    <row r="852">
      <c r="A852" s="19"/>
      <c r="B852" s="19"/>
      <c r="C852" s="19"/>
      <c r="D852" s="19"/>
      <c r="E852" s="19"/>
      <c r="F852" s="19"/>
      <c r="G852" s="19"/>
      <c r="H852" s="19"/>
      <c r="I852" s="19"/>
      <c r="J852" s="19"/>
      <c r="K852" s="19"/>
      <c r="L852" s="19"/>
      <c r="M852" s="19"/>
      <c r="N852" s="19"/>
      <c r="O852" s="19"/>
      <c r="P852" s="19"/>
    </row>
    <row r="853">
      <c r="A853" s="19"/>
      <c r="B853" s="19"/>
      <c r="C853" s="19"/>
      <c r="D853" s="19"/>
      <c r="E853" s="19"/>
      <c r="F853" s="19"/>
      <c r="G853" s="19"/>
      <c r="H853" s="19"/>
      <c r="I853" s="19"/>
      <c r="J853" s="19"/>
      <c r="K853" s="19"/>
      <c r="L853" s="19"/>
      <c r="M853" s="19"/>
      <c r="N853" s="19"/>
      <c r="O853" s="19"/>
      <c r="P853" s="19"/>
    </row>
    <row r="854">
      <c r="A854" s="19"/>
      <c r="B854" s="19"/>
      <c r="C854" s="19"/>
      <c r="D854" s="19"/>
      <c r="E854" s="19"/>
      <c r="F854" s="19"/>
      <c r="G854" s="19"/>
      <c r="H854" s="19"/>
      <c r="I854" s="19"/>
      <c r="J854" s="19"/>
      <c r="K854" s="19"/>
      <c r="L854" s="19"/>
      <c r="M854" s="19"/>
      <c r="N854" s="19"/>
      <c r="O854" s="19"/>
      <c r="P854" s="19"/>
    </row>
    <row r="855">
      <c r="A855" s="19"/>
      <c r="B855" s="19"/>
      <c r="C855" s="19"/>
      <c r="D855" s="19"/>
      <c r="E855" s="19"/>
      <c r="F855" s="19"/>
      <c r="G855" s="19"/>
      <c r="H855" s="19"/>
      <c r="I855" s="19"/>
      <c r="J855" s="19"/>
      <c r="K855" s="19"/>
      <c r="L855" s="19"/>
      <c r="M855" s="19"/>
      <c r="N855" s="19"/>
      <c r="O855" s="19"/>
      <c r="P855" s="19"/>
    </row>
    <row r="856">
      <c r="A856" s="19"/>
      <c r="B856" s="19"/>
      <c r="C856" s="19"/>
      <c r="D856" s="19"/>
      <c r="E856" s="19"/>
      <c r="F856" s="19"/>
      <c r="G856" s="19"/>
      <c r="H856" s="19"/>
      <c r="I856" s="19"/>
      <c r="J856" s="19"/>
      <c r="K856" s="19"/>
      <c r="L856" s="19"/>
      <c r="M856" s="19"/>
      <c r="N856" s="19"/>
      <c r="O856" s="19"/>
      <c r="P856" s="19"/>
    </row>
    <row r="857">
      <c r="A857" s="19"/>
      <c r="B857" s="19"/>
      <c r="C857" s="19"/>
      <c r="D857" s="19"/>
      <c r="E857" s="19"/>
      <c r="F857" s="19"/>
      <c r="G857" s="19"/>
      <c r="H857" s="19"/>
      <c r="I857" s="19"/>
      <c r="J857" s="19"/>
      <c r="K857" s="19"/>
      <c r="L857" s="19"/>
      <c r="M857" s="19"/>
      <c r="N857" s="19"/>
      <c r="O857" s="19"/>
      <c r="P857" s="19"/>
    </row>
    <row r="858">
      <c r="A858" s="19"/>
      <c r="B858" s="19"/>
      <c r="C858" s="19"/>
      <c r="D858" s="19"/>
      <c r="E858" s="19"/>
      <c r="F858" s="19"/>
      <c r="G858" s="19"/>
      <c r="H858" s="19"/>
      <c r="I858" s="19"/>
      <c r="J858" s="19"/>
      <c r="K858" s="19"/>
      <c r="L858" s="19"/>
      <c r="M858" s="19"/>
      <c r="N858" s="19"/>
      <c r="O858" s="19"/>
      <c r="P858" s="19"/>
    </row>
    <row r="859">
      <c r="A859" s="19"/>
      <c r="B859" s="19"/>
      <c r="C859" s="19"/>
      <c r="D859" s="19"/>
      <c r="E859" s="19"/>
      <c r="F859" s="19"/>
      <c r="G859" s="19"/>
      <c r="H859" s="19"/>
      <c r="I859" s="19"/>
      <c r="J859" s="19"/>
      <c r="K859" s="19"/>
      <c r="L859" s="19"/>
      <c r="M859" s="19"/>
      <c r="N859" s="19"/>
      <c r="O859" s="19"/>
      <c r="P859" s="19"/>
    </row>
    <row r="860">
      <c r="A860" s="19"/>
      <c r="B860" s="19"/>
      <c r="C860" s="19"/>
      <c r="D860" s="19"/>
      <c r="E860" s="19"/>
      <c r="F860" s="19"/>
      <c r="G860" s="19"/>
      <c r="H860" s="19"/>
      <c r="I860" s="19"/>
      <c r="J860" s="19"/>
      <c r="K860" s="19"/>
      <c r="L860" s="19"/>
      <c r="M860" s="19"/>
      <c r="N860" s="19"/>
      <c r="O860" s="19"/>
      <c r="P860" s="19"/>
    </row>
    <row r="861">
      <c r="A861" s="19"/>
      <c r="B861" s="19"/>
      <c r="C861" s="19"/>
      <c r="D861" s="19"/>
      <c r="E861" s="19"/>
      <c r="F861" s="19"/>
      <c r="G861" s="19"/>
      <c r="H861" s="19"/>
      <c r="I861" s="19"/>
      <c r="J861" s="19"/>
      <c r="K861" s="19"/>
      <c r="L861" s="19"/>
      <c r="M861" s="19"/>
      <c r="N861" s="19"/>
      <c r="O861" s="19"/>
      <c r="P861" s="19"/>
    </row>
    <row r="862">
      <c r="A862" s="19"/>
      <c r="B862" s="19"/>
      <c r="C862" s="19"/>
      <c r="D862" s="19"/>
      <c r="E862" s="19"/>
      <c r="F862" s="19"/>
      <c r="G862" s="19"/>
      <c r="H862" s="19"/>
      <c r="I862" s="19"/>
      <c r="J862" s="19"/>
      <c r="K862" s="19"/>
      <c r="L862" s="19"/>
      <c r="M862" s="19"/>
      <c r="N862" s="19"/>
      <c r="O862" s="19"/>
      <c r="P862" s="19"/>
    </row>
    <row r="863">
      <c r="A863" s="19"/>
      <c r="B863" s="19"/>
      <c r="C863" s="19"/>
      <c r="D863" s="19"/>
      <c r="E863" s="19"/>
      <c r="F863" s="19"/>
      <c r="G863" s="19"/>
      <c r="H863" s="19"/>
      <c r="I863" s="19"/>
      <c r="J863" s="19"/>
      <c r="K863" s="19"/>
      <c r="L863" s="19"/>
      <c r="M863" s="19"/>
      <c r="N863" s="19"/>
      <c r="O863" s="19"/>
      <c r="P863" s="19"/>
    </row>
    <row r="864">
      <c r="A864" s="19"/>
      <c r="B864" s="19"/>
      <c r="C864" s="19"/>
      <c r="D864" s="19"/>
      <c r="E864" s="19"/>
      <c r="F864" s="19"/>
      <c r="G864" s="19"/>
      <c r="H864" s="19"/>
      <c r="I864" s="19"/>
      <c r="J864" s="19"/>
      <c r="K864" s="19"/>
      <c r="L864" s="19"/>
      <c r="M864" s="19"/>
      <c r="N864" s="19"/>
      <c r="O864" s="19"/>
      <c r="P864" s="19"/>
    </row>
    <row r="865">
      <c r="A865" s="19"/>
      <c r="B865" s="19"/>
      <c r="C865" s="19"/>
      <c r="D865" s="19"/>
      <c r="E865" s="19"/>
      <c r="F865" s="19"/>
      <c r="G865" s="19"/>
      <c r="H865" s="19"/>
      <c r="I865" s="19"/>
      <c r="J865" s="19"/>
      <c r="K865" s="19"/>
      <c r="L865" s="19"/>
      <c r="M865" s="19"/>
      <c r="N865" s="19"/>
      <c r="O865" s="19"/>
      <c r="P865" s="19"/>
    </row>
    <row r="866">
      <c r="A866" s="19"/>
      <c r="B866" s="19"/>
      <c r="C866" s="19"/>
      <c r="D866" s="19"/>
      <c r="E866" s="19"/>
      <c r="F866" s="19"/>
      <c r="G866" s="19"/>
      <c r="H866" s="19"/>
      <c r="I866" s="19"/>
      <c r="J866" s="19"/>
      <c r="K866" s="19"/>
      <c r="L866" s="19"/>
      <c r="M866" s="19"/>
      <c r="N866" s="19"/>
      <c r="O866" s="19"/>
      <c r="P866" s="19"/>
    </row>
    <row r="867">
      <c r="A867" s="19"/>
      <c r="B867" s="19"/>
      <c r="C867" s="19"/>
      <c r="D867" s="19"/>
      <c r="E867" s="19"/>
      <c r="F867" s="19"/>
      <c r="G867" s="19"/>
      <c r="H867" s="19"/>
      <c r="I867" s="19"/>
      <c r="J867" s="19"/>
      <c r="K867" s="19"/>
      <c r="L867" s="19"/>
      <c r="M867" s="19"/>
      <c r="N867" s="19"/>
      <c r="O867" s="19"/>
      <c r="P867" s="19"/>
    </row>
    <row r="868">
      <c r="A868" s="19"/>
      <c r="B868" s="19"/>
      <c r="C868" s="19"/>
      <c r="D868" s="19"/>
      <c r="E868" s="19"/>
      <c r="F868" s="19"/>
      <c r="G868" s="19"/>
      <c r="H868" s="19"/>
      <c r="I868" s="19"/>
      <c r="J868" s="19"/>
      <c r="K868" s="19"/>
      <c r="L868" s="19"/>
      <c r="M868" s="19"/>
      <c r="N868" s="19"/>
      <c r="O868" s="19"/>
      <c r="P868" s="19"/>
    </row>
    <row r="869">
      <c r="A869" s="19"/>
      <c r="B869" s="19"/>
      <c r="C869" s="19"/>
      <c r="D869" s="19"/>
      <c r="E869" s="19"/>
      <c r="F869" s="19"/>
      <c r="G869" s="19"/>
      <c r="H869" s="19"/>
      <c r="I869" s="19"/>
      <c r="J869" s="19"/>
      <c r="K869" s="19"/>
      <c r="L869" s="19"/>
      <c r="M869" s="19"/>
      <c r="N869" s="19"/>
      <c r="O869" s="19"/>
      <c r="P869" s="19"/>
    </row>
    <row r="870">
      <c r="A870" s="19"/>
      <c r="B870" s="19"/>
      <c r="C870" s="19"/>
      <c r="D870" s="19"/>
      <c r="E870" s="19"/>
      <c r="F870" s="19"/>
      <c r="G870" s="19"/>
      <c r="H870" s="19"/>
      <c r="I870" s="19"/>
      <c r="J870" s="19"/>
      <c r="K870" s="19"/>
      <c r="L870" s="19"/>
      <c r="M870" s="19"/>
      <c r="N870" s="19"/>
      <c r="O870" s="19"/>
      <c r="P870" s="19"/>
    </row>
    <row r="871">
      <c r="A871" s="19"/>
      <c r="B871" s="19"/>
      <c r="C871" s="19"/>
      <c r="D871" s="19"/>
      <c r="E871" s="19"/>
      <c r="F871" s="19"/>
      <c r="G871" s="19"/>
      <c r="H871" s="19"/>
      <c r="I871" s="19"/>
      <c r="J871" s="19"/>
      <c r="K871" s="19"/>
      <c r="L871" s="19"/>
      <c r="M871" s="19"/>
      <c r="N871" s="19"/>
      <c r="O871" s="19"/>
      <c r="P871" s="19"/>
    </row>
    <row r="872">
      <c r="A872" s="19"/>
      <c r="B872" s="19"/>
      <c r="C872" s="19"/>
      <c r="D872" s="19"/>
      <c r="E872" s="19"/>
      <c r="F872" s="19"/>
      <c r="G872" s="19"/>
      <c r="H872" s="19"/>
      <c r="I872" s="19"/>
      <c r="J872" s="19"/>
      <c r="K872" s="19"/>
      <c r="L872" s="19"/>
      <c r="M872" s="19"/>
      <c r="N872" s="19"/>
      <c r="O872" s="19"/>
      <c r="P872" s="19"/>
    </row>
    <row r="873">
      <c r="A873" s="19"/>
      <c r="B873" s="19"/>
      <c r="C873" s="19"/>
      <c r="D873" s="19"/>
      <c r="E873" s="19"/>
      <c r="F873" s="19"/>
      <c r="G873" s="19"/>
      <c r="H873" s="19"/>
      <c r="I873" s="19"/>
      <c r="J873" s="19"/>
      <c r="K873" s="19"/>
      <c r="L873" s="19"/>
      <c r="M873" s="19"/>
      <c r="N873" s="19"/>
      <c r="O873" s="19"/>
      <c r="P873" s="19"/>
    </row>
    <row r="874">
      <c r="A874" s="19"/>
      <c r="B874" s="19"/>
      <c r="C874" s="19"/>
      <c r="D874" s="19"/>
      <c r="E874" s="19"/>
      <c r="F874" s="19"/>
      <c r="G874" s="19"/>
      <c r="H874" s="19"/>
      <c r="I874" s="19"/>
      <c r="J874" s="19"/>
      <c r="K874" s="19"/>
      <c r="L874" s="19"/>
      <c r="M874" s="19"/>
      <c r="N874" s="19"/>
      <c r="O874" s="19"/>
      <c r="P874" s="19"/>
    </row>
    <row r="875">
      <c r="A875" s="19"/>
      <c r="B875" s="19"/>
      <c r="C875" s="19"/>
      <c r="D875" s="19"/>
      <c r="E875" s="19"/>
      <c r="F875" s="19"/>
      <c r="G875" s="19"/>
      <c r="H875" s="19"/>
      <c r="I875" s="19"/>
      <c r="J875" s="19"/>
      <c r="K875" s="19"/>
      <c r="L875" s="19"/>
      <c r="M875" s="19"/>
      <c r="N875" s="19"/>
      <c r="O875" s="19"/>
      <c r="P875" s="19"/>
    </row>
    <row r="876">
      <c r="A876" s="19"/>
      <c r="B876" s="19"/>
      <c r="C876" s="19"/>
      <c r="D876" s="19"/>
      <c r="E876" s="19"/>
      <c r="F876" s="19"/>
      <c r="G876" s="19"/>
      <c r="H876" s="19"/>
      <c r="I876" s="19"/>
      <c r="J876" s="19"/>
      <c r="K876" s="19"/>
      <c r="L876" s="19"/>
      <c r="M876" s="19"/>
      <c r="N876" s="19"/>
      <c r="O876" s="19"/>
      <c r="P876" s="19"/>
    </row>
    <row r="877">
      <c r="A877" s="19"/>
      <c r="B877" s="19"/>
      <c r="C877" s="19"/>
      <c r="D877" s="19"/>
      <c r="E877" s="19"/>
      <c r="F877" s="19"/>
      <c r="G877" s="19"/>
      <c r="H877" s="19"/>
      <c r="I877" s="19"/>
      <c r="J877" s="19"/>
      <c r="K877" s="19"/>
      <c r="L877" s="19"/>
      <c r="M877" s="19"/>
      <c r="N877" s="19"/>
      <c r="O877" s="19"/>
      <c r="P877" s="19"/>
    </row>
    <row r="878">
      <c r="A878" s="19"/>
      <c r="B878" s="19"/>
      <c r="C878" s="19"/>
      <c r="D878" s="19"/>
      <c r="E878" s="19"/>
      <c r="F878" s="19"/>
      <c r="G878" s="19"/>
      <c r="H878" s="19"/>
      <c r="I878" s="19"/>
      <c r="J878" s="19"/>
      <c r="K878" s="19"/>
      <c r="L878" s="19"/>
      <c r="M878" s="19"/>
      <c r="N878" s="19"/>
      <c r="O878" s="19"/>
      <c r="P878" s="19"/>
    </row>
    <row r="879">
      <c r="A879" s="19"/>
      <c r="B879" s="19"/>
      <c r="C879" s="19"/>
      <c r="D879" s="19"/>
      <c r="E879" s="19"/>
      <c r="F879" s="19"/>
      <c r="G879" s="19"/>
      <c r="H879" s="19"/>
      <c r="I879" s="19"/>
      <c r="J879" s="19"/>
      <c r="K879" s="19"/>
      <c r="L879" s="19"/>
      <c r="M879" s="19"/>
      <c r="N879" s="19"/>
      <c r="O879" s="19"/>
      <c r="P879" s="19"/>
    </row>
    <row r="880">
      <c r="A880" s="19"/>
      <c r="B880" s="19"/>
      <c r="C880" s="19"/>
      <c r="D880" s="19"/>
      <c r="E880" s="19"/>
      <c r="F880" s="19"/>
      <c r="G880" s="19"/>
      <c r="H880" s="19"/>
      <c r="I880" s="19"/>
      <c r="J880" s="19"/>
      <c r="K880" s="19"/>
      <c r="L880" s="19"/>
      <c r="M880" s="19"/>
      <c r="N880" s="19"/>
      <c r="O880" s="19"/>
      <c r="P880" s="19"/>
    </row>
    <row r="881">
      <c r="A881" s="19"/>
      <c r="B881" s="19"/>
      <c r="C881" s="19"/>
      <c r="D881" s="19"/>
      <c r="E881" s="19"/>
      <c r="F881" s="19"/>
      <c r="G881" s="19"/>
      <c r="H881" s="19"/>
      <c r="I881" s="19"/>
      <c r="J881" s="19"/>
      <c r="K881" s="19"/>
      <c r="L881" s="19"/>
      <c r="M881" s="19"/>
      <c r="N881" s="19"/>
      <c r="O881" s="19"/>
      <c r="P881" s="19"/>
    </row>
    <row r="882">
      <c r="A882" s="19"/>
      <c r="B882" s="19"/>
      <c r="C882" s="19"/>
      <c r="D882" s="19"/>
      <c r="E882" s="19"/>
      <c r="F882" s="19"/>
      <c r="G882" s="19"/>
      <c r="H882" s="19"/>
      <c r="I882" s="19"/>
      <c r="J882" s="19"/>
      <c r="K882" s="19"/>
      <c r="L882" s="19"/>
      <c r="M882" s="19"/>
      <c r="N882" s="19"/>
      <c r="O882" s="19"/>
      <c r="P882" s="19"/>
    </row>
    <row r="883">
      <c r="A883" s="19"/>
      <c r="B883" s="19"/>
      <c r="C883" s="19"/>
      <c r="D883" s="19"/>
      <c r="E883" s="19"/>
      <c r="F883" s="19"/>
      <c r="G883" s="19"/>
      <c r="H883" s="19"/>
      <c r="I883" s="19"/>
      <c r="J883" s="19"/>
      <c r="K883" s="19"/>
      <c r="L883" s="19"/>
      <c r="M883" s="19"/>
      <c r="N883" s="19"/>
      <c r="O883" s="19"/>
      <c r="P883" s="19"/>
    </row>
    <row r="884">
      <c r="A884" s="19"/>
      <c r="B884" s="19"/>
      <c r="C884" s="19"/>
      <c r="D884" s="19"/>
      <c r="E884" s="19"/>
      <c r="F884" s="19"/>
      <c r="G884" s="19"/>
      <c r="H884" s="19"/>
      <c r="I884" s="19"/>
      <c r="J884" s="19"/>
      <c r="K884" s="19"/>
      <c r="L884" s="19"/>
      <c r="M884" s="19"/>
      <c r="N884" s="19"/>
      <c r="O884" s="19"/>
      <c r="P884" s="19"/>
    </row>
    <row r="885">
      <c r="A885" s="19"/>
      <c r="B885" s="19"/>
      <c r="C885" s="19"/>
      <c r="D885" s="19"/>
      <c r="E885" s="19"/>
      <c r="F885" s="19"/>
      <c r="G885" s="19"/>
      <c r="H885" s="19"/>
      <c r="I885" s="19"/>
      <c r="J885" s="19"/>
      <c r="K885" s="19"/>
      <c r="L885" s="19"/>
      <c r="M885" s="19"/>
      <c r="N885" s="19"/>
      <c r="O885" s="19"/>
      <c r="P885" s="19"/>
    </row>
    <row r="886">
      <c r="A886" s="19"/>
      <c r="B886" s="19"/>
      <c r="C886" s="19"/>
      <c r="D886" s="19"/>
      <c r="E886" s="19"/>
      <c r="F886" s="19"/>
      <c r="G886" s="19"/>
      <c r="H886" s="19"/>
      <c r="I886" s="19"/>
      <c r="J886" s="19"/>
      <c r="K886" s="19"/>
      <c r="L886" s="19"/>
      <c r="M886" s="19"/>
      <c r="N886" s="19"/>
      <c r="O886" s="19"/>
      <c r="P886" s="19"/>
    </row>
    <row r="887">
      <c r="A887" s="19"/>
      <c r="B887" s="19"/>
      <c r="C887" s="19"/>
      <c r="D887" s="19"/>
      <c r="E887" s="19"/>
      <c r="F887" s="19"/>
      <c r="G887" s="19"/>
      <c r="H887" s="19"/>
      <c r="I887" s="19"/>
      <c r="J887" s="19"/>
      <c r="K887" s="19"/>
      <c r="L887" s="19"/>
      <c r="M887" s="19"/>
      <c r="N887" s="19"/>
      <c r="O887" s="19"/>
      <c r="P887" s="19"/>
    </row>
    <row r="888">
      <c r="A888" s="19"/>
      <c r="B888" s="19"/>
      <c r="C888" s="19"/>
      <c r="D888" s="19"/>
      <c r="E888" s="19"/>
      <c r="F888" s="19"/>
      <c r="G888" s="19"/>
      <c r="H888" s="19"/>
      <c r="I888" s="19"/>
      <c r="J888" s="19"/>
      <c r="K888" s="19"/>
      <c r="L888" s="19"/>
      <c r="M888" s="19"/>
      <c r="N888" s="19"/>
      <c r="O888" s="19"/>
      <c r="P888" s="19"/>
    </row>
    <row r="889">
      <c r="A889" s="19"/>
      <c r="B889" s="19"/>
      <c r="C889" s="19"/>
      <c r="D889" s="19"/>
      <c r="E889" s="19"/>
      <c r="F889" s="19"/>
      <c r="G889" s="19"/>
      <c r="H889" s="19"/>
      <c r="I889" s="19"/>
      <c r="J889" s="19"/>
      <c r="K889" s="19"/>
      <c r="L889" s="19"/>
      <c r="M889" s="19"/>
      <c r="N889" s="19"/>
      <c r="O889" s="19"/>
      <c r="P889" s="19"/>
    </row>
    <row r="890">
      <c r="A890" s="19"/>
      <c r="B890" s="19"/>
      <c r="C890" s="19"/>
      <c r="D890" s="19"/>
      <c r="E890" s="19"/>
      <c r="F890" s="19"/>
      <c r="G890" s="19"/>
      <c r="H890" s="19"/>
      <c r="I890" s="19"/>
      <c r="J890" s="19"/>
      <c r="K890" s="19"/>
      <c r="L890" s="19"/>
      <c r="M890" s="19"/>
      <c r="N890" s="19"/>
      <c r="O890" s="19"/>
      <c r="P890" s="19"/>
    </row>
    <row r="891">
      <c r="A891" s="19"/>
      <c r="B891" s="19"/>
      <c r="C891" s="19"/>
      <c r="D891" s="19"/>
      <c r="E891" s="19"/>
      <c r="F891" s="19"/>
      <c r="G891" s="19"/>
      <c r="H891" s="19"/>
      <c r="I891" s="19"/>
      <c r="J891" s="19"/>
      <c r="K891" s="19"/>
      <c r="L891" s="19"/>
      <c r="M891" s="19"/>
      <c r="N891" s="19"/>
      <c r="O891" s="19"/>
      <c r="P891" s="19"/>
    </row>
    <row r="892">
      <c r="A892" s="19"/>
      <c r="B892" s="19"/>
      <c r="C892" s="19"/>
      <c r="D892" s="19"/>
      <c r="E892" s="19"/>
      <c r="F892" s="19"/>
      <c r="G892" s="19"/>
      <c r="H892" s="19"/>
      <c r="I892" s="19"/>
      <c r="J892" s="19"/>
      <c r="K892" s="19"/>
      <c r="L892" s="19"/>
      <c r="M892" s="19"/>
      <c r="N892" s="19"/>
      <c r="O892" s="19"/>
      <c r="P892" s="19"/>
    </row>
    <row r="893">
      <c r="A893" s="19"/>
      <c r="B893" s="19"/>
      <c r="C893" s="19"/>
      <c r="D893" s="19"/>
      <c r="E893" s="19"/>
      <c r="F893" s="19"/>
      <c r="G893" s="19"/>
      <c r="H893" s="19"/>
      <c r="I893" s="19"/>
      <c r="J893" s="19"/>
      <c r="K893" s="19"/>
      <c r="L893" s="19"/>
      <c r="M893" s="19"/>
      <c r="N893" s="19"/>
      <c r="O893" s="19"/>
      <c r="P893" s="19"/>
    </row>
    <row r="894">
      <c r="A894" s="19"/>
      <c r="B894" s="19"/>
      <c r="C894" s="19"/>
      <c r="D894" s="19"/>
      <c r="E894" s="19"/>
      <c r="F894" s="19"/>
      <c r="G894" s="19"/>
      <c r="H894" s="19"/>
      <c r="I894" s="19"/>
      <c r="J894" s="19"/>
      <c r="K894" s="19"/>
      <c r="L894" s="19"/>
      <c r="M894" s="19"/>
      <c r="N894" s="19"/>
      <c r="O894" s="19"/>
      <c r="P894" s="19"/>
    </row>
    <row r="895">
      <c r="A895" s="19"/>
      <c r="B895" s="19"/>
      <c r="C895" s="19"/>
      <c r="D895" s="19"/>
      <c r="E895" s="19"/>
      <c r="F895" s="19"/>
      <c r="G895" s="19"/>
      <c r="H895" s="19"/>
      <c r="I895" s="19"/>
      <c r="J895" s="19"/>
      <c r="K895" s="19"/>
      <c r="L895" s="19"/>
      <c r="M895" s="19"/>
      <c r="N895" s="19"/>
      <c r="O895" s="19"/>
      <c r="P895" s="19"/>
    </row>
    <row r="896">
      <c r="A896" s="19"/>
      <c r="B896" s="19"/>
      <c r="C896" s="19"/>
      <c r="D896" s="19"/>
      <c r="E896" s="19"/>
      <c r="F896" s="19"/>
      <c r="G896" s="19"/>
      <c r="H896" s="19"/>
      <c r="I896" s="19"/>
      <c r="J896" s="19"/>
      <c r="K896" s="19"/>
      <c r="L896" s="19"/>
      <c r="M896" s="19"/>
      <c r="N896" s="19"/>
      <c r="O896" s="19"/>
      <c r="P896" s="19"/>
    </row>
    <row r="897">
      <c r="A897" s="19"/>
      <c r="B897" s="19"/>
      <c r="C897" s="19"/>
      <c r="D897" s="19"/>
      <c r="E897" s="19"/>
      <c r="F897" s="19"/>
      <c r="G897" s="19"/>
      <c r="H897" s="19"/>
      <c r="I897" s="19"/>
      <c r="J897" s="19"/>
      <c r="K897" s="19"/>
      <c r="L897" s="19"/>
      <c r="M897" s="19"/>
      <c r="N897" s="19"/>
      <c r="O897" s="19"/>
      <c r="P897" s="19"/>
    </row>
    <row r="898">
      <c r="A898" s="19"/>
      <c r="B898" s="19"/>
      <c r="C898" s="19"/>
      <c r="D898" s="19"/>
      <c r="E898" s="19"/>
      <c r="F898" s="19"/>
      <c r="G898" s="19"/>
      <c r="H898" s="19"/>
      <c r="I898" s="19"/>
      <c r="J898" s="19"/>
      <c r="K898" s="19"/>
      <c r="L898" s="19"/>
      <c r="M898" s="19"/>
      <c r="N898" s="19"/>
      <c r="O898" s="19"/>
      <c r="P898" s="19"/>
    </row>
    <row r="899">
      <c r="A899" s="19"/>
      <c r="B899" s="19"/>
      <c r="C899" s="19"/>
      <c r="D899" s="19"/>
      <c r="E899" s="19"/>
      <c r="F899" s="19"/>
      <c r="G899" s="19"/>
      <c r="H899" s="19"/>
      <c r="I899" s="19"/>
      <c r="J899" s="19"/>
      <c r="K899" s="19"/>
      <c r="L899" s="19"/>
      <c r="M899" s="19"/>
      <c r="N899" s="19"/>
      <c r="O899" s="19"/>
      <c r="P899" s="19"/>
    </row>
    <row r="900">
      <c r="A900" s="19"/>
      <c r="B900" s="19"/>
      <c r="C900" s="19"/>
      <c r="D900" s="19"/>
      <c r="E900" s="19"/>
      <c r="F900" s="19"/>
      <c r="G900" s="19"/>
      <c r="H900" s="19"/>
      <c r="I900" s="19"/>
      <c r="J900" s="19"/>
      <c r="K900" s="19"/>
      <c r="L900" s="19"/>
      <c r="M900" s="19"/>
      <c r="N900" s="19"/>
      <c r="O900" s="19"/>
      <c r="P900" s="19"/>
    </row>
    <row r="901">
      <c r="A901" s="19"/>
      <c r="B901" s="19"/>
      <c r="C901" s="19"/>
      <c r="D901" s="19"/>
      <c r="E901" s="19"/>
      <c r="F901" s="19"/>
      <c r="G901" s="19"/>
      <c r="H901" s="19"/>
      <c r="I901" s="19"/>
      <c r="J901" s="19"/>
      <c r="K901" s="19"/>
      <c r="L901" s="19"/>
      <c r="M901" s="19"/>
      <c r="N901" s="19"/>
      <c r="O901" s="19"/>
      <c r="P901" s="19"/>
    </row>
    <row r="902">
      <c r="A902" s="19"/>
      <c r="B902" s="19"/>
      <c r="C902" s="19"/>
      <c r="D902" s="19"/>
      <c r="E902" s="19"/>
      <c r="F902" s="19"/>
      <c r="G902" s="19"/>
      <c r="H902" s="19"/>
      <c r="I902" s="19"/>
      <c r="J902" s="19"/>
      <c r="K902" s="19"/>
      <c r="L902" s="19"/>
      <c r="M902" s="19"/>
      <c r="N902" s="19"/>
      <c r="O902" s="19"/>
      <c r="P902" s="19"/>
    </row>
    <row r="903">
      <c r="A903" s="19"/>
      <c r="B903" s="19"/>
      <c r="C903" s="19"/>
      <c r="D903" s="19"/>
      <c r="E903" s="19"/>
      <c r="F903" s="19"/>
      <c r="G903" s="19"/>
      <c r="H903" s="19"/>
      <c r="I903" s="19"/>
      <c r="J903" s="19"/>
      <c r="K903" s="19"/>
      <c r="L903" s="19"/>
      <c r="M903" s="19"/>
      <c r="N903" s="19"/>
      <c r="O903" s="19"/>
      <c r="P903" s="19"/>
    </row>
    <row r="904">
      <c r="A904" s="19"/>
      <c r="B904" s="19"/>
      <c r="C904" s="19"/>
      <c r="D904" s="19"/>
      <c r="E904" s="19"/>
      <c r="F904" s="19"/>
      <c r="G904" s="19"/>
      <c r="H904" s="19"/>
      <c r="I904" s="19"/>
      <c r="J904" s="19"/>
      <c r="K904" s="19"/>
      <c r="L904" s="19"/>
      <c r="M904" s="19"/>
      <c r="N904" s="19"/>
      <c r="O904" s="19"/>
      <c r="P904" s="19"/>
    </row>
    <row r="905">
      <c r="A905" s="19"/>
      <c r="B905" s="19"/>
      <c r="C905" s="19"/>
      <c r="D905" s="19"/>
      <c r="E905" s="19"/>
      <c r="F905" s="19"/>
      <c r="G905" s="19"/>
      <c r="H905" s="19"/>
      <c r="I905" s="19"/>
      <c r="J905" s="19"/>
      <c r="K905" s="19"/>
      <c r="L905" s="19"/>
      <c r="M905" s="19"/>
      <c r="N905" s="19"/>
      <c r="O905" s="19"/>
      <c r="P905" s="19"/>
    </row>
    <row r="906">
      <c r="A906" s="19"/>
      <c r="B906" s="19"/>
      <c r="C906" s="19"/>
      <c r="D906" s="19"/>
      <c r="E906" s="19"/>
      <c r="F906" s="19"/>
      <c r="G906" s="19"/>
      <c r="H906" s="19"/>
      <c r="I906" s="19"/>
      <c r="J906" s="19"/>
      <c r="K906" s="19"/>
      <c r="L906" s="19"/>
      <c r="M906" s="19"/>
      <c r="N906" s="19"/>
      <c r="O906" s="19"/>
      <c r="P906" s="19"/>
    </row>
    <row r="907">
      <c r="A907" s="19"/>
      <c r="B907" s="19"/>
      <c r="C907" s="19"/>
      <c r="D907" s="19"/>
      <c r="E907" s="19"/>
      <c r="F907" s="19"/>
      <c r="G907" s="19"/>
      <c r="H907" s="19"/>
      <c r="I907" s="19"/>
      <c r="J907" s="19"/>
      <c r="K907" s="19"/>
      <c r="L907" s="19"/>
      <c r="M907" s="19"/>
      <c r="N907" s="19"/>
      <c r="O907" s="19"/>
      <c r="P907" s="19"/>
    </row>
    <row r="908">
      <c r="A908" s="19"/>
      <c r="B908" s="19"/>
      <c r="C908" s="19"/>
      <c r="D908" s="19"/>
      <c r="E908" s="19"/>
      <c r="F908" s="19"/>
      <c r="G908" s="19"/>
      <c r="H908" s="19"/>
      <c r="I908" s="19"/>
      <c r="J908" s="19"/>
      <c r="K908" s="19"/>
      <c r="L908" s="19"/>
      <c r="M908" s="19"/>
      <c r="N908" s="19"/>
      <c r="O908" s="19"/>
      <c r="P908" s="19"/>
    </row>
    <row r="909">
      <c r="A909" s="19"/>
      <c r="B909" s="19"/>
      <c r="C909" s="19"/>
      <c r="D909" s="19"/>
      <c r="E909" s="19"/>
      <c r="F909" s="19"/>
      <c r="G909" s="19"/>
      <c r="H909" s="19"/>
      <c r="I909" s="19"/>
      <c r="J909" s="19"/>
      <c r="K909" s="19"/>
      <c r="L909" s="19"/>
      <c r="M909" s="19"/>
      <c r="N909" s="19"/>
      <c r="O909" s="19"/>
      <c r="P909" s="19"/>
    </row>
    <row r="910">
      <c r="A910" s="19"/>
      <c r="B910" s="19"/>
      <c r="C910" s="19"/>
      <c r="D910" s="19"/>
      <c r="E910" s="19"/>
      <c r="F910" s="19"/>
      <c r="G910" s="19"/>
      <c r="H910" s="19"/>
      <c r="I910" s="19"/>
      <c r="J910" s="19"/>
      <c r="K910" s="19"/>
      <c r="L910" s="19"/>
      <c r="M910" s="19"/>
      <c r="N910" s="19"/>
      <c r="O910" s="19"/>
      <c r="P910" s="19"/>
    </row>
    <row r="911">
      <c r="A911" s="19"/>
      <c r="B911" s="19"/>
      <c r="C911" s="19"/>
      <c r="D911" s="19"/>
      <c r="E911" s="19"/>
      <c r="F911" s="19"/>
      <c r="G911" s="19"/>
      <c r="H911" s="19"/>
      <c r="I911" s="19"/>
      <c r="J911" s="19"/>
      <c r="K911" s="19"/>
      <c r="L911" s="19"/>
      <c r="M911" s="19"/>
      <c r="N911" s="19"/>
      <c r="O911" s="19"/>
      <c r="P911" s="19"/>
    </row>
    <row r="912">
      <c r="A912" s="19"/>
      <c r="B912" s="19"/>
      <c r="C912" s="19"/>
      <c r="D912" s="19"/>
      <c r="E912" s="19"/>
      <c r="F912" s="19"/>
      <c r="G912" s="19"/>
      <c r="H912" s="19"/>
      <c r="I912" s="19"/>
      <c r="J912" s="19"/>
      <c r="K912" s="19"/>
      <c r="L912" s="19"/>
      <c r="M912" s="19"/>
      <c r="N912" s="19"/>
      <c r="O912" s="19"/>
      <c r="P912" s="19"/>
    </row>
    <row r="913">
      <c r="A913" s="19"/>
      <c r="B913" s="19"/>
      <c r="C913" s="19"/>
      <c r="D913" s="19"/>
      <c r="E913" s="19"/>
      <c r="F913" s="19"/>
      <c r="G913" s="19"/>
      <c r="H913" s="19"/>
      <c r="I913" s="19"/>
      <c r="J913" s="19"/>
      <c r="K913" s="19"/>
      <c r="L913" s="19"/>
      <c r="M913" s="19"/>
      <c r="N913" s="19"/>
      <c r="O913" s="19"/>
      <c r="P913" s="19"/>
    </row>
    <row r="914">
      <c r="A914" s="19"/>
      <c r="B914" s="19"/>
      <c r="C914" s="19"/>
      <c r="D914" s="19"/>
      <c r="E914" s="19"/>
      <c r="F914" s="19"/>
      <c r="G914" s="19"/>
      <c r="H914" s="19"/>
      <c r="I914" s="19"/>
      <c r="J914" s="19"/>
      <c r="K914" s="19"/>
      <c r="L914" s="19"/>
      <c r="M914" s="19"/>
      <c r="N914" s="19"/>
      <c r="O914" s="19"/>
      <c r="P914" s="19"/>
    </row>
    <row r="915">
      <c r="A915" s="19"/>
      <c r="B915" s="19"/>
      <c r="C915" s="19"/>
      <c r="D915" s="19"/>
      <c r="E915" s="19"/>
      <c r="F915" s="19"/>
      <c r="G915" s="19"/>
      <c r="H915" s="19"/>
      <c r="I915" s="19"/>
      <c r="J915" s="19"/>
      <c r="K915" s="19"/>
      <c r="L915" s="19"/>
      <c r="M915" s="19"/>
      <c r="N915" s="19"/>
      <c r="O915" s="19"/>
      <c r="P915" s="19"/>
    </row>
    <row r="916">
      <c r="A916" s="19"/>
      <c r="B916" s="19"/>
      <c r="C916" s="19"/>
      <c r="D916" s="19"/>
      <c r="E916" s="19"/>
      <c r="F916" s="19"/>
      <c r="G916" s="19"/>
      <c r="H916" s="19"/>
      <c r="I916" s="19"/>
      <c r="J916" s="19"/>
      <c r="K916" s="19"/>
      <c r="L916" s="19"/>
      <c r="M916" s="19"/>
      <c r="N916" s="19"/>
      <c r="O916" s="19"/>
      <c r="P916" s="19"/>
    </row>
    <row r="917">
      <c r="A917" s="19"/>
      <c r="B917" s="19"/>
      <c r="C917" s="19"/>
      <c r="D917" s="19"/>
      <c r="E917" s="19"/>
      <c r="F917" s="19"/>
      <c r="G917" s="19"/>
      <c r="H917" s="19"/>
      <c r="I917" s="19"/>
      <c r="J917" s="19"/>
      <c r="K917" s="19"/>
      <c r="L917" s="19"/>
      <c r="M917" s="19"/>
      <c r="N917" s="19"/>
      <c r="O917" s="19"/>
      <c r="P917" s="19"/>
    </row>
    <row r="918">
      <c r="A918" s="19"/>
      <c r="B918" s="19"/>
      <c r="C918" s="19"/>
      <c r="D918" s="19"/>
      <c r="E918" s="19"/>
      <c r="F918" s="19"/>
      <c r="G918" s="19"/>
      <c r="H918" s="19"/>
      <c r="I918" s="19"/>
      <c r="J918" s="19"/>
      <c r="K918" s="19"/>
      <c r="L918" s="19"/>
      <c r="M918" s="19"/>
      <c r="N918" s="19"/>
      <c r="O918" s="19"/>
      <c r="P918" s="19"/>
    </row>
    <row r="919">
      <c r="A919" s="19"/>
      <c r="B919" s="19"/>
      <c r="C919" s="19"/>
      <c r="D919" s="19"/>
      <c r="E919" s="19"/>
      <c r="F919" s="19"/>
      <c r="G919" s="19"/>
      <c r="H919" s="19"/>
      <c r="I919" s="19"/>
      <c r="J919" s="19"/>
      <c r="K919" s="19"/>
      <c r="L919" s="19"/>
      <c r="M919" s="19"/>
      <c r="N919" s="19"/>
      <c r="O919" s="19"/>
      <c r="P919" s="19"/>
    </row>
    <row r="920">
      <c r="A920" s="19"/>
      <c r="B920" s="19"/>
      <c r="C920" s="19"/>
      <c r="D920" s="19"/>
      <c r="E920" s="19"/>
      <c r="F920" s="19"/>
      <c r="G920" s="19"/>
      <c r="H920" s="19"/>
      <c r="I920" s="19"/>
      <c r="J920" s="19"/>
      <c r="K920" s="19"/>
      <c r="L920" s="19"/>
      <c r="M920" s="19"/>
      <c r="N920" s="19"/>
      <c r="O920" s="19"/>
      <c r="P920" s="19"/>
    </row>
    <row r="921">
      <c r="A921" s="19"/>
      <c r="B921" s="19"/>
      <c r="C921" s="19"/>
      <c r="D921" s="19"/>
      <c r="E921" s="19"/>
      <c r="F921" s="19"/>
      <c r="G921" s="19"/>
      <c r="H921" s="19"/>
      <c r="I921" s="19"/>
      <c r="J921" s="19"/>
      <c r="K921" s="19"/>
      <c r="L921" s="19"/>
      <c r="M921" s="19"/>
      <c r="N921" s="19"/>
      <c r="O921" s="19"/>
      <c r="P921" s="19"/>
    </row>
    <row r="922">
      <c r="A922" s="19"/>
      <c r="B922" s="19"/>
      <c r="C922" s="19"/>
      <c r="D922" s="19"/>
      <c r="E922" s="19"/>
      <c r="F922" s="19"/>
      <c r="G922" s="19"/>
      <c r="H922" s="19"/>
      <c r="I922" s="19"/>
      <c r="J922" s="19"/>
      <c r="K922" s="19"/>
      <c r="L922" s="19"/>
      <c r="M922" s="19"/>
      <c r="N922" s="19"/>
      <c r="O922" s="19"/>
      <c r="P922" s="19"/>
    </row>
    <row r="923">
      <c r="A923" s="19"/>
      <c r="B923" s="19"/>
      <c r="C923" s="19"/>
      <c r="D923" s="19"/>
      <c r="E923" s="19"/>
      <c r="F923" s="19"/>
      <c r="G923" s="19"/>
      <c r="H923" s="19"/>
      <c r="I923" s="19"/>
      <c r="J923" s="19"/>
      <c r="K923" s="19"/>
      <c r="L923" s="19"/>
      <c r="M923" s="19"/>
      <c r="N923" s="19"/>
      <c r="O923" s="19"/>
      <c r="P923" s="19"/>
    </row>
    <row r="924">
      <c r="A924" s="19"/>
      <c r="B924" s="19"/>
      <c r="C924" s="19"/>
      <c r="D924" s="19"/>
      <c r="E924" s="19"/>
      <c r="F924" s="19"/>
      <c r="G924" s="19"/>
      <c r="H924" s="19"/>
      <c r="I924" s="19"/>
      <c r="J924" s="19"/>
      <c r="K924" s="19"/>
      <c r="L924" s="19"/>
      <c r="M924" s="19"/>
      <c r="N924" s="19"/>
      <c r="O924" s="19"/>
      <c r="P924" s="19"/>
    </row>
    <row r="925">
      <c r="A925" s="19"/>
      <c r="B925" s="19"/>
      <c r="C925" s="19"/>
      <c r="D925" s="19"/>
      <c r="E925" s="19"/>
      <c r="F925" s="19"/>
      <c r="G925" s="19"/>
      <c r="H925" s="19"/>
      <c r="I925" s="19"/>
      <c r="J925" s="19"/>
      <c r="K925" s="19"/>
      <c r="L925" s="19"/>
      <c r="M925" s="19"/>
      <c r="N925" s="19"/>
      <c r="O925" s="19"/>
      <c r="P925" s="19"/>
    </row>
    <row r="926">
      <c r="A926" s="19"/>
      <c r="B926" s="19"/>
      <c r="C926" s="19"/>
      <c r="D926" s="19"/>
      <c r="E926" s="19"/>
      <c r="F926" s="19"/>
      <c r="G926" s="19"/>
      <c r="H926" s="19"/>
      <c r="I926" s="19"/>
      <c r="J926" s="19"/>
      <c r="K926" s="19"/>
      <c r="L926" s="19"/>
      <c r="M926" s="19"/>
      <c r="N926" s="19"/>
      <c r="O926" s="19"/>
      <c r="P926" s="19"/>
    </row>
    <row r="927">
      <c r="A927" s="19"/>
      <c r="B927" s="19"/>
      <c r="C927" s="19"/>
      <c r="D927" s="19"/>
      <c r="E927" s="19"/>
      <c r="F927" s="19"/>
      <c r="G927" s="19"/>
      <c r="H927" s="19"/>
      <c r="I927" s="19"/>
      <c r="J927" s="19"/>
      <c r="K927" s="19"/>
      <c r="L927" s="19"/>
      <c r="M927" s="19"/>
      <c r="N927" s="19"/>
      <c r="O927" s="19"/>
      <c r="P927" s="19"/>
    </row>
    <row r="928">
      <c r="A928" s="19"/>
      <c r="B928" s="19"/>
      <c r="C928" s="19"/>
      <c r="D928" s="19"/>
      <c r="E928" s="19"/>
      <c r="F928" s="19"/>
      <c r="G928" s="19"/>
      <c r="H928" s="19"/>
      <c r="I928" s="19"/>
      <c r="J928" s="19"/>
      <c r="K928" s="19"/>
      <c r="L928" s="19"/>
      <c r="M928" s="19"/>
      <c r="N928" s="19"/>
      <c r="O928" s="19"/>
      <c r="P928" s="19"/>
    </row>
    <row r="929">
      <c r="A929" s="19"/>
      <c r="B929" s="19"/>
      <c r="C929" s="19"/>
      <c r="D929" s="19"/>
      <c r="E929" s="19"/>
      <c r="F929" s="19"/>
      <c r="G929" s="19"/>
      <c r="H929" s="19"/>
      <c r="I929" s="19"/>
      <c r="J929" s="19"/>
      <c r="K929" s="19"/>
      <c r="L929" s="19"/>
      <c r="M929" s="19"/>
      <c r="N929" s="19"/>
      <c r="O929" s="19"/>
      <c r="P929" s="19"/>
    </row>
    <row r="930">
      <c r="A930" s="19"/>
      <c r="B930" s="19"/>
      <c r="C930" s="19"/>
      <c r="D930" s="19"/>
      <c r="E930" s="19"/>
      <c r="F930" s="19"/>
      <c r="G930" s="19"/>
      <c r="H930" s="19"/>
      <c r="I930" s="19"/>
      <c r="J930" s="19"/>
      <c r="K930" s="19"/>
      <c r="L930" s="19"/>
      <c r="M930" s="19"/>
      <c r="N930" s="19"/>
      <c r="O930" s="19"/>
      <c r="P930" s="19"/>
    </row>
    <row r="931">
      <c r="A931" s="19"/>
      <c r="B931" s="19"/>
      <c r="C931" s="19"/>
      <c r="D931" s="19"/>
      <c r="E931" s="19"/>
      <c r="F931" s="19"/>
      <c r="G931" s="19"/>
      <c r="H931" s="19"/>
      <c r="I931" s="19"/>
      <c r="J931" s="19"/>
      <c r="K931" s="19"/>
      <c r="L931" s="19"/>
      <c r="M931" s="19"/>
      <c r="N931" s="19"/>
      <c r="O931" s="19"/>
      <c r="P931" s="19"/>
    </row>
    <row r="932">
      <c r="A932" s="19"/>
      <c r="B932" s="19"/>
      <c r="C932" s="19"/>
      <c r="D932" s="19"/>
      <c r="E932" s="19"/>
      <c r="F932" s="19"/>
      <c r="G932" s="19"/>
      <c r="H932" s="19"/>
      <c r="I932" s="19"/>
      <c r="J932" s="19"/>
      <c r="K932" s="19"/>
      <c r="L932" s="19"/>
      <c r="M932" s="19"/>
      <c r="N932" s="19"/>
      <c r="O932" s="19"/>
      <c r="P932" s="19"/>
    </row>
    <row r="933">
      <c r="A933" s="19"/>
      <c r="B933" s="19"/>
      <c r="C933" s="19"/>
      <c r="D933" s="19"/>
      <c r="E933" s="19"/>
      <c r="F933" s="19"/>
      <c r="G933" s="19"/>
      <c r="H933" s="19"/>
      <c r="I933" s="19"/>
      <c r="J933" s="19"/>
      <c r="K933" s="19"/>
      <c r="L933" s="19"/>
      <c r="M933" s="19"/>
      <c r="N933" s="19"/>
      <c r="O933" s="19"/>
      <c r="P933" s="19"/>
    </row>
    <row r="934">
      <c r="A934" s="19"/>
      <c r="B934" s="19"/>
      <c r="C934" s="19"/>
      <c r="D934" s="19"/>
      <c r="E934" s="19"/>
      <c r="F934" s="19"/>
      <c r="G934" s="19"/>
      <c r="H934" s="19"/>
      <c r="I934" s="19"/>
      <c r="J934" s="19"/>
      <c r="K934" s="19"/>
      <c r="L934" s="19"/>
      <c r="M934" s="19"/>
      <c r="N934" s="19"/>
      <c r="O934" s="19"/>
      <c r="P934" s="19"/>
    </row>
    <row r="935">
      <c r="A935" s="19"/>
      <c r="B935" s="19"/>
      <c r="C935" s="19"/>
      <c r="D935" s="19"/>
      <c r="E935" s="19"/>
      <c r="F935" s="19"/>
      <c r="G935" s="19"/>
      <c r="H935" s="19"/>
      <c r="I935" s="19"/>
      <c r="J935" s="19"/>
      <c r="K935" s="19"/>
      <c r="L935" s="19"/>
      <c r="M935" s="19"/>
      <c r="N935" s="19"/>
      <c r="O935" s="19"/>
      <c r="P935" s="19"/>
    </row>
    <row r="936">
      <c r="A936" s="19"/>
      <c r="B936" s="19"/>
      <c r="C936" s="19"/>
      <c r="D936" s="19"/>
      <c r="E936" s="19"/>
      <c r="F936" s="19"/>
      <c r="G936" s="19"/>
      <c r="H936" s="19"/>
      <c r="I936" s="19"/>
      <c r="J936" s="19"/>
      <c r="K936" s="19"/>
      <c r="L936" s="19"/>
      <c r="M936" s="19"/>
      <c r="N936" s="19"/>
      <c r="O936" s="19"/>
      <c r="P936" s="19"/>
    </row>
    <row r="937">
      <c r="A937" s="19"/>
      <c r="B937" s="19"/>
      <c r="C937" s="19"/>
      <c r="D937" s="19"/>
      <c r="E937" s="19"/>
      <c r="F937" s="19"/>
      <c r="G937" s="19"/>
      <c r="H937" s="19"/>
      <c r="I937" s="19"/>
      <c r="J937" s="19"/>
      <c r="K937" s="19"/>
      <c r="L937" s="19"/>
      <c r="M937" s="19"/>
      <c r="N937" s="19"/>
      <c r="O937" s="19"/>
      <c r="P937" s="19"/>
    </row>
    <row r="938">
      <c r="A938" s="19"/>
      <c r="B938" s="19"/>
      <c r="C938" s="19"/>
      <c r="D938" s="19"/>
      <c r="E938" s="19"/>
      <c r="F938" s="19"/>
      <c r="G938" s="19"/>
      <c r="H938" s="19"/>
      <c r="I938" s="19"/>
      <c r="J938" s="19"/>
      <c r="K938" s="19"/>
      <c r="L938" s="19"/>
      <c r="M938" s="19"/>
      <c r="N938" s="19"/>
      <c r="O938" s="19"/>
      <c r="P938" s="19"/>
    </row>
    <row r="939">
      <c r="A939" s="19"/>
      <c r="B939" s="19"/>
      <c r="C939" s="19"/>
      <c r="D939" s="19"/>
      <c r="E939" s="19"/>
      <c r="F939" s="19"/>
      <c r="G939" s="19"/>
      <c r="H939" s="19"/>
      <c r="I939" s="19"/>
      <c r="J939" s="19"/>
      <c r="K939" s="19"/>
      <c r="L939" s="19"/>
      <c r="M939" s="19"/>
      <c r="N939" s="19"/>
      <c r="O939" s="19"/>
      <c r="P939" s="19"/>
    </row>
    <row r="940">
      <c r="A940" s="19"/>
      <c r="B940" s="19"/>
      <c r="C940" s="19"/>
      <c r="D940" s="19"/>
      <c r="E940" s="19"/>
      <c r="F940" s="19"/>
      <c r="G940" s="19"/>
      <c r="H940" s="19"/>
      <c r="I940" s="19"/>
      <c r="J940" s="19"/>
      <c r="K940" s="19"/>
      <c r="L940" s="19"/>
      <c r="M940" s="19"/>
      <c r="N940" s="19"/>
      <c r="O940" s="19"/>
      <c r="P940" s="19"/>
    </row>
    <row r="941">
      <c r="A941" s="19"/>
      <c r="B941" s="19"/>
      <c r="C941" s="19"/>
      <c r="D941" s="19"/>
      <c r="E941" s="19"/>
      <c r="F941" s="19"/>
      <c r="G941" s="19"/>
      <c r="H941" s="19"/>
      <c r="I941" s="19"/>
      <c r="J941" s="19"/>
      <c r="K941" s="19"/>
      <c r="L941" s="19"/>
      <c r="M941" s="19"/>
      <c r="N941" s="19"/>
      <c r="O941" s="19"/>
      <c r="P941" s="19"/>
    </row>
    <row r="942">
      <c r="A942" s="19"/>
      <c r="B942" s="19"/>
      <c r="C942" s="19"/>
      <c r="D942" s="19"/>
      <c r="E942" s="19"/>
      <c r="F942" s="19"/>
      <c r="G942" s="19"/>
      <c r="H942" s="19"/>
      <c r="I942" s="19"/>
      <c r="J942" s="19"/>
      <c r="K942" s="19"/>
      <c r="L942" s="19"/>
      <c r="M942" s="19"/>
      <c r="N942" s="19"/>
      <c r="O942" s="19"/>
      <c r="P942" s="19"/>
    </row>
    <row r="943">
      <c r="A943" s="19"/>
      <c r="B943" s="19"/>
      <c r="C943" s="19"/>
      <c r="D943" s="19"/>
      <c r="E943" s="19"/>
      <c r="F943" s="19"/>
      <c r="G943" s="19"/>
      <c r="H943" s="19"/>
      <c r="I943" s="19"/>
      <c r="J943" s="19"/>
      <c r="K943" s="19"/>
      <c r="L943" s="19"/>
      <c r="M943" s="19"/>
      <c r="N943" s="19"/>
      <c r="O943" s="19"/>
      <c r="P943" s="19"/>
    </row>
    <row r="944">
      <c r="A944" s="19"/>
      <c r="B944" s="19"/>
      <c r="C944" s="19"/>
      <c r="D944" s="19"/>
      <c r="E944" s="19"/>
      <c r="F944" s="19"/>
      <c r="G944" s="19"/>
      <c r="H944" s="19"/>
      <c r="I944" s="19"/>
      <c r="J944" s="19"/>
      <c r="K944" s="19"/>
      <c r="L944" s="19"/>
      <c r="M944" s="19"/>
      <c r="N944" s="19"/>
      <c r="O944" s="19"/>
      <c r="P944" s="19"/>
    </row>
    <row r="945">
      <c r="A945" s="19"/>
      <c r="B945" s="19"/>
      <c r="C945" s="19"/>
      <c r="D945" s="19"/>
      <c r="E945" s="19"/>
      <c r="F945" s="19"/>
      <c r="G945" s="19"/>
      <c r="H945" s="19"/>
      <c r="I945" s="19"/>
      <c r="J945" s="19"/>
      <c r="K945" s="19"/>
      <c r="L945" s="19"/>
      <c r="M945" s="19"/>
      <c r="N945" s="19"/>
      <c r="O945" s="19"/>
      <c r="P945" s="19"/>
    </row>
    <row r="946">
      <c r="A946" s="19"/>
      <c r="B946" s="19"/>
      <c r="C946" s="19"/>
      <c r="D946" s="19"/>
      <c r="E946" s="19"/>
      <c r="F946" s="19"/>
      <c r="G946" s="19"/>
      <c r="H946" s="19"/>
      <c r="I946" s="19"/>
      <c r="J946" s="19"/>
      <c r="K946" s="19"/>
      <c r="L946" s="19"/>
      <c r="M946" s="19"/>
      <c r="N946" s="19"/>
      <c r="O946" s="19"/>
      <c r="P946" s="19"/>
    </row>
    <row r="947">
      <c r="A947" s="19"/>
      <c r="B947" s="19"/>
      <c r="C947" s="19"/>
      <c r="D947" s="19"/>
      <c r="E947" s="19"/>
      <c r="F947" s="19"/>
      <c r="G947" s="19"/>
      <c r="H947" s="19"/>
      <c r="I947" s="19"/>
      <c r="J947" s="19"/>
      <c r="K947" s="19"/>
      <c r="L947" s="19"/>
      <c r="M947" s="19"/>
      <c r="N947" s="19"/>
      <c r="O947" s="19"/>
      <c r="P947" s="19"/>
    </row>
    <row r="948">
      <c r="A948" s="19"/>
      <c r="B948" s="19"/>
      <c r="C948" s="19"/>
      <c r="D948" s="19"/>
      <c r="E948" s="19"/>
      <c r="F948" s="19"/>
      <c r="G948" s="19"/>
      <c r="H948" s="19"/>
      <c r="I948" s="19"/>
      <c r="J948" s="19"/>
      <c r="K948" s="19"/>
      <c r="L948" s="19"/>
      <c r="M948" s="19"/>
      <c r="N948" s="19"/>
      <c r="O948" s="19"/>
      <c r="P948" s="19"/>
    </row>
    <row r="949">
      <c r="A949" s="19"/>
      <c r="B949" s="19"/>
      <c r="C949" s="19"/>
      <c r="D949" s="19"/>
      <c r="E949" s="19"/>
      <c r="F949" s="19"/>
      <c r="G949" s="19"/>
      <c r="H949" s="19"/>
      <c r="I949" s="19"/>
      <c r="J949" s="19"/>
      <c r="K949" s="19"/>
      <c r="L949" s="19"/>
      <c r="M949" s="19"/>
      <c r="N949" s="19"/>
      <c r="O949" s="19"/>
      <c r="P949" s="19"/>
    </row>
    <row r="950">
      <c r="A950" s="19"/>
      <c r="B950" s="19"/>
      <c r="C950" s="19"/>
      <c r="D950" s="19"/>
      <c r="E950" s="19"/>
      <c r="F950" s="19"/>
      <c r="G950" s="19"/>
      <c r="H950" s="19"/>
      <c r="I950" s="19"/>
      <c r="J950" s="19"/>
      <c r="K950" s="19"/>
      <c r="L950" s="19"/>
      <c r="M950" s="19"/>
      <c r="N950" s="19"/>
      <c r="O950" s="19"/>
      <c r="P950" s="19"/>
    </row>
    <row r="951">
      <c r="A951" s="19"/>
      <c r="B951" s="19"/>
      <c r="C951" s="19"/>
      <c r="D951" s="19"/>
      <c r="E951" s="19"/>
      <c r="F951" s="19"/>
      <c r="G951" s="19"/>
      <c r="H951" s="19"/>
      <c r="I951" s="19"/>
      <c r="J951" s="19"/>
      <c r="K951" s="19"/>
      <c r="L951" s="19"/>
      <c r="M951" s="19"/>
      <c r="N951" s="19"/>
      <c r="O951" s="19"/>
      <c r="P951" s="19"/>
    </row>
    <row r="952">
      <c r="A952" s="19"/>
      <c r="B952" s="19"/>
      <c r="C952" s="19"/>
      <c r="D952" s="19"/>
      <c r="E952" s="19"/>
      <c r="F952" s="19"/>
      <c r="G952" s="19"/>
      <c r="H952" s="19"/>
      <c r="I952" s="19"/>
      <c r="J952" s="19"/>
      <c r="K952" s="19"/>
      <c r="L952" s="19"/>
      <c r="M952" s="19"/>
      <c r="N952" s="19"/>
      <c r="O952" s="19"/>
      <c r="P952" s="19"/>
    </row>
    <row r="953">
      <c r="A953" s="19"/>
      <c r="B953" s="19"/>
      <c r="C953" s="19"/>
      <c r="D953" s="19"/>
      <c r="E953" s="19"/>
      <c r="F953" s="19"/>
      <c r="G953" s="19"/>
      <c r="H953" s="19"/>
      <c r="I953" s="19"/>
      <c r="J953" s="19"/>
      <c r="K953" s="19"/>
      <c r="L953" s="19"/>
      <c r="M953" s="19"/>
      <c r="N953" s="19"/>
      <c r="O953" s="19"/>
      <c r="P953" s="19"/>
    </row>
    <row r="954">
      <c r="A954" s="19"/>
      <c r="B954" s="19"/>
      <c r="C954" s="19"/>
      <c r="D954" s="19"/>
      <c r="E954" s="19"/>
      <c r="F954" s="19"/>
      <c r="G954" s="19"/>
      <c r="H954" s="19"/>
      <c r="I954" s="19"/>
      <c r="J954" s="19"/>
      <c r="K954" s="19"/>
      <c r="L954" s="19"/>
      <c r="M954" s="19"/>
      <c r="N954" s="19"/>
      <c r="O954" s="19"/>
      <c r="P954" s="19"/>
    </row>
    <row r="955">
      <c r="A955" s="19"/>
      <c r="B955" s="19"/>
      <c r="C955" s="19"/>
      <c r="D955" s="19"/>
      <c r="E955" s="19"/>
      <c r="F955" s="19"/>
      <c r="G955" s="19"/>
      <c r="H955" s="19"/>
      <c r="I955" s="19"/>
      <c r="J955" s="19"/>
      <c r="K955" s="19"/>
      <c r="L955" s="19"/>
      <c r="M955" s="19"/>
      <c r="N955" s="19"/>
      <c r="O955" s="19"/>
      <c r="P955" s="19"/>
    </row>
    <row r="956">
      <c r="A956" s="19"/>
      <c r="B956" s="19"/>
      <c r="C956" s="19"/>
      <c r="D956" s="19"/>
      <c r="E956" s="19"/>
      <c r="F956" s="19"/>
      <c r="G956" s="19"/>
      <c r="H956" s="19"/>
      <c r="I956" s="19"/>
      <c r="J956" s="19"/>
      <c r="K956" s="19"/>
      <c r="L956" s="19"/>
      <c r="M956" s="19"/>
      <c r="N956" s="19"/>
      <c r="O956" s="19"/>
      <c r="P956" s="19"/>
    </row>
    <row r="957">
      <c r="A957" s="19"/>
      <c r="B957" s="19"/>
      <c r="C957" s="19"/>
      <c r="D957" s="19"/>
      <c r="E957" s="19"/>
      <c r="F957" s="19"/>
      <c r="G957" s="19"/>
      <c r="H957" s="19"/>
      <c r="I957" s="19"/>
      <c r="J957" s="19"/>
      <c r="K957" s="19"/>
      <c r="L957" s="19"/>
      <c r="M957" s="19"/>
      <c r="N957" s="19"/>
      <c r="O957" s="19"/>
      <c r="P957" s="19"/>
    </row>
    <row r="958">
      <c r="A958" s="19"/>
      <c r="B958" s="19"/>
      <c r="C958" s="19"/>
      <c r="D958" s="19"/>
      <c r="E958" s="19"/>
      <c r="F958" s="19"/>
      <c r="G958" s="19"/>
      <c r="H958" s="19"/>
      <c r="I958" s="19"/>
      <c r="J958" s="19"/>
      <c r="K958" s="19"/>
      <c r="L958" s="19"/>
      <c r="M958" s="19"/>
      <c r="N958" s="19"/>
      <c r="O958" s="19"/>
      <c r="P958" s="19"/>
    </row>
    <row r="959">
      <c r="A959" s="19"/>
      <c r="B959" s="19"/>
      <c r="C959" s="19"/>
      <c r="D959" s="19"/>
      <c r="E959" s="19"/>
      <c r="F959" s="19"/>
      <c r="G959" s="19"/>
      <c r="H959" s="19"/>
      <c r="I959" s="19"/>
      <c r="J959" s="19"/>
      <c r="K959" s="19"/>
      <c r="L959" s="19"/>
      <c r="M959" s="19"/>
      <c r="N959" s="19"/>
      <c r="O959" s="19"/>
      <c r="P959" s="19"/>
    </row>
    <row r="960">
      <c r="A960" s="19"/>
      <c r="B960" s="19"/>
      <c r="C960" s="19"/>
      <c r="D960" s="19"/>
      <c r="E960" s="19"/>
      <c r="F960" s="19"/>
      <c r="G960" s="19"/>
      <c r="H960" s="19"/>
      <c r="I960" s="19"/>
      <c r="J960" s="19"/>
      <c r="K960" s="19"/>
      <c r="L960" s="19"/>
      <c r="M960" s="19"/>
      <c r="N960" s="19"/>
      <c r="O960" s="19"/>
      <c r="P960" s="19"/>
    </row>
    <row r="961">
      <c r="A961" s="19"/>
      <c r="B961" s="19"/>
      <c r="C961" s="19"/>
      <c r="D961" s="19"/>
      <c r="E961" s="19"/>
      <c r="F961" s="19"/>
      <c r="G961" s="19"/>
      <c r="H961" s="19"/>
      <c r="I961" s="19"/>
      <c r="J961" s="19"/>
      <c r="K961" s="19"/>
      <c r="L961" s="19"/>
      <c r="M961" s="19"/>
      <c r="N961" s="19"/>
      <c r="O961" s="19"/>
      <c r="P961" s="19"/>
    </row>
    <row r="962">
      <c r="A962" s="19"/>
      <c r="B962" s="19"/>
      <c r="C962" s="19"/>
      <c r="D962" s="19"/>
      <c r="E962" s="19"/>
      <c r="F962" s="19"/>
      <c r="G962" s="19"/>
      <c r="H962" s="19"/>
      <c r="I962" s="19"/>
      <c r="J962" s="19"/>
      <c r="K962" s="19"/>
      <c r="L962" s="19"/>
      <c r="M962" s="19"/>
      <c r="N962" s="19"/>
      <c r="O962" s="19"/>
      <c r="P962" s="19"/>
    </row>
    <row r="963">
      <c r="A963" s="19"/>
      <c r="B963" s="19"/>
      <c r="C963" s="19"/>
      <c r="D963" s="19"/>
      <c r="E963" s="19"/>
      <c r="F963" s="19"/>
      <c r="G963" s="19"/>
      <c r="H963" s="19"/>
      <c r="I963" s="19"/>
      <c r="J963" s="19"/>
      <c r="K963" s="19"/>
      <c r="L963" s="19"/>
      <c r="M963" s="19"/>
      <c r="N963" s="19"/>
      <c r="O963" s="19"/>
      <c r="P963" s="19"/>
    </row>
    <row r="964">
      <c r="A964" s="19"/>
      <c r="B964" s="19"/>
      <c r="C964" s="19"/>
      <c r="D964" s="19"/>
      <c r="E964" s="19"/>
      <c r="F964" s="19"/>
      <c r="G964" s="19"/>
      <c r="H964" s="19"/>
      <c r="I964" s="19"/>
      <c r="J964" s="19"/>
      <c r="K964" s="19"/>
      <c r="L964" s="19"/>
      <c r="M964" s="19"/>
      <c r="N964" s="19"/>
      <c r="O964" s="19"/>
      <c r="P964" s="19"/>
    </row>
    <row r="965">
      <c r="A965" s="19"/>
      <c r="B965" s="19"/>
      <c r="C965" s="19"/>
      <c r="D965" s="19"/>
      <c r="E965" s="19"/>
      <c r="F965" s="19"/>
      <c r="G965" s="19"/>
      <c r="H965" s="19"/>
      <c r="I965" s="19"/>
      <c r="J965" s="19"/>
      <c r="K965" s="19"/>
      <c r="L965" s="19"/>
      <c r="M965" s="19"/>
      <c r="N965" s="19"/>
      <c r="O965" s="19"/>
      <c r="P965" s="19"/>
    </row>
    <row r="966">
      <c r="A966" s="19"/>
      <c r="B966" s="19"/>
      <c r="C966" s="19"/>
      <c r="D966" s="19"/>
      <c r="E966" s="19"/>
      <c r="F966" s="19"/>
      <c r="G966" s="19"/>
      <c r="H966" s="19"/>
      <c r="I966" s="19"/>
      <c r="J966" s="19"/>
      <c r="K966" s="19"/>
      <c r="L966" s="19"/>
      <c r="M966" s="19"/>
      <c r="N966" s="19"/>
      <c r="O966" s="19"/>
      <c r="P966" s="19"/>
    </row>
    <row r="967">
      <c r="A967" s="19"/>
      <c r="B967" s="19"/>
      <c r="C967" s="19"/>
      <c r="D967" s="19"/>
      <c r="E967" s="19"/>
      <c r="F967" s="19"/>
      <c r="G967" s="19"/>
      <c r="H967" s="19"/>
      <c r="I967" s="19"/>
      <c r="J967" s="19"/>
      <c r="K967" s="19"/>
      <c r="L967" s="19"/>
      <c r="M967" s="19"/>
      <c r="N967" s="19"/>
      <c r="O967" s="19"/>
      <c r="P967" s="19"/>
    </row>
    <row r="968">
      <c r="A968" s="19"/>
      <c r="B968" s="19"/>
      <c r="C968" s="19"/>
      <c r="D968" s="19"/>
      <c r="E968" s="19"/>
      <c r="F968" s="19"/>
      <c r="G968" s="19"/>
      <c r="H968" s="19"/>
      <c r="I968" s="19"/>
      <c r="J968" s="19"/>
      <c r="K968" s="19"/>
      <c r="L968" s="19"/>
      <c r="M968" s="19"/>
      <c r="N968" s="19"/>
      <c r="O968" s="19"/>
      <c r="P968" s="19"/>
    </row>
    <row r="969">
      <c r="A969" s="19"/>
      <c r="B969" s="19"/>
      <c r="C969" s="19"/>
      <c r="D969" s="19"/>
      <c r="E969" s="19"/>
      <c r="F969" s="19"/>
      <c r="G969" s="19"/>
      <c r="H969" s="19"/>
      <c r="I969" s="19"/>
      <c r="J969" s="19"/>
      <c r="K969" s="19"/>
      <c r="L969" s="19"/>
      <c r="M969" s="19"/>
      <c r="N969" s="19"/>
      <c r="O969" s="19"/>
      <c r="P969" s="19"/>
    </row>
    <row r="970">
      <c r="A970" s="19"/>
      <c r="B970" s="19"/>
      <c r="C970" s="19"/>
      <c r="D970" s="19"/>
      <c r="E970" s="19"/>
      <c r="F970" s="19"/>
      <c r="G970" s="19"/>
      <c r="H970" s="19"/>
      <c r="I970" s="19"/>
      <c r="J970" s="19"/>
      <c r="K970" s="19"/>
      <c r="L970" s="19"/>
      <c r="M970" s="19"/>
      <c r="N970" s="19"/>
      <c r="O970" s="19"/>
      <c r="P970" s="19"/>
    </row>
    <row r="971">
      <c r="A971" s="19"/>
      <c r="B971" s="19"/>
      <c r="C971" s="19"/>
      <c r="D971" s="19"/>
      <c r="E971" s="19"/>
      <c r="F971" s="19"/>
      <c r="G971" s="19"/>
      <c r="H971" s="19"/>
      <c r="I971" s="19"/>
      <c r="J971" s="19"/>
      <c r="K971" s="19"/>
      <c r="L971" s="19"/>
      <c r="M971" s="19"/>
      <c r="N971" s="19"/>
      <c r="O971" s="19"/>
      <c r="P971" s="19"/>
    </row>
    <row r="972">
      <c r="A972" s="19"/>
      <c r="B972" s="19"/>
      <c r="C972" s="19"/>
      <c r="D972" s="19"/>
      <c r="E972" s="19"/>
      <c r="F972" s="19"/>
      <c r="G972" s="19"/>
      <c r="H972" s="19"/>
      <c r="I972" s="19"/>
      <c r="J972" s="19"/>
      <c r="K972" s="19"/>
      <c r="L972" s="19"/>
      <c r="M972" s="19"/>
      <c r="N972" s="19"/>
      <c r="O972" s="19"/>
      <c r="P972" s="19"/>
    </row>
    <row r="973">
      <c r="A973" s="19"/>
      <c r="B973" s="19"/>
      <c r="C973" s="19"/>
      <c r="D973" s="19"/>
      <c r="E973" s="19"/>
      <c r="F973" s="19"/>
      <c r="G973" s="19"/>
      <c r="H973" s="19"/>
      <c r="I973" s="19"/>
      <c r="J973" s="19"/>
      <c r="K973" s="19"/>
      <c r="L973" s="19"/>
      <c r="M973" s="19"/>
      <c r="N973" s="19"/>
      <c r="O973" s="19"/>
      <c r="P973" s="19"/>
    </row>
    <row r="974">
      <c r="A974" s="19"/>
      <c r="B974" s="19"/>
      <c r="C974" s="19"/>
      <c r="D974" s="19"/>
      <c r="E974" s="19"/>
      <c r="F974" s="19"/>
      <c r="G974" s="19"/>
      <c r="H974" s="19"/>
      <c r="I974" s="19"/>
      <c r="J974" s="19"/>
      <c r="K974" s="19"/>
      <c r="L974" s="19"/>
      <c r="M974" s="19"/>
      <c r="N974" s="19"/>
      <c r="O974" s="19"/>
      <c r="P974" s="19"/>
    </row>
    <row r="975">
      <c r="A975" s="19"/>
      <c r="B975" s="19"/>
      <c r="C975" s="19"/>
      <c r="D975" s="19"/>
      <c r="E975" s="19"/>
      <c r="F975" s="19"/>
      <c r="G975" s="19"/>
      <c r="H975" s="19"/>
      <c r="I975" s="19"/>
      <c r="J975" s="19"/>
      <c r="K975" s="19"/>
      <c r="L975" s="19"/>
      <c r="M975" s="19"/>
      <c r="N975" s="19"/>
      <c r="O975" s="19"/>
      <c r="P975" s="19"/>
    </row>
    <row r="976">
      <c r="A976" s="19"/>
      <c r="B976" s="19"/>
      <c r="C976" s="19"/>
      <c r="D976" s="19"/>
      <c r="E976" s="19"/>
      <c r="F976" s="19"/>
      <c r="G976" s="19"/>
      <c r="H976" s="19"/>
      <c r="I976" s="19"/>
      <c r="J976" s="19"/>
      <c r="K976" s="19"/>
      <c r="L976" s="19"/>
      <c r="M976" s="19"/>
      <c r="N976" s="19"/>
      <c r="O976" s="19"/>
      <c r="P976" s="19"/>
    </row>
    <row r="977">
      <c r="A977" s="19"/>
      <c r="B977" s="19"/>
      <c r="C977" s="19"/>
      <c r="D977" s="19"/>
      <c r="E977" s="19"/>
      <c r="F977" s="19"/>
      <c r="G977" s="19"/>
      <c r="H977" s="19"/>
      <c r="I977" s="19"/>
      <c r="J977" s="19"/>
      <c r="K977" s="19"/>
      <c r="L977" s="19"/>
      <c r="M977" s="19"/>
      <c r="N977" s="19"/>
      <c r="O977" s="19"/>
      <c r="P977" s="19"/>
    </row>
    <row r="978">
      <c r="A978" s="19"/>
      <c r="B978" s="19"/>
      <c r="C978" s="19"/>
      <c r="D978" s="19"/>
      <c r="E978" s="19"/>
      <c r="F978" s="19"/>
      <c r="G978" s="19"/>
      <c r="H978" s="19"/>
      <c r="I978" s="19"/>
      <c r="J978" s="19"/>
      <c r="K978" s="19"/>
      <c r="L978" s="19"/>
      <c r="M978" s="19"/>
      <c r="N978" s="19"/>
      <c r="O978" s="19"/>
      <c r="P978" s="19"/>
    </row>
    <row r="979">
      <c r="A979" s="19"/>
      <c r="B979" s="19"/>
      <c r="C979" s="19"/>
      <c r="D979" s="19"/>
      <c r="E979" s="19"/>
      <c r="F979" s="19"/>
      <c r="G979" s="19"/>
      <c r="H979" s="19"/>
      <c r="I979" s="19"/>
      <c r="J979" s="19"/>
      <c r="K979" s="19"/>
      <c r="L979" s="19"/>
      <c r="M979" s="19"/>
      <c r="N979" s="19"/>
      <c r="O979" s="19"/>
      <c r="P979" s="19"/>
    </row>
    <row r="980">
      <c r="A980" s="19"/>
      <c r="B980" s="19"/>
      <c r="C980" s="19"/>
      <c r="D980" s="19"/>
      <c r="E980" s="19"/>
      <c r="F980" s="19"/>
      <c r="G980" s="19"/>
      <c r="H980" s="19"/>
      <c r="I980" s="19"/>
      <c r="J980" s="19"/>
      <c r="K980" s="19"/>
      <c r="L980" s="19"/>
      <c r="M980" s="19"/>
      <c r="N980" s="19"/>
      <c r="O980" s="19"/>
      <c r="P980" s="19"/>
    </row>
    <row r="981">
      <c r="A981" s="19"/>
      <c r="B981" s="19"/>
      <c r="C981" s="19"/>
      <c r="D981" s="19"/>
      <c r="E981" s="19"/>
      <c r="F981" s="19"/>
      <c r="G981" s="19"/>
      <c r="H981" s="19"/>
      <c r="I981" s="19"/>
      <c r="J981" s="19"/>
      <c r="K981" s="19"/>
      <c r="L981" s="19"/>
      <c r="M981" s="19"/>
      <c r="N981" s="19"/>
      <c r="O981" s="19"/>
      <c r="P981" s="19"/>
    </row>
    <row r="982">
      <c r="A982" s="19"/>
      <c r="B982" s="19"/>
      <c r="C982" s="19"/>
      <c r="D982" s="19"/>
      <c r="E982" s="19"/>
      <c r="F982" s="19"/>
      <c r="G982" s="19"/>
      <c r="H982" s="19"/>
      <c r="I982" s="19"/>
      <c r="J982" s="19"/>
      <c r="K982" s="19"/>
      <c r="L982" s="19"/>
      <c r="M982" s="19"/>
      <c r="N982" s="19"/>
      <c r="O982" s="19"/>
      <c r="P982" s="19"/>
    </row>
    <row r="983">
      <c r="A983" s="19"/>
      <c r="B983" s="19"/>
      <c r="C983" s="19"/>
      <c r="D983" s="19"/>
      <c r="E983" s="19"/>
      <c r="F983" s="19"/>
      <c r="G983" s="19"/>
      <c r="H983" s="19"/>
      <c r="I983" s="19"/>
      <c r="J983" s="19"/>
      <c r="K983" s="19"/>
      <c r="L983" s="19"/>
      <c r="M983" s="19"/>
      <c r="N983" s="19"/>
      <c r="O983" s="19"/>
      <c r="P983" s="19"/>
    </row>
    <row r="984">
      <c r="A984" s="19"/>
      <c r="B984" s="19"/>
      <c r="C984" s="19"/>
      <c r="D984" s="19"/>
      <c r="E984" s="19"/>
      <c r="F984" s="19"/>
      <c r="G984" s="19"/>
      <c r="H984" s="19"/>
      <c r="I984" s="19"/>
      <c r="J984" s="19"/>
      <c r="K984" s="19"/>
      <c r="L984" s="19"/>
      <c r="M984" s="19"/>
      <c r="N984" s="19"/>
      <c r="O984" s="19"/>
      <c r="P984" s="19"/>
    </row>
    <row r="985">
      <c r="A985" s="19"/>
      <c r="B985" s="19"/>
      <c r="C985" s="19"/>
      <c r="D985" s="19"/>
      <c r="E985" s="19"/>
      <c r="F985" s="19"/>
      <c r="G985" s="19"/>
      <c r="H985" s="19"/>
      <c r="I985" s="19"/>
      <c r="J985" s="19"/>
      <c r="K985" s="19"/>
      <c r="L985" s="19"/>
      <c r="M985" s="19"/>
      <c r="N985" s="19"/>
      <c r="O985" s="19"/>
      <c r="P985" s="19"/>
    </row>
    <row r="986">
      <c r="A986" s="19"/>
      <c r="B986" s="19"/>
      <c r="C986" s="19"/>
      <c r="D986" s="19"/>
      <c r="E986" s="19"/>
      <c r="F986" s="19"/>
      <c r="G986" s="19"/>
      <c r="H986" s="19"/>
      <c r="I986" s="19"/>
      <c r="J986" s="19"/>
      <c r="K986" s="19"/>
      <c r="L986" s="19"/>
      <c r="M986" s="19"/>
      <c r="N986" s="19"/>
      <c r="O986" s="19"/>
      <c r="P986" s="19"/>
    </row>
    <row r="987">
      <c r="A987" s="19"/>
      <c r="B987" s="19"/>
      <c r="C987" s="19"/>
      <c r="D987" s="19"/>
      <c r="E987" s="19"/>
      <c r="F987" s="19"/>
      <c r="G987" s="19"/>
      <c r="H987" s="19"/>
      <c r="I987" s="19"/>
      <c r="J987" s="19"/>
      <c r="K987" s="19"/>
      <c r="L987" s="19"/>
      <c r="M987" s="19"/>
      <c r="N987" s="19"/>
      <c r="O987" s="19"/>
      <c r="P987" s="19"/>
    </row>
    <row r="988">
      <c r="A988" s="19"/>
      <c r="B988" s="19"/>
      <c r="C988" s="19"/>
      <c r="D988" s="19"/>
      <c r="E988" s="19"/>
      <c r="F988" s="19"/>
      <c r="G988" s="19"/>
      <c r="H988" s="19"/>
      <c r="I988" s="19"/>
      <c r="J988" s="19"/>
      <c r="K988" s="19"/>
      <c r="L988" s="19"/>
      <c r="M988" s="19"/>
      <c r="N988" s="19"/>
      <c r="O988" s="19"/>
      <c r="P988" s="19"/>
    </row>
    <row r="989">
      <c r="A989" s="19"/>
      <c r="B989" s="19"/>
      <c r="C989" s="19"/>
      <c r="D989" s="19"/>
      <c r="E989" s="19"/>
      <c r="F989" s="19"/>
      <c r="G989" s="19"/>
      <c r="H989" s="19"/>
      <c r="I989" s="19"/>
      <c r="J989" s="19"/>
      <c r="K989" s="19"/>
      <c r="L989" s="19"/>
      <c r="M989" s="19"/>
      <c r="N989" s="19"/>
      <c r="O989" s="19"/>
      <c r="P989" s="19"/>
    </row>
    <row r="990">
      <c r="A990" s="19"/>
      <c r="B990" s="19"/>
      <c r="C990" s="19"/>
      <c r="D990" s="19"/>
      <c r="E990" s="19"/>
      <c r="F990" s="19"/>
      <c r="G990" s="19"/>
      <c r="H990" s="19"/>
      <c r="I990" s="19"/>
      <c r="J990" s="19"/>
      <c r="K990" s="19"/>
      <c r="L990" s="19"/>
      <c r="M990" s="19"/>
      <c r="N990" s="19"/>
      <c r="O990" s="19"/>
      <c r="P990" s="19"/>
    </row>
    <row r="991">
      <c r="A991" s="19"/>
      <c r="B991" s="19"/>
      <c r="C991" s="19"/>
      <c r="D991" s="19"/>
      <c r="E991" s="19"/>
      <c r="F991" s="19"/>
      <c r="G991" s="19"/>
      <c r="H991" s="19"/>
      <c r="I991" s="19"/>
      <c r="J991" s="19"/>
      <c r="K991" s="19"/>
      <c r="L991" s="19"/>
      <c r="M991" s="19"/>
      <c r="N991" s="19"/>
      <c r="O991" s="19"/>
      <c r="P991" s="19"/>
    </row>
    <row r="992">
      <c r="A992" s="19"/>
      <c r="B992" s="19"/>
      <c r="C992" s="19"/>
      <c r="D992" s="19"/>
      <c r="E992" s="19"/>
      <c r="F992" s="19"/>
      <c r="G992" s="19"/>
      <c r="H992" s="19"/>
      <c r="I992" s="19"/>
      <c r="J992" s="19"/>
      <c r="K992" s="19"/>
      <c r="L992" s="19"/>
      <c r="M992" s="19"/>
      <c r="N992" s="19"/>
      <c r="O992" s="19"/>
      <c r="P992" s="19"/>
    </row>
    <row r="993">
      <c r="A993" s="19"/>
      <c r="B993" s="19"/>
      <c r="C993" s="19"/>
      <c r="D993" s="19"/>
      <c r="E993" s="19"/>
      <c r="F993" s="19"/>
      <c r="G993" s="19"/>
      <c r="H993" s="19"/>
      <c r="I993" s="19"/>
      <c r="J993" s="19"/>
      <c r="K993" s="19"/>
      <c r="L993" s="19"/>
      <c r="M993" s="19"/>
      <c r="N993" s="19"/>
      <c r="O993" s="19"/>
      <c r="P993" s="19"/>
    </row>
    <row r="994">
      <c r="A994" s="19"/>
      <c r="B994" s="19"/>
      <c r="C994" s="19"/>
      <c r="D994" s="19"/>
      <c r="E994" s="19"/>
      <c r="F994" s="19"/>
      <c r="G994" s="19"/>
      <c r="H994" s="19"/>
      <c r="I994" s="19"/>
      <c r="J994" s="19"/>
      <c r="K994" s="19"/>
      <c r="L994" s="19"/>
      <c r="M994" s="19"/>
      <c r="N994" s="19"/>
      <c r="O994" s="19"/>
      <c r="P994" s="19"/>
    </row>
    <row r="995">
      <c r="A995" s="19"/>
      <c r="B995" s="19"/>
      <c r="C995" s="19"/>
      <c r="D995" s="19"/>
      <c r="E995" s="19"/>
      <c r="F995" s="19"/>
      <c r="G995" s="19"/>
      <c r="H995" s="19"/>
      <c r="I995" s="19"/>
      <c r="J995" s="19"/>
      <c r="K995" s="19"/>
      <c r="L995" s="19"/>
      <c r="M995" s="19"/>
      <c r="N995" s="19"/>
      <c r="O995" s="19"/>
      <c r="P995" s="19"/>
    </row>
    <row r="996">
      <c r="A996" s="19"/>
      <c r="B996" s="19"/>
      <c r="C996" s="19"/>
      <c r="D996" s="19"/>
      <c r="E996" s="19"/>
      <c r="F996" s="19"/>
      <c r="G996" s="19"/>
      <c r="H996" s="19"/>
      <c r="I996" s="19"/>
      <c r="J996" s="19"/>
      <c r="K996" s="19"/>
      <c r="L996" s="19"/>
      <c r="M996" s="19"/>
      <c r="N996" s="19"/>
      <c r="O996" s="19"/>
      <c r="P996" s="19"/>
    </row>
    <row r="997">
      <c r="A997" s="19"/>
      <c r="B997" s="19"/>
      <c r="C997" s="19"/>
      <c r="D997" s="19"/>
      <c r="E997" s="19"/>
      <c r="F997" s="19"/>
      <c r="G997" s="19"/>
      <c r="H997" s="19"/>
      <c r="I997" s="19"/>
      <c r="J997" s="19"/>
      <c r="K997" s="19"/>
      <c r="L997" s="19"/>
      <c r="M997" s="19"/>
      <c r="N997" s="19"/>
      <c r="O997" s="19"/>
      <c r="P997" s="19"/>
    </row>
    <row r="998">
      <c r="A998" s="19"/>
      <c r="B998" s="19"/>
      <c r="C998" s="19"/>
      <c r="D998" s="19"/>
      <c r="E998" s="19"/>
      <c r="F998" s="19"/>
      <c r="G998" s="19"/>
      <c r="H998" s="19"/>
      <c r="I998" s="19"/>
      <c r="J998" s="19"/>
      <c r="K998" s="19"/>
      <c r="L998" s="19"/>
      <c r="M998" s="19"/>
      <c r="N998" s="19"/>
      <c r="O998" s="19"/>
      <c r="P998" s="19"/>
    </row>
    <row r="999">
      <c r="A999" s="19"/>
      <c r="B999" s="19"/>
      <c r="C999" s="19"/>
      <c r="D999" s="19"/>
      <c r="E999" s="19"/>
      <c r="F999" s="19"/>
      <c r="G999" s="19"/>
      <c r="H999" s="19"/>
      <c r="I999" s="19"/>
      <c r="J999" s="19"/>
      <c r="K999" s="19"/>
      <c r="L999" s="19"/>
      <c r="M999" s="19"/>
      <c r="N999" s="19"/>
      <c r="O999" s="19"/>
      <c r="P999" s="19"/>
    </row>
    <row r="1000">
      <c r="A1000" s="19"/>
      <c r="B1000" s="19"/>
      <c r="C1000" s="19"/>
      <c r="D1000" s="19"/>
      <c r="E1000" s="19"/>
      <c r="F1000" s="19"/>
      <c r="G1000" s="19"/>
      <c r="H1000" s="19"/>
      <c r="I1000" s="19"/>
      <c r="J1000" s="19"/>
      <c r="K1000" s="19"/>
      <c r="L1000" s="19"/>
      <c r="M1000" s="19"/>
      <c r="N1000" s="19"/>
      <c r="O1000" s="19"/>
      <c r="P1000" s="19"/>
    </row>
  </sheetData>
  <mergeCells count="20">
    <mergeCell ref="A2:P2"/>
    <mergeCell ref="A4:P4"/>
    <mergeCell ref="A5:P5"/>
    <mergeCell ref="A7:P7"/>
    <mergeCell ref="A8:P8"/>
    <mergeCell ref="A9:P9"/>
    <mergeCell ref="A10:P10"/>
    <mergeCell ref="A25:P25"/>
    <mergeCell ref="A26:P26"/>
    <mergeCell ref="A27:P27"/>
    <mergeCell ref="A29:P29"/>
    <mergeCell ref="A30:P30"/>
    <mergeCell ref="A32:P32"/>
    <mergeCell ref="A12:P12"/>
    <mergeCell ref="A13:P13"/>
    <mergeCell ref="A15:P15"/>
    <mergeCell ref="A17:P17"/>
    <mergeCell ref="A19:P19"/>
    <mergeCell ref="A22:P22"/>
    <mergeCell ref="A23:P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
    <col customWidth="1" min="2" max="2" width="26.88"/>
    <col customWidth="1" min="3" max="6" width="7.0"/>
    <col customWidth="1" min="7" max="7" width="3.75"/>
    <col customWidth="1" min="8" max="9" width="7.0"/>
    <col customWidth="1" min="10" max="10" width="8.25"/>
    <col customWidth="1" min="11" max="11" width="7.0"/>
  </cols>
  <sheetData>
    <row r="1" ht="27.75" customHeight="1">
      <c r="A1" s="20" t="s">
        <v>25</v>
      </c>
      <c r="B1" s="21"/>
      <c r="C1" s="21"/>
      <c r="D1" s="21"/>
      <c r="E1" s="21"/>
      <c r="F1" s="21"/>
      <c r="G1" s="21"/>
      <c r="H1" s="21"/>
      <c r="I1" s="21"/>
      <c r="J1" s="22"/>
      <c r="K1" s="18"/>
    </row>
    <row r="2" ht="12.75" customHeight="1">
      <c r="A2" s="23"/>
      <c r="B2" s="7"/>
      <c r="C2" s="7"/>
      <c r="D2" s="7"/>
      <c r="E2" s="7"/>
      <c r="F2" s="7"/>
      <c r="G2" s="7"/>
      <c r="H2" s="7"/>
      <c r="I2" s="7"/>
      <c r="J2" s="24"/>
      <c r="K2" s="18"/>
    </row>
    <row r="3" ht="12.75" customHeight="1">
      <c r="A3" s="23"/>
      <c r="B3" s="25"/>
      <c r="C3" s="25" t="s">
        <v>26</v>
      </c>
      <c r="D3" s="25" t="s">
        <v>27</v>
      </c>
      <c r="E3" s="25" t="s">
        <v>28</v>
      </c>
      <c r="F3" s="26">
        <v>0.9</v>
      </c>
      <c r="G3" s="7"/>
      <c r="H3" s="7"/>
      <c r="I3" s="27" t="s">
        <v>29</v>
      </c>
      <c r="J3" s="24"/>
      <c r="K3" s="7"/>
    </row>
    <row r="4" ht="12.75" customHeight="1">
      <c r="A4" s="23"/>
      <c r="B4" s="28" t="s">
        <v>30</v>
      </c>
      <c r="C4" s="29">
        <v>55.0</v>
      </c>
      <c r="D4" s="29">
        <v>1.0</v>
      </c>
      <c r="E4" s="30">
        <f>IF(D4="","",MROUND((C4*36)/(37-D4),B38))</f>
        <v>55</v>
      </c>
      <c r="F4" s="30">
        <f t="shared" ref="F4:F7" si="1">IF(D4="","",MROUND(E4*0.9,5))</f>
        <v>50</v>
      </c>
      <c r="G4" s="7"/>
      <c r="H4" s="31" t="s">
        <v>26</v>
      </c>
      <c r="I4" s="31" t="s">
        <v>27</v>
      </c>
      <c r="J4" s="32" t="s">
        <v>28</v>
      </c>
      <c r="K4" s="18"/>
    </row>
    <row r="5" ht="12.75" customHeight="1">
      <c r="A5" s="23"/>
      <c r="B5" s="28" t="s">
        <v>31</v>
      </c>
      <c r="C5" s="28">
        <v>90.0</v>
      </c>
      <c r="D5" s="29">
        <v>10.0</v>
      </c>
      <c r="E5" s="30">
        <f>IF(D5="","",MROUND((C5*36)/(37-D5),B38))</f>
        <v>120</v>
      </c>
      <c r="F5" s="30">
        <f t="shared" si="1"/>
        <v>110</v>
      </c>
      <c r="G5" s="7"/>
      <c r="H5" s="33"/>
      <c r="I5" s="33"/>
      <c r="J5" s="34" t="str">
        <f>IF(OR(I5="",H5=""),"",MROUND((36*H5)/(37-I5),5))</f>
        <v/>
      </c>
      <c r="K5" s="18"/>
    </row>
    <row r="6" ht="12.75" customHeight="1">
      <c r="A6" s="23"/>
      <c r="B6" s="28" t="s">
        <v>32</v>
      </c>
      <c r="C6" s="29">
        <v>75.0</v>
      </c>
      <c r="D6" s="29">
        <v>1.0</v>
      </c>
      <c r="E6" s="30">
        <f>IF(D6="","",MROUND((C6*36)/(37-D6),B38))</f>
        <v>75</v>
      </c>
      <c r="F6" s="30">
        <f t="shared" si="1"/>
        <v>70</v>
      </c>
      <c r="G6" s="7"/>
      <c r="H6" s="28"/>
      <c r="I6" s="30" t="str">
        <f>IF(OR(H6="",J6=""),"",ROUND(37-(36*H6/J6),0))</f>
        <v/>
      </c>
      <c r="J6" s="35"/>
      <c r="K6" s="18"/>
    </row>
    <row r="7" ht="12.75" customHeight="1">
      <c r="A7" s="23"/>
      <c r="B7" s="36" t="s">
        <v>33</v>
      </c>
      <c r="C7" s="36">
        <v>80.0</v>
      </c>
      <c r="D7" s="36">
        <v>5.0</v>
      </c>
      <c r="E7" s="37">
        <f>IF(D7="","",MROUND((C7*36)/(37-D7),B38))</f>
        <v>90</v>
      </c>
      <c r="F7" s="37">
        <f t="shared" si="1"/>
        <v>80</v>
      </c>
      <c r="G7" s="7"/>
      <c r="H7" s="30" t="str">
        <f>IF(OR(I7="",J7=""),"",MROUND(J7/(36/(37-I7)),5))</f>
        <v/>
      </c>
      <c r="I7" s="38"/>
      <c r="J7" s="39"/>
      <c r="K7" s="18"/>
    </row>
    <row r="8" ht="43.5" customHeight="1">
      <c r="A8" s="23"/>
      <c r="B8" s="40" t="s">
        <v>34</v>
      </c>
      <c r="C8" s="41"/>
      <c r="D8" s="41"/>
      <c r="E8" s="41"/>
      <c r="F8" s="42"/>
      <c r="G8" s="7"/>
      <c r="H8" s="7"/>
      <c r="I8" s="7"/>
      <c r="J8" s="24"/>
      <c r="K8" s="7"/>
    </row>
    <row r="9" ht="12.75" customHeight="1">
      <c r="A9" s="23"/>
      <c r="B9" s="43" t="s">
        <v>35</v>
      </c>
      <c r="C9" s="7"/>
      <c r="D9" s="7"/>
      <c r="E9" s="7"/>
      <c r="F9" s="7"/>
      <c r="G9" s="7"/>
      <c r="H9" s="7"/>
      <c r="I9" s="7"/>
      <c r="J9" s="24"/>
      <c r="K9" s="7"/>
    </row>
    <row r="10" ht="12.75" customHeight="1">
      <c r="A10" s="23"/>
      <c r="B10" s="44" t="s">
        <v>36</v>
      </c>
      <c r="C10" s="45"/>
      <c r="D10" s="45"/>
      <c r="E10" s="46"/>
      <c r="F10" s="46"/>
      <c r="G10" s="7"/>
      <c r="H10" s="7"/>
      <c r="I10" s="7"/>
      <c r="J10" s="24"/>
      <c r="K10" s="7"/>
    </row>
    <row r="11" ht="12.75" customHeight="1">
      <c r="A11" s="23"/>
      <c r="B11" s="47" t="s">
        <v>37</v>
      </c>
      <c r="C11" s="29">
        <v>90.0</v>
      </c>
      <c r="D11" s="29">
        <v>8.0</v>
      </c>
      <c r="E11" s="30">
        <f t="shared" ref="E11:E16" si="2">IF(D11="","",MROUND((C11*36)/(37-D11),$B$38))</f>
        <v>112.5</v>
      </c>
      <c r="F11" s="30">
        <f t="shared" ref="F11:F16" si="3">IF(D11="","",MROUND(E11*0.9,5))</f>
        <v>100</v>
      </c>
      <c r="G11" s="7"/>
      <c r="H11" s="7"/>
      <c r="I11" s="7"/>
      <c r="J11" s="24"/>
      <c r="K11" s="7"/>
    </row>
    <row r="12" ht="12.75" customHeight="1">
      <c r="A12" s="23"/>
      <c r="B12" s="47" t="s">
        <v>38</v>
      </c>
      <c r="C12" s="29">
        <v>42.5</v>
      </c>
      <c r="D12" s="29">
        <v>10.0</v>
      </c>
      <c r="E12" s="30">
        <f t="shared" si="2"/>
        <v>57.5</v>
      </c>
      <c r="F12" s="30">
        <f t="shared" si="3"/>
        <v>50</v>
      </c>
      <c r="G12" s="7"/>
      <c r="H12" s="7"/>
      <c r="I12" s="7"/>
      <c r="J12" s="24"/>
      <c r="K12" s="7"/>
    </row>
    <row r="13" ht="12.75" customHeight="1">
      <c r="A13" s="23"/>
      <c r="B13" s="47" t="s">
        <v>39</v>
      </c>
      <c r="C13" s="29">
        <v>90.0</v>
      </c>
      <c r="D13" s="29">
        <v>8.0</v>
      </c>
      <c r="E13" s="30">
        <f t="shared" si="2"/>
        <v>112.5</v>
      </c>
      <c r="F13" s="30">
        <f t="shared" si="3"/>
        <v>100</v>
      </c>
      <c r="G13" s="7"/>
      <c r="H13" s="7"/>
      <c r="I13" s="7"/>
      <c r="J13" s="24"/>
      <c r="K13" s="7"/>
    </row>
    <row r="14" ht="12.75" customHeight="1">
      <c r="A14" s="23"/>
      <c r="B14" s="47" t="s">
        <v>40</v>
      </c>
      <c r="C14" s="29">
        <v>25.0</v>
      </c>
      <c r="D14" s="29">
        <v>5.0</v>
      </c>
      <c r="E14" s="30">
        <f t="shared" si="2"/>
        <v>27.5</v>
      </c>
      <c r="F14" s="30">
        <f t="shared" si="3"/>
        <v>25</v>
      </c>
      <c r="G14" s="7"/>
      <c r="H14" s="7"/>
      <c r="I14" s="7"/>
      <c r="J14" s="24"/>
      <c r="K14" s="7"/>
    </row>
    <row r="15" ht="12.75" customHeight="1">
      <c r="A15" s="23"/>
      <c r="B15" s="47" t="s">
        <v>41</v>
      </c>
      <c r="C15" s="29">
        <v>30.0</v>
      </c>
      <c r="D15" s="29">
        <v>10.0</v>
      </c>
      <c r="E15" s="30">
        <f t="shared" si="2"/>
        <v>40</v>
      </c>
      <c r="F15" s="30">
        <f t="shared" si="3"/>
        <v>35</v>
      </c>
      <c r="G15" s="7"/>
      <c r="H15" s="7"/>
      <c r="I15" s="7"/>
      <c r="J15" s="24"/>
      <c r="K15" s="7"/>
    </row>
    <row r="16" ht="12.75" customHeight="1">
      <c r="A16" s="23"/>
      <c r="B16" s="47" t="s">
        <v>42</v>
      </c>
      <c r="C16" s="48">
        <v>10.0</v>
      </c>
      <c r="D16" s="48">
        <v>12.0</v>
      </c>
      <c r="E16" s="30">
        <f t="shared" si="2"/>
        <v>15</v>
      </c>
      <c r="F16" s="37">
        <f t="shared" si="3"/>
        <v>15</v>
      </c>
      <c r="G16" s="43" t="s">
        <v>43</v>
      </c>
      <c r="H16" s="43"/>
      <c r="I16" s="7"/>
      <c r="J16" s="24"/>
      <c r="K16" s="7"/>
    </row>
    <row r="17" ht="12.75" customHeight="1">
      <c r="A17" s="23"/>
      <c r="B17" s="44" t="s">
        <v>44</v>
      </c>
      <c r="C17" s="7"/>
      <c r="D17" s="7"/>
      <c r="E17" s="7"/>
      <c r="F17" s="7"/>
      <c r="G17" s="7"/>
      <c r="H17" s="7"/>
      <c r="I17" s="7"/>
      <c r="J17" s="24"/>
      <c r="K17" s="7"/>
    </row>
    <row r="18" ht="12.75" customHeight="1">
      <c r="A18" s="23"/>
      <c r="B18" s="47" t="s">
        <v>45</v>
      </c>
      <c r="C18" s="29">
        <v>50.0</v>
      </c>
      <c r="D18" s="29">
        <v>8.0</v>
      </c>
      <c r="E18" s="30">
        <f t="shared" ref="E18:E20" si="4">IF(D18="","",MROUND((C18*36)/(37-D18),$B$38))</f>
        <v>62.5</v>
      </c>
      <c r="F18" s="30">
        <f t="shared" ref="F18:F20" si="5">IF(D18="","",MROUND(E18*0.9,5))</f>
        <v>55</v>
      </c>
      <c r="G18" s="7"/>
      <c r="H18" s="7"/>
      <c r="I18" s="7"/>
      <c r="J18" s="24"/>
      <c r="K18" s="7"/>
    </row>
    <row r="19" ht="12.75" customHeight="1">
      <c r="A19" s="23"/>
      <c r="B19" s="47" t="s">
        <v>46</v>
      </c>
      <c r="C19" s="29">
        <v>30.0</v>
      </c>
      <c r="D19" s="29">
        <v>10.0</v>
      </c>
      <c r="E19" s="30">
        <f t="shared" si="4"/>
        <v>40</v>
      </c>
      <c r="F19" s="30">
        <f t="shared" si="5"/>
        <v>35</v>
      </c>
      <c r="G19" s="7"/>
      <c r="H19" s="7"/>
      <c r="I19" s="7"/>
      <c r="J19" s="24"/>
      <c r="K19" s="7"/>
    </row>
    <row r="20" ht="12.75" customHeight="1">
      <c r="A20" s="23"/>
      <c r="B20" s="47" t="s">
        <v>47</v>
      </c>
      <c r="C20" s="29">
        <v>90.0</v>
      </c>
      <c r="D20" s="29">
        <v>8.0</v>
      </c>
      <c r="E20" s="30">
        <f t="shared" si="4"/>
        <v>112.5</v>
      </c>
      <c r="F20" s="37">
        <f t="shared" si="5"/>
        <v>100</v>
      </c>
      <c r="G20" s="7"/>
      <c r="H20" s="7"/>
      <c r="I20" s="7"/>
      <c r="J20" s="24"/>
      <c r="K20" s="7"/>
    </row>
    <row r="21" ht="12.75" customHeight="1">
      <c r="A21" s="23"/>
      <c r="B21" s="44" t="s">
        <v>48</v>
      </c>
      <c r="C21" s="7"/>
      <c r="D21" s="7"/>
      <c r="E21" s="7"/>
      <c r="F21" s="7"/>
      <c r="G21" s="7"/>
      <c r="H21" s="7"/>
      <c r="I21" s="7"/>
      <c r="J21" s="24"/>
      <c r="K21" s="7"/>
    </row>
    <row r="22" ht="12.75" customHeight="1">
      <c r="A22" s="23"/>
      <c r="B22" s="47" t="s">
        <v>49</v>
      </c>
      <c r="C22" s="29">
        <v>90.0</v>
      </c>
      <c r="D22" s="29">
        <v>8.0</v>
      </c>
      <c r="E22" s="30">
        <f t="shared" ref="E22:E25" si="6">IF(D22="","",MROUND((C22*36)/(37-D22),$B$38))</f>
        <v>112.5</v>
      </c>
      <c r="F22" s="30">
        <f t="shared" ref="F22:F25" si="7">IF(D22="","",MROUND(E22*0.9,5))</f>
        <v>100</v>
      </c>
      <c r="G22" s="7"/>
      <c r="H22" s="7"/>
      <c r="I22" s="7"/>
      <c r="J22" s="24"/>
      <c r="K22" s="7"/>
    </row>
    <row r="23" ht="12.75" customHeight="1">
      <c r="A23" s="23"/>
      <c r="B23" s="47" t="s">
        <v>50</v>
      </c>
      <c r="C23" s="29">
        <v>45.0</v>
      </c>
      <c r="D23" s="29">
        <v>10.0</v>
      </c>
      <c r="E23" s="30">
        <f t="shared" si="6"/>
        <v>60</v>
      </c>
      <c r="F23" s="30">
        <f t="shared" si="7"/>
        <v>55</v>
      </c>
      <c r="G23" s="7"/>
      <c r="H23" s="7"/>
      <c r="I23" s="7"/>
      <c r="J23" s="24"/>
      <c r="K23" s="7"/>
    </row>
    <row r="24" ht="12.75" customHeight="1">
      <c r="A24" s="23"/>
      <c r="B24" s="47" t="s">
        <v>51</v>
      </c>
      <c r="C24" s="29">
        <v>30.0</v>
      </c>
      <c r="D24" s="29">
        <v>10.0</v>
      </c>
      <c r="E24" s="30">
        <f t="shared" si="6"/>
        <v>40</v>
      </c>
      <c r="F24" s="30">
        <f t="shared" si="7"/>
        <v>35</v>
      </c>
      <c r="G24" s="7"/>
      <c r="H24" s="7"/>
      <c r="I24" s="7"/>
      <c r="J24" s="24"/>
      <c r="K24" s="7"/>
    </row>
    <row r="25" ht="12.75" customHeight="1">
      <c r="A25" s="23"/>
      <c r="B25" s="47" t="s">
        <v>52</v>
      </c>
      <c r="C25" s="48">
        <v>10.0</v>
      </c>
      <c r="D25" s="48">
        <v>12.0</v>
      </c>
      <c r="E25" s="30">
        <f t="shared" si="6"/>
        <v>15</v>
      </c>
      <c r="F25" s="37">
        <f t="shared" si="7"/>
        <v>15</v>
      </c>
      <c r="G25" s="7"/>
      <c r="H25" s="7"/>
      <c r="I25" s="7"/>
      <c r="J25" s="24"/>
      <c r="K25" s="7"/>
    </row>
    <row r="26" ht="12.75" customHeight="1">
      <c r="A26" s="23"/>
      <c r="B26" s="44" t="s">
        <v>53</v>
      </c>
      <c r="C26" s="7"/>
      <c r="D26" s="7"/>
      <c r="E26" s="7"/>
      <c r="F26" s="7"/>
      <c r="G26" s="7"/>
      <c r="H26" s="7"/>
      <c r="I26" s="7"/>
      <c r="J26" s="24"/>
      <c r="K26" s="7"/>
    </row>
    <row r="27" ht="12.75" customHeight="1">
      <c r="A27" s="23"/>
      <c r="B27" s="47" t="s">
        <v>54</v>
      </c>
      <c r="C27" s="29">
        <v>30.0</v>
      </c>
      <c r="D27" s="29">
        <v>10.0</v>
      </c>
      <c r="E27" s="30">
        <f t="shared" ref="E27:E29" si="8">IF(D27="","",MROUND((C27*36)/(37-D27),$B$38))</f>
        <v>40</v>
      </c>
      <c r="F27" s="30">
        <f t="shared" ref="F27:F29" si="9">IF(D27="","",MROUND(E27*0.9,5))</f>
        <v>35</v>
      </c>
      <c r="G27" s="7"/>
      <c r="H27" s="7"/>
      <c r="I27" s="7"/>
      <c r="J27" s="24"/>
      <c r="K27" s="7"/>
    </row>
    <row r="28" ht="12.75" customHeight="1">
      <c r="A28" s="23"/>
      <c r="B28" s="47" t="s">
        <v>55</v>
      </c>
      <c r="C28" s="48">
        <v>10.0</v>
      </c>
      <c r="D28" s="48">
        <v>12.0</v>
      </c>
      <c r="E28" s="30">
        <f t="shared" si="8"/>
        <v>15</v>
      </c>
      <c r="F28" s="37">
        <f t="shared" si="9"/>
        <v>15</v>
      </c>
      <c r="G28" s="7"/>
      <c r="H28" s="7"/>
      <c r="I28" s="7"/>
      <c r="J28" s="24"/>
      <c r="K28" s="7"/>
    </row>
    <row r="29" ht="12.75" customHeight="1">
      <c r="A29" s="23"/>
      <c r="B29" s="47" t="s">
        <v>56</v>
      </c>
      <c r="C29" s="48">
        <v>10.0</v>
      </c>
      <c r="D29" s="48">
        <v>12.0</v>
      </c>
      <c r="E29" s="30">
        <f t="shared" si="8"/>
        <v>15</v>
      </c>
      <c r="F29" s="37">
        <f t="shared" si="9"/>
        <v>15</v>
      </c>
      <c r="G29" s="7"/>
      <c r="H29" s="7"/>
      <c r="I29" s="7"/>
      <c r="J29" s="24"/>
      <c r="K29" s="7"/>
    </row>
    <row r="30" ht="12.75" customHeight="1">
      <c r="A30" s="23"/>
      <c r="B30" s="7"/>
      <c r="C30" s="7"/>
      <c r="D30" s="7"/>
      <c r="E30" s="7"/>
      <c r="F30" s="7"/>
      <c r="G30" s="7"/>
      <c r="H30" s="7"/>
      <c r="I30" s="7"/>
      <c r="J30" s="24"/>
      <c r="K30" s="7"/>
    </row>
    <row r="31" ht="12.75" customHeight="1">
      <c r="A31" s="23"/>
      <c r="B31" s="49" t="s">
        <v>57</v>
      </c>
      <c r="C31" s="50"/>
      <c r="D31" s="7"/>
      <c r="E31" s="27" t="s">
        <v>58</v>
      </c>
      <c r="G31" s="7"/>
      <c r="H31" s="7"/>
      <c r="I31" s="7"/>
      <c r="J31" s="24"/>
      <c r="K31" s="18"/>
      <c r="P31" t="str">
        <f>in</f>
        <v>#NAME?</v>
      </c>
    </row>
    <row r="32" ht="12.75" customHeight="1">
      <c r="A32" s="23"/>
      <c r="B32" s="30" t="str">
        <f t="shared" ref="B32:B35" si="10">B4</f>
        <v>Military</v>
      </c>
      <c r="C32" s="28" t="s">
        <v>59</v>
      </c>
      <c r="D32" s="7"/>
      <c r="E32" s="25" t="str">
        <f t="shared" ref="E32:E35" si="11">B4</f>
        <v>Military</v>
      </c>
      <c r="F32" s="28">
        <v>2.5</v>
      </c>
      <c r="G32" s="7"/>
      <c r="H32" s="51" t="s">
        <v>60</v>
      </c>
      <c r="I32" s="6"/>
      <c r="J32" s="52"/>
      <c r="K32" s="18"/>
    </row>
    <row r="33" ht="12.75" customHeight="1">
      <c r="A33" s="23"/>
      <c r="B33" s="30" t="str">
        <f t="shared" si="10"/>
        <v>Deadlift</v>
      </c>
      <c r="C33" s="28">
        <v>5.0</v>
      </c>
      <c r="D33" s="7"/>
      <c r="E33" s="25" t="str">
        <f t="shared" si="11"/>
        <v>Deadlift</v>
      </c>
      <c r="F33" s="28">
        <v>2.5</v>
      </c>
      <c r="G33" s="7"/>
      <c r="H33" s="53" t="s">
        <v>61</v>
      </c>
      <c r="I33" s="6"/>
      <c r="J33" s="52"/>
      <c r="K33" s="18"/>
      <c r="L33" s="47">
        <v>2.5</v>
      </c>
    </row>
    <row r="34" ht="12.75" customHeight="1">
      <c r="A34" s="23"/>
      <c r="B34" s="30" t="str">
        <f t="shared" si="10"/>
        <v>Bench</v>
      </c>
      <c r="C34" s="28" t="s">
        <v>59</v>
      </c>
      <c r="D34" s="7"/>
      <c r="E34" s="25" t="str">
        <f t="shared" si="11"/>
        <v>Bench</v>
      </c>
      <c r="F34" s="28">
        <v>2.5</v>
      </c>
      <c r="G34" s="7"/>
      <c r="H34" s="54" t="s">
        <v>62</v>
      </c>
      <c r="I34" s="6"/>
      <c r="J34" s="24"/>
      <c r="K34" s="18"/>
    </row>
    <row r="35" ht="12.75" customHeight="1">
      <c r="A35" s="23"/>
      <c r="B35" s="30" t="str">
        <f t="shared" si="10"/>
        <v>Squat</v>
      </c>
      <c r="C35" s="28">
        <v>5.0</v>
      </c>
      <c r="D35" s="7"/>
      <c r="E35" s="25" t="str">
        <f t="shared" si="11"/>
        <v>Squat</v>
      </c>
      <c r="F35" s="28">
        <v>2.5</v>
      </c>
      <c r="G35" s="7"/>
      <c r="H35" s="54" t="s">
        <v>63</v>
      </c>
      <c r="I35" s="6"/>
      <c r="J35" s="24"/>
      <c r="K35" s="18"/>
      <c r="M35" s="55"/>
    </row>
    <row r="36" ht="12.75" customHeight="1">
      <c r="A36" s="23"/>
      <c r="B36" s="7"/>
      <c r="C36" s="7"/>
      <c r="D36" s="7"/>
      <c r="E36" s="25" t="s">
        <v>35</v>
      </c>
      <c r="F36" s="28">
        <v>2.5</v>
      </c>
      <c r="G36" s="7"/>
      <c r="H36" s="54" t="s">
        <v>64</v>
      </c>
      <c r="I36" s="6"/>
      <c r="J36" s="24"/>
      <c r="K36" s="7"/>
      <c r="L36" s="56">
        <v>18.5</v>
      </c>
      <c r="M36" s="55" t="str">
        <f>MROUND(L15,2)</f>
        <v>#ERROR!</v>
      </c>
      <c r="N36" s="55"/>
      <c r="O36" s="47">
        <v>20.0</v>
      </c>
      <c r="P36">
        <f t="shared" ref="P36:P50" si="12">LCM(O36)</f>
        <v>20</v>
      </c>
    </row>
    <row r="37" ht="13.5" customHeight="1">
      <c r="A37" s="7"/>
      <c r="B37" s="27" t="s">
        <v>65</v>
      </c>
      <c r="C37" s="7"/>
      <c r="D37" s="7"/>
      <c r="E37" s="7"/>
      <c r="F37" s="7"/>
      <c r="G37" s="7"/>
      <c r="H37" s="54" t="s">
        <v>66</v>
      </c>
      <c r="I37" s="6"/>
      <c r="J37" s="24"/>
      <c r="K37" s="18"/>
      <c r="L37" s="55">
        <f t="shared" ref="L37:L50" si="13">L36+$L$33</f>
        <v>21</v>
      </c>
      <c r="M37" s="55"/>
      <c r="N37" s="55"/>
      <c r="O37">
        <f t="shared" ref="O37:O50" si="14">O36+$L$33</f>
        <v>22.5</v>
      </c>
      <c r="P37">
        <f t="shared" si="12"/>
        <v>22</v>
      </c>
    </row>
    <row r="38" ht="12.0" customHeight="1">
      <c r="A38" s="7"/>
      <c r="B38" s="28">
        <v>2.5</v>
      </c>
      <c r="C38" s="7" t="s">
        <v>67</v>
      </c>
      <c r="D38" s="7"/>
      <c r="E38" s="7"/>
      <c r="F38" s="7"/>
      <c r="G38" s="7"/>
      <c r="H38" s="7"/>
      <c r="I38" s="7"/>
      <c r="J38" s="24"/>
      <c r="K38" s="18"/>
      <c r="L38" s="55">
        <f t="shared" si="13"/>
        <v>23.5</v>
      </c>
      <c r="O38">
        <f t="shared" si="14"/>
        <v>25</v>
      </c>
      <c r="P38">
        <f t="shared" si="12"/>
        <v>25</v>
      </c>
    </row>
    <row r="39" ht="12.75" customHeight="1">
      <c r="A39" s="57"/>
      <c r="B39" s="57"/>
      <c r="C39" s="57"/>
      <c r="D39" s="57"/>
      <c r="E39" s="57"/>
      <c r="F39" s="57"/>
      <c r="G39" s="57"/>
      <c r="H39" s="57"/>
      <c r="I39" s="57"/>
      <c r="J39" s="58"/>
      <c r="K39" s="18"/>
      <c r="L39" s="55">
        <f t="shared" si="13"/>
        <v>26</v>
      </c>
      <c r="O39">
        <f t="shared" si="14"/>
        <v>27.5</v>
      </c>
      <c r="P39">
        <f t="shared" si="12"/>
        <v>27</v>
      </c>
    </row>
    <row r="40" ht="14.25" customHeight="1">
      <c r="A40" s="7"/>
      <c r="B40" s="7"/>
      <c r="C40" s="7"/>
      <c r="D40" s="7"/>
      <c r="E40" s="7"/>
      <c r="F40" s="7"/>
      <c r="G40" s="7"/>
      <c r="H40" s="7"/>
      <c r="I40" s="7"/>
      <c r="J40" s="7"/>
      <c r="K40" s="18"/>
      <c r="L40" s="55">
        <f t="shared" si="13"/>
        <v>28.5</v>
      </c>
      <c r="O40">
        <f t="shared" si="14"/>
        <v>30</v>
      </c>
      <c r="P40">
        <f t="shared" si="12"/>
        <v>30</v>
      </c>
    </row>
    <row r="41" ht="12.75" customHeight="1">
      <c r="A41" s="59" t="s">
        <v>68</v>
      </c>
      <c r="B41" s="60"/>
      <c r="C41" s="60"/>
      <c r="D41" s="60"/>
      <c r="E41" s="60"/>
      <c r="F41" s="60"/>
      <c r="G41" s="60"/>
      <c r="H41" s="60"/>
      <c r="I41" s="60"/>
      <c r="J41" s="61"/>
      <c r="K41" s="18"/>
      <c r="L41" s="55">
        <f t="shared" si="13"/>
        <v>31</v>
      </c>
      <c r="O41">
        <f t="shared" si="14"/>
        <v>32.5</v>
      </c>
      <c r="P41">
        <f t="shared" si="12"/>
        <v>32</v>
      </c>
    </row>
    <row r="42" ht="12.75" customHeight="1">
      <c r="A42" s="62"/>
      <c r="J42" s="63"/>
      <c r="K42" s="18"/>
      <c r="L42" s="55">
        <f t="shared" si="13"/>
        <v>33.5</v>
      </c>
      <c r="O42">
        <f t="shared" si="14"/>
        <v>35</v>
      </c>
      <c r="P42">
        <f t="shared" si="12"/>
        <v>35</v>
      </c>
    </row>
    <row r="43" ht="13.5" customHeight="1">
      <c r="A43" s="64"/>
      <c r="B43" s="65"/>
      <c r="C43" s="65"/>
      <c r="D43" s="65"/>
      <c r="E43" s="65"/>
      <c r="F43" s="65"/>
      <c r="G43" s="65"/>
      <c r="H43" s="65"/>
      <c r="I43" s="65"/>
      <c r="J43" s="66"/>
      <c r="K43" s="18"/>
      <c r="L43" s="55">
        <f t="shared" si="13"/>
        <v>36</v>
      </c>
      <c r="O43">
        <f t="shared" si="14"/>
        <v>37.5</v>
      </c>
      <c r="P43">
        <f t="shared" si="12"/>
        <v>37</v>
      </c>
    </row>
    <row r="44" ht="12.75" customHeight="1">
      <c r="A44" s="7"/>
      <c r="B44" s="7"/>
      <c r="C44" s="7"/>
      <c r="D44" s="7"/>
      <c r="E44" s="7"/>
      <c r="F44" s="7"/>
      <c r="G44" s="7"/>
      <c r="H44" s="7"/>
      <c r="I44" s="7"/>
      <c r="J44" s="7"/>
      <c r="K44" s="18"/>
      <c r="L44" s="55">
        <f t="shared" si="13"/>
        <v>38.5</v>
      </c>
      <c r="O44">
        <f t="shared" si="14"/>
        <v>40</v>
      </c>
      <c r="P44">
        <f t="shared" si="12"/>
        <v>40</v>
      </c>
    </row>
    <row r="45" ht="12.75" customHeight="1">
      <c r="A45" s="7"/>
      <c r="B45" s="7"/>
      <c r="C45" s="7"/>
      <c r="D45" s="7"/>
      <c r="E45" s="7"/>
      <c r="F45" s="7"/>
      <c r="G45" s="7"/>
      <c r="H45" s="7"/>
      <c r="I45" s="7"/>
      <c r="J45" s="7"/>
      <c r="K45" s="18"/>
      <c r="L45" s="55">
        <f t="shared" si="13"/>
        <v>41</v>
      </c>
      <c r="O45">
        <f t="shared" si="14"/>
        <v>42.5</v>
      </c>
      <c r="P45">
        <f t="shared" si="12"/>
        <v>42</v>
      </c>
    </row>
    <row r="46" ht="12.75" customHeight="1">
      <c r="A46" s="7"/>
      <c r="B46" s="7"/>
      <c r="C46" s="7"/>
      <c r="D46" s="7"/>
      <c r="E46" s="7"/>
      <c r="F46" s="7"/>
      <c r="G46" s="7"/>
      <c r="H46" s="7"/>
      <c r="I46" s="7"/>
      <c r="J46" s="7"/>
      <c r="K46" s="18"/>
      <c r="L46" s="55">
        <f t="shared" si="13"/>
        <v>43.5</v>
      </c>
      <c r="O46">
        <f t="shared" si="14"/>
        <v>45</v>
      </c>
      <c r="P46">
        <f t="shared" si="12"/>
        <v>45</v>
      </c>
    </row>
    <row r="47" ht="12.75" customHeight="1">
      <c r="A47" s="7"/>
      <c r="B47" s="7"/>
      <c r="C47" s="7"/>
      <c r="D47" s="7"/>
      <c r="E47" s="7"/>
      <c r="F47" s="7"/>
      <c r="G47" s="7"/>
      <c r="H47" s="7"/>
      <c r="I47" s="7"/>
      <c r="J47" s="7"/>
      <c r="K47" s="18"/>
      <c r="L47" s="55">
        <f t="shared" si="13"/>
        <v>46</v>
      </c>
      <c r="O47">
        <f t="shared" si="14"/>
        <v>47.5</v>
      </c>
      <c r="P47">
        <f t="shared" si="12"/>
        <v>47</v>
      </c>
    </row>
    <row r="48" ht="12.75" customHeight="1">
      <c r="A48" s="7"/>
      <c r="B48" s="7"/>
      <c r="C48" s="7"/>
      <c r="D48" s="7"/>
      <c r="E48" s="7"/>
      <c r="F48" s="7"/>
      <c r="G48" s="7"/>
      <c r="H48" s="7"/>
      <c r="I48" s="7"/>
      <c r="J48" s="7"/>
      <c r="K48" s="18"/>
      <c r="L48" s="55">
        <f t="shared" si="13"/>
        <v>48.5</v>
      </c>
      <c r="O48">
        <f t="shared" si="14"/>
        <v>50</v>
      </c>
      <c r="P48">
        <f t="shared" si="12"/>
        <v>50</v>
      </c>
    </row>
    <row r="49" ht="12.75" customHeight="1">
      <c r="A49" s="18"/>
      <c r="B49" s="18"/>
      <c r="C49" s="18"/>
      <c r="D49" s="18"/>
      <c r="E49" s="18"/>
      <c r="F49" s="18"/>
      <c r="G49" s="18"/>
      <c r="H49" s="18"/>
      <c r="I49" s="18"/>
      <c r="J49" s="18"/>
      <c r="K49" s="18"/>
      <c r="L49" s="55">
        <f t="shared" si="13"/>
        <v>51</v>
      </c>
      <c r="O49">
        <f t="shared" si="14"/>
        <v>52.5</v>
      </c>
      <c r="P49">
        <f t="shared" si="12"/>
        <v>52</v>
      </c>
    </row>
    <row r="50">
      <c r="A50" s="18"/>
      <c r="B50" s="18"/>
      <c r="C50" s="18"/>
      <c r="D50" s="18"/>
      <c r="E50" s="18"/>
      <c r="F50" s="18"/>
      <c r="G50" s="18"/>
      <c r="H50" s="18"/>
      <c r="I50" s="18"/>
      <c r="J50" s="18"/>
      <c r="K50" s="18"/>
      <c r="L50" s="55">
        <f t="shared" si="13"/>
        <v>53.5</v>
      </c>
      <c r="O50">
        <f t="shared" si="14"/>
        <v>55</v>
      </c>
      <c r="P50">
        <f t="shared" si="12"/>
        <v>55</v>
      </c>
    </row>
    <row r="51">
      <c r="A51" s="19"/>
      <c r="B51" s="19"/>
      <c r="C51" s="19"/>
      <c r="D51" s="19"/>
      <c r="E51" s="19"/>
      <c r="F51" s="19"/>
      <c r="G51" s="19"/>
      <c r="H51" s="19"/>
      <c r="I51" s="19"/>
      <c r="J51" s="19"/>
      <c r="K51" s="19"/>
    </row>
    <row r="52">
      <c r="A52" s="19"/>
      <c r="B52" s="19"/>
      <c r="C52" s="19"/>
      <c r="D52" s="19"/>
      <c r="E52" s="19"/>
      <c r="F52" s="19"/>
      <c r="G52" s="19"/>
      <c r="H52" s="19"/>
      <c r="I52" s="19"/>
      <c r="J52" s="19"/>
      <c r="K52" s="19"/>
    </row>
    <row r="53">
      <c r="A53" s="19"/>
      <c r="B53" s="19"/>
      <c r="C53" s="19"/>
      <c r="D53" s="19"/>
      <c r="E53" s="19"/>
      <c r="F53" s="19"/>
      <c r="G53" s="19"/>
      <c r="H53" s="19"/>
      <c r="I53" s="19"/>
      <c r="J53" s="19"/>
      <c r="K53" s="19"/>
    </row>
    <row r="54">
      <c r="A54" s="19"/>
      <c r="B54" s="19"/>
      <c r="C54" s="19"/>
      <c r="D54" s="19"/>
      <c r="E54" s="19"/>
      <c r="F54" s="19"/>
      <c r="G54" s="19"/>
      <c r="H54" s="19"/>
      <c r="I54" s="19"/>
      <c r="J54" s="19"/>
      <c r="K54" s="19"/>
    </row>
    <row r="55">
      <c r="A55" s="19"/>
      <c r="B55" s="19"/>
      <c r="C55" s="19"/>
      <c r="D55" s="19"/>
      <c r="E55" s="19"/>
      <c r="F55" s="19"/>
      <c r="G55" s="19"/>
      <c r="H55" s="19"/>
      <c r="I55" s="19"/>
      <c r="J55" s="19"/>
      <c r="K55" s="19"/>
    </row>
    <row r="56">
      <c r="A56" s="19"/>
      <c r="B56" s="19"/>
      <c r="C56" s="19"/>
      <c r="D56" s="19"/>
      <c r="E56" s="19"/>
      <c r="F56" s="19"/>
      <c r="G56" s="19"/>
      <c r="H56" s="19"/>
      <c r="I56" s="19"/>
      <c r="J56" s="19"/>
      <c r="K56" s="19"/>
    </row>
    <row r="57">
      <c r="A57" s="19"/>
      <c r="B57" s="19"/>
      <c r="C57" s="19"/>
      <c r="D57" s="19"/>
      <c r="E57" s="19"/>
      <c r="F57" s="19"/>
      <c r="G57" s="19"/>
      <c r="H57" s="19"/>
      <c r="I57" s="19"/>
      <c r="J57" s="19"/>
      <c r="K57" s="19"/>
    </row>
    <row r="58">
      <c r="A58" s="19"/>
      <c r="B58" s="19"/>
      <c r="C58" s="19"/>
      <c r="D58" s="19"/>
      <c r="E58" s="19"/>
      <c r="F58" s="19"/>
      <c r="G58" s="19"/>
      <c r="H58" s="19"/>
      <c r="I58" s="19"/>
      <c r="J58" s="19"/>
      <c r="K58" s="19"/>
    </row>
    <row r="59">
      <c r="A59" s="19"/>
      <c r="B59" s="19"/>
      <c r="C59" s="19"/>
      <c r="D59" s="19"/>
      <c r="E59" s="19"/>
      <c r="F59" s="19"/>
      <c r="G59" s="19"/>
      <c r="H59" s="19"/>
      <c r="I59" s="19"/>
      <c r="J59" s="19"/>
      <c r="K59" s="19"/>
    </row>
    <row r="60">
      <c r="A60" s="19"/>
      <c r="B60" s="19"/>
      <c r="C60" s="19"/>
      <c r="D60" s="19"/>
      <c r="E60" s="19"/>
      <c r="F60" s="19"/>
      <c r="G60" s="19"/>
      <c r="H60" s="19"/>
      <c r="I60" s="19"/>
      <c r="J60" s="19"/>
      <c r="K60" s="19"/>
    </row>
    <row r="61">
      <c r="A61" s="19"/>
      <c r="B61" s="19"/>
      <c r="C61" s="19"/>
      <c r="D61" s="19"/>
      <c r="E61" s="19"/>
      <c r="F61" s="19"/>
      <c r="G61" s="19"/>
      <c r="H61" s="19"/>
      <c r="I61" s="19"/>
      <c r="J61" s="19"/>
      <c r="K61" s="19"/>
    </row>
    <row r="62">
      <c r="A62" s="19"/>
      <c r="B62" s="19"/>
      <c r="C62" s="19"/>
      <c r="D62" s="19"/>
      <c r="E62" s="19"/>
      <c r="F62" s="19"/>
      <c r="G62" s="19"/>
      <c r="H62" s="19"/>
      <c r="I62" s="19"/>
      <c r="J62" s="19"/>
      <c r="K62" s="19"/>
    </row>
    <row r="63">
      <c r="A63" s="19"/>
      <c r="B63" s="19"/>
      <c r="C63" s="19"/>
      <c r="D63" s="19"/>
      <c r="E63" s="19"/>
      <c r="F63" s="19"/>
      <c r="G63" s="19"/>
      <c r="H63" s="19"/>
      <c r="I63" s="19"/>
      <c r="J63" s="19"/>
      <c r="K63" s="19"/>
    </row>
    <row r="64">
      <c r="A64" s="19"/>
      <c r="B64" s="19"/>
      <c r="C64" s="19"/>
      <c r="D64" s="19"/>
      <c r="E64" s="19"/>
      <c r="F64" s="19"/>
      <c r="G64" s="19"/>
      <c r="H64" s="19"/>
      <c r="I64" s="19"/>
      <c r="J64" s="19"/>
      <c r="K64" s="19"/>
    </row>
    <row r="65">
      <c r="A65" s="19"/>
      <c r="B65" s="19"/>
      <c r="C65" s="19"/>
      <c r="D65" s="19"/>
      <c r="E65" s="19"/>
      <c r="F65" s="19"/>
      <c r="G65" s="19"/>
      <c r="H65" s="19"/>
      <c r="I65" s="19"/>
      <c r="J65" s="19"/>
      <c r="K65" s="19"/>
    </row>
    <row r="66">
      <c r="A66" s="19"/>
      <c r="B66" s="19"/>
      <c r="C66" s="19"/>
      <c r="D66" s="19"/>
      <c r="E66" s="19"/>
      <c r="F66" s="19"/>
      <c r="G66" s="19"/>
      <c r="H66" s="19"/>
      <c r="I66" s="19"/>
      <c r="J66" s="19"/>
      <c r="K66" s="19"/>
    </row>
    <row r="67">
      <c r="A67" s="19"/>
      <c r="B67" s="19"/>
      <c r="C67" s="19"/>
      <c r="D67" s="19"/>
      <c r="E67" s="19"/>
      <c r="F67" s="19"/>
      <c r="G67" s="19"/>
      <c r="H67" s="19"/>
      <c r="I67" s="19"/>
      <c r="J67" s="19"/>
      <c r="K67" s="19"/>
    </row>
    <row r="68">
      <c r="A68" s="19"/>
      <c r="B68" s="19"/>
      <c r="C68" s="19"/>
      <c r="D68" s="19"/>
      <c r="E68" s="19"/>
      <c r="F68" s="19"/>
      <c r="G68" s="19"/>
      <c r="H68" s="19"/>
      <c r="I68" s="19"/>
      <c r="J68" s="19"/>
      <c r="K68" s="19"/>
    </row>
    <row r="69">
      <c r="A69" s="19"/>
      <c r="B69" s="19"/>
      <c r="C69" s="19"/>
      <c r="D69" s="19"/>
      <c r="E69" s="19"/>
      <c r="F69" s="19"/>
      <c r="G69" s="19"/>
      <c r="H69" s="19"/>
      <c r="I69" s="19"/>
      <c r="J69" s="19"/>
      <c r="K69" s="19"/>
    </row>
    <row r="70">
      <c r="A70" s="19"/>
      <c r="B70" s="19"/>
      <c r="C70" s="19"/>
      <c r="D70" s="19"/>
      <c r="E70" s="19"/>
      <c r="F70" s="19"/>
      <c r="G70" s="19"/>
      <c r="H70" s="19"/>
      <c r="I70" s="19"/>
      <c r="J70" s="19"/>
      <c r="K70" s="19"/>
    </row>
    <row r="71">
      <c r="A71" s="19"/>
      <c r="B71" s="19"/>
      <c r="C71" s="19"/>
      <c r="D71" s="19"/>
      <c r="E71" s="19"/>
      <c r="F71" s="19"/>
      <c r="G71" s="19"/>
      <c r="H71" s="19"/>
      <c r="I71" s="19"/>
      <c r="J71" s="19"/>
      <c r="K71" s="19"/>
    </row>
    <row r="72">
      <c r="A72" s="19"/>
      <c r="B72" s="19"/>
      <c r="C72" s="19"/>
      <c r="D72" s="19"/>
      <c r="E72" s="19"/>
      <c r="F72" s="19"/>
      <c r="G72" s="19"/>
      <c r="H72" s="19"/>
      <c r="I72" s="19"/>
      <c r="J72" s="19"/>
      <c r="K72" s="19"/>
    </row>
    <row r="73">
      <c r="A73" s="19"/>
      <c r="B73" s="19"/>
      <c r="C73" s="19"/>
      <c r="D73" s="19"/>
      <c r="E73" s="19"/>
      <c r="F73" s="19"/>
      <c r="G73" s="19"/>
      <c r="H73" s="19"/>
      <c r="I73" s="19"/>
      <c r="J73" s="19"/>
      <c r="K73" s="19"/>
    </row>
    <row r="74">
      <c r="A74" s="19"/>
      <c r="B74" s="19"/>
      <c r="C74" s="19"/>
      <c r="D74" s="19"/>
      <c r="E74" s="19"/>
      <c r="F74" s="19"/>
      <c r="G74" s="19"/>
      <c r="H74" s="19"/>
      <c r="I74" s="19"/>
      <c r="J74" s="19"/>
      <c r="K74" s="19"/>
    </row>
    <row r="75">
      <c r="A75" s="19"/>
      <c r="B75" s="19"/>
      <c r="C75" s="19"/>
      <c r="D75" s="19"/>
      <c r="E75" s="19"/>
      <c r="F75" s="19"/>
      <c r="G75" s="19"/>
      <c r="H75" s="19"/>
      <c r="I75" s="19"/>
      <c r="J75" s="19"/>
      <c r="K75" s="19"/>
    </row>
    <row r="76">
      <c r="A76" s="19"/>
      <c r="B76" s="19"/>
      <c r="C76" s="19"/>
      <c r="D76" s="19"/>
      <c r="E76" s="19"/>
      <c r="F76" s="19"/>
      <c r="G76" s="19"/>
      <c r="H76" s="19"/>
      <c r="I76" s="19"/>
      <c r="J76" s="19"/>
      <c r="K76" s="19"/>
    </row>
    <row r="77">
      <c r="A77" s="19"/>
      <c r="B77" s="19"/>
      <c r="C77" s="19"/>
      <c r="D77" s="19"/>
      <c r="E77" s="19"/>
      <c r="F77" s="19"/>
      <c r="G77" s="19"/>
      <c r="H77" s="19"/>
      <c r="I77" s="19"/>
      <c r="J77" s="19"/>
      <c r="K77" s="19"/>
    </row>
    <row r="78">
      <c r="A78" s="19"/>
      <c r="B78" s="19"/>
      <c r="C78" s="19"/>
      <c r="D78" s="19"/>
      <c r="E78" s="19"/>
      <c r="F78" s="19"/>
      <c r="G78" s="19"/>
      <c r="H78" s="19"/>
      <c r="I78" s="19"/>
      <c r="J78" s="19"/>
      <c r="K78" s="19"/>
    </row>
    <row r="79">
      <c r="A79" s="19"/>
      <c r="B79" s="19"/>
      <c r="C79" s="19"/>
      <c r="D79" s="19"/>
      <c r="E79" s="19"/>
      <c r="F79" s="19"/>
      <c r="G79" s="19"/>
      <c r="H79" s="19"/>
      <c r="I79" s="19"/>
      <c r="J79" s="19"/>
      <c r="K79" s="19"/>
    </row>
    <row r="80">
      <c r="A80" s="19"/>
      <c r="B80" s="19"/>
      <c r="C80" s="19"/>
      <c r="D80" s="19"/>
      <c r="E80" s="19"/>
      <c r="F80" s="19"/>
      <c r="G80" s="19"/>
      <c r="H80" s="19"/>
      <c r="I80" s="19"/>
      <c r="J80" s="19"/>
      <c r="K80" s="19"/>
    </row>
    <row r="81">
      <c r="A81" s="19"/>
      <c r="B81" s="19"/>
      <c r="C81" s="19"/>
      <c r="D81" s="19"/>
      <c r="E81" s="19"/>
      <c r="F81" s="19"/>
      <c r="G81" s="19"/>
      <c r="H81" s="19"/>
      <c r="I81" s="19"/>
      <c r="J81" s="19"/>
      <c r="K81" s="19"/>
    </row>
    <row r="82">
      <c r="A82" s="19"/>
      <c r="B82" s="19"/>
      <c r="C82" s="19"/>
      <c r="D82" s="19"/>
      <c r="E82" s="19"/>
      <c r="F82" s="19"/>
      <c r="G82" s="19"/>
      <c r="H82" s="19"/>
      <c r="I82" s="19"/>
      <c r="J82" s="19"/>
      <c r="K82" s="19"/>
    </row>
    <row r="83">
      <c r="A83" s="19"/>
      <c r="B83" s="19"/>
      <c r="C83" s="19"/>
      <c r="D83" s="19"/>
      <c r="E83" s="19"/>
      <c r="F83" s="19"/>
      <c r="G83" s="19"/>
      <c r="H83" s="19"/>
      <c r="I83" s="19"/>
      <c r="J83" s="19"/>
      <c r="K83" s="19"/>
    </row>
    <row r="84">
      <c r="A84" s="19"/>
      <c r="B84" s="19"/>
      <c r="C84" s="19"/>
      <c r="D84" s="19"/>
      <c r="E84" s="19"/>
      <c r="F84" s="19"/>
      <c r="G84" s="19"/>
      <c r="H84" s="19"/>
      <c r="I84" s="19"/>
      <c r="J84" s="19"/>
      <c r="K84" s="19"/>
    </row>
    <row r="85">
      <c r="A85" s="19"/>
      <c r="B85" s="19"/>
      <c r="C85" s="19"/>
      <c r="D85" s="19"/>
      <c r="E85" s="19"/>
      <c r="F85" s="19"/>
      <c r="G85" s="19"/>
      <c r="H85" s="19"/>
      <c r="I85" s="19"/>
      <c r="J85" s="19"/>
      <c r="K85" s="19"/>
    </row>
    <row r="86">
      <c r="A86" s="19"/>
      <c r="B86" s="19"/>
      <c r="C86" s="19"/>
      <c r="D86" s="19"/>
      <c r="E86" s="19"/>
      <c r="F86" s="19"/>
      <c r="G86" s="19"/>
      <c r="H86" s="19"/>
      <c r="I86" s="19"/>
      <c r="J86" s="19"/>
      <c r="K86" s="19"/>
    </row>
    <row r="87">
      <c r="A87" s="19"/>
      <c r="B87" s="19"/>
      <c r="C87" s="19"/>
      <c r="D87" s="19"/>
      <c r="E87" s="19"/>
      <c r="F87" s="19"/>
      <c r="G87" s="19"/>
      <c r="H87" s="19"/>
      <c r="I87" s="19"/>
      <c r="J87" s="19"/>
      <c r="K87" s="19"/>
    </row>
    <row r="88">
      <c r="A88" s="19"/>
      <c r="B88" s="19"/>
      <c r="C88" s="19"/>
      <c r="D88" s="19"/>
      <c r="E88" s="19"/>
      <c r="F88" s="19"/>
      <c r="G88" s="19"/>
      <c r="H88" s="19"/>
      <c r="I88" s="19"/>
      <c r="J88" s="19"/>
      <c r="K88" s="19"/>
    </row>
    <row r="89">
      <c r="A89" s="19"/>
      <c r="B89" s="19"/>
      <c r="C89" s="19"/>
      <c r="D89" s="19"/>
      <c r="E89" s="19"/>
      <c r="F89" s="19"/>
      <c r="G89" s="19"/>
      <c r="H89" s="19"/>
      <c r="I89" s="19"/>
      <c r="J89" s="19"/>
      <c r="K89" s="19"/>
    </row>
    <row r="90">
      <c r="A90" s="19"/>
      <c r="B90" s="19"/>
      <c r="C90" s="19"/>
      <c r="D90" s="19"/>
      <c r="E90" s="19"/>
      <c r="F90" s="19"/>
      <c r="G90" s="19"/>
      <c r="H90" s="19"/>
      <c r="I90" s="19"/>
      <c r="J90" s="19"/>
      <c r="K90" s="19"/>
    </row>
    <row r="91">
      <c r="A91" s="19"/>
      <c r="B91" s="19"/>
      <c r="C91" s="19"/>
      <c r="D91" s="19"/>
      <c r="E91" s="19"/>
      <c r="F91" s="19"/>
      <c r="G91" s="19"/>
      <c r="H91" s="19"/>
      <c r="I91" s="19"/>
      <c r="J91" s="19"/>
      <c r="K91" s="19"/>
    </row>
    <row r="92">
      <c r="A92" s="19"/>
      <c r="B92" s="19"/>
      <c r="C92" s="19"/>
      <c r="D92" s="19"/>
      <c r="E92" s="19"/>
      <c r="F92" s="19"/>
      <c r="G92" s="19"/>
      <c r="H92" s="19"/>
      <c r="I92" s="19"/>
      <c r="J92" s="19"/>
      <c r="K92" s="19"/>
    </row>
    <row r="93">
      <c r="A93" s="19"/>
      <c r="B93" s="19"/>
      <c r="C93" s="19"/>
      <c r="D93" s="19"/>
      <c r="E93" s="19"/>
      <c r="F93" s="19"/>
      <c r="G93" s="19"/>
      <c r="H93" s="19"/>
      <c r="I93" s="19"/>
      <c r="J93" s="19"/>
      <c r="K93" s="19"/>
    </row>
    <row r="94">
      <c r="A94" s="19"/>
      <c r="B94" s="19"/>
      <c r="C94" s="19"/>
      <c r="D94" s="19"/>
      <c r="E94" s="19"/>
      <c r="F94" s="19"/>
      <c r="G94" s="19"/>
      <c r="H94" s="19"/>
      <c r="I94" s="19"/>
      <c r="J94" s="19"/>
      <c r="K94" s="19"/>
    </row>
    <row r="95">
      <c r="A95" s="19"/>
      <c r="B95" s="19"/>
      <c r="C95" s="19"/>
      <c r="D95" s="19"/>
      <c r="E95" s="19"/>
      <c r="F95" s="19"/>
      <c r="G95" s="19"/>
      <c r="H95" s="19"/>
      <c r="I95" s="19"/>
      <c r="J95" s="19"/>
      <c r="K95" s="19"/>
    </row>
    <row r="96">
      <c r="A96" s="19"/>
      <c r="B96" s="19"/>
      <c r="C96" s="19"/>
      <c r="D96" s="19"/>
      <c r="E96" s="19"/>
      <c r="F96" s="19"/>
      <c r="G96" s="19"/>
      <c r="H96" s="19"/>
      <c r="I96" s="19"/>
      <c r="J96" s="19"/>
      <c r="K96" s="19"/>
    </row>
    <row r="97">
      <c r="A97" s="19"/>
      <c r="B97" s="19"/>
      <c r="C97" s="19"/>
      <c r="D97" s="19"/>
      <c r="E97" s="19"/>
      <c r="F97" s="19"/>
      <c r="G97" s="19"/>
      <c r="H97" s="19"/>
      <c r="I97" s="19"/>
      <c r="J97" s="19"/>
      <c r="K97" s="19"/>
    </row>
    <row r="98">
      <c r="A98" s="19"/>
      <c r="B98" s="19"/>
      <c r="C98" s="19"/>
      <c r="D98" s="19"/>
      <c r="E98" s="19"/>
      <c r="F98" s="19"/>
      <c r="G98" s="19"/>
      <c r="H98" s="19"/>
      <c r="I98" s="19"/>
      <c r="J98" s="19"/>
      <c r="K98" s="19"/>
    </row>
    <row r="99">
      <c r="A99" s="19"/>
      <c r="B99" s="19"/>
      <c r="C99" s="19"/>
      <c r="D99" s="19"/>
      <c r="E99" s="19"/>
      <c r="F99" s="19"/>
      <c r="G99" s="19"/>
      <c r="H99" s="19"/>
      <c r="I99" s="19"/>
      <c r="J99" s="19"/>
      <c r="K99" s="19"/>
    </row>
    <row r="100">
      <c r="A100" s="19"/>
      <c r="B100" s="19"/>
      <c r="C100" s="19"/>
      <c r="D100" s="19"/>
      <c r="E100" s="19"/>
      <c r="F100" s="19"/>
      <c r="G100" s="19"/>
      <c r="H100" s="19"/>
      <c r="I100" s="19"/>
      <c r="J100" s="19"/>
      <c r="K100" s="19"/>
    </row>
    <row r="101">
      <c r="A101" s="19"/>
      <c r="B101" s="19"/>
      <c r="C101" s="19"/>
      <c r="D101" s="19"/>
      <c r="E101" s="19"/>
      <c r="F101" s="19"/>
      <c r="G101" s="19"/>
      <c r="H101" s="19"/>
      <c r="I101" s="19"/>
      <c r="J101" s="19"/>
      <c r="K101" s="19"/>
    </row>
    <row r="102">
      <c r="A102" s="19"/>
      <c r="B102" s="19"/>
      <c r="C102" s="19"/>
      <c r="D102" s="19"/>
      <c r="E102" s="19"/>
      <c r="F102" s="19"/>
      <c r="G102" s="19"/>
      <c r="H102" s="19"/>
      <c r="I102" s="19"/>
      <c r="J102" s="19"/>
      <c r="K102" s="19"/>
    </row>
    <row r="103">
      <c r="A103" s="19"/>
      <c r="B103" s="19"/>
      <c r="C103" s="19"/>
      <c r="D103" s="19"/>
      <c r="E103" s="19"/>
      <c r="F103" s="19"/>
      <c r="G103" s="19"/>
      <c r="H103" s="19"/>
      <c r="I103" s="19"/>
      <c r="J103" s="19"/>
      <c r="K103" s="19"/>
    </row>
    <row r="104">
      <c r="A104" s="19"/>
      <c r="B104" s="19"/>
      <c r="C104" s="19"/>
      <c r="D104" s="19"/>
      <c r="E104" s="19"/>
      <c r="F104" s="19"/>
      <c r="G104" s="19"/>
      <c r="H104" s="19"/>
      <c r="I104" s="19"/>
      <c r="J104" s="19"/>
      <c r="K104" s="19"/>
    </row>
    <row r="105">
      <c r="A105" s="19"/>
      <c r="B105" s="19"/>
      <c r="C105" s="19"/>
      <c r="D105" s="19"/>
      <c r="E105" s="19"/>
      <c r="F105" s="19"/>
      <c r="G105" s="19"/>
      <c r="H105" s="19"/>
      <c r="I105" s="19"/>
      <c r="J105" s="19"/>
      <c r="K105" s="19"/>
    </row>
    <row r="106">
      <c r="A106" s="19"/>
      <c r="B106" s="19"/>
      <c r="C106" s="19"/>
      <c r="D106" s="19"/>
      <c r="E106" s="19"/>
      <c r="F106" s="19"/>
      <c r="G106" s="19"/>
      <c r="H106" s="19"/>
      <c r="I106" s="19"/>
      <c r="J106" s="19"/>
      <c r="K106" s="19"/>
    </row>
    <row r="107">
      <c r="A107" s="19"/>
      <c r="B107" s="19"/>
      <c r="C107" s="19"/>
      <c r="D107" s="19"/>
      <c r="E107" s="19"/>
      <c r="F107" s="19"/>
      <c r="G107" s="19"/>
      <c r="H107" s="19"/>
      <c r="I107" s="19"/>
      <c r="J107" s="19"/>
      <c r="K107" s="19"/>
    </row>
    <row r="108">
      <c r="A108" s="19"/>
      <c r="B108" s="19"/>
      <c r="C108" s="19"/>
      <c r="D108" s="19"/>
      <c r="E108" s="19"/>
      <c r="F108" s="19"/>
      <c r="G108" s="19"/>
      <c r="H108" s="19"/>
      <c r="I108" s="19"/>
      <c r="J108" s="19"/>
      <c r="K108" s="19"/>
    </row>
    <row r="109">
      <c r="A109" s="19"/>
      <c r="B109" s="19"/>
      <c r="C109" s="19"/>
      <c r="D109" s="19"/>
      <c r="E109" s="19"/>
      <c r="F109" s="19"/>
      <c r="G109" s="19"/>
      <c r="H109" s="19"/>
      <c r="I109" s="19"/>
      <c r="J109" s="19"/>
      <c r="K109" s="19"/>
    </row>
    <row r="110">
      <c r="A110" s="19"/>
      <c r="B110" s="19"/>
      <c r="C110" s="19"/>
      <c r="D110" s="19"/>
      <c r="E110" s="19"/>
      <c r="F110" s="19"/>
      <c r="G110" s="19"/>
      <c r="H110" s="19"/>
      <c r="I110" s="19"/>
      <c r="J110" s="19"/>
      <c r="K110" s="19"/>
    </row>
    <row r="111">
      <c r="A111" s="19"/>
      <c r="B111" s="19"/>
      <c r="C111" s="19"/>
      <c r="D111" s="19"/>
      <c r="E111" s="19"/>
      <c r="F111" s="19"/>
      <c r="G111" s="19"/>
      <c r="H111" s="19"/>
      <c r="I111" s="19"/>
      <c r="J111" s="19"/>
      <c r="K111" s="19"/>
    </row>
    <row r="112">
      <c r="A112" s="19"/>
      <c r="B112" s="19"/>
      <c r="C112" s="19"/>
      <c r="D112" s="19"/>
      <c r="E112" s="19"/>
      <c r="F112" s="19"/>
      <c r="G112" s="19"/>
      <c r="H112" s="19"/>
      <c r="I112" s="19"/>
      <c r="J112" s="19"/>
      <c r="K112" s="19"/>
    </row>
    <row r="113">
      <c r="A113" s="19"/>
      <c r="B113" s="19"/>
      <c r="C113" s="19"/>
      <c r="D113" s="19"/>
      <c r="E113" s="19"/>
      <c r="F113" s="19"/>
      <c r="G113" s="19"/>
      <c r="H113" s="19"/>
      <c r="I113" s="19"/>
      <c r="J113" s="19"/>
      <c r="K113" s="19"/>
    </row>
    <row r="114">
      <c r="A114" s="19"/>
      <c r="B114" s="19"/>
      <c r="C114" s="19"/>
      <c r="D114" s="19"/>
      <c r="E114" s="19"/>
      <c r="F114" s="19"/>
      <c r="G114" s="19"/>
      <c r="H114" s="19"/>
      <c r="I114" s="19"/>
      <c r="J114" s="19"/>
      <c r="K114" s="19"/>
    </row>
    <row r="115">
      <c r="A115" s="19"/>
      <c r="B115" s="19"/>
      <c r="C115" s="19"/>
      <c r="D115" s="19"/>
      <c r="E115" s="19"/>
      <c r="F115" s="19"/>
      <c r="G115" s="19"/>
      <c r="H115" s="19"/>
      <c r="I115" s="19"/>
      <c r="J115" s="19"/>
      <c r="K115" s="19"/>
    </row>
    <row r="116">
      <c r="A116" s="19"/>
      <c r="B116" s="19"/>
      <c r="C116" s="19"/>
      <c r="D116" s="19"/>
      <c r="E116" s="19"/>
      <c r="F116" s="19"/>
      <c r="G116" s="19"/>
      <c r="H116" s="19"/>
      <c r="I116" s="19"/>
      <c r="J116" s="19"/>
      <c r="K116" s="19"/>
    </row>
    <row r="117">
      <c r="A117" s="19"/>
      <c r="B117" s="19"/>
      <c r="C117" s="19"/>
      <c r="D117" s="19"/>
      <c r="E117" s="19"/>
      <c r="F117" s="19"/>
      <c r="G117" s="19"/>
      <c r="H117" s="19"/>
      <c r="I117" s="19"/>
      <c r="J117" s="19"/>
      <c r="K117" s="19"/>
    </row>
    <row r="118">
      <c r="A118" s="19"/>
      <c r="B118" s="19"/>
      <c r="C118" s="19"/>
      <c r="D118" s="19"/>
      <c r="E118" s="19"/>
      <c r="F118" s="19"/>
      <c r="G118" s="19"/>
      <c r="H118" s="19"/>
      <c r="I118" s="19"/>
      <c r="J118" s="19"/>
      <c r="K118" s="19"/>
    </row>
    <row r="119">
      <c r="A119" s="19"/>
      <c r="B119" s="19"/>
      <c r="C119" s="19"/>
      <c r="D119" s="19"/>
      <c r="E119" s="19"/>
      <c r="F119" s="19"/>
      <c r="G119" s="19"/>
      <c r="H119" s="19"/>
      <c r="I119" s="19"/>
      <c r="J119" s="19"/>
      <c r="K119" s="19"/>
    </row>
    <row r="120">
      <c r="A120" s="19"/>
      <c r="B120" s="19"/>
      <c r="C120" s="19"/>
      <c r="D120" s="19"/>
      <c r="E120" s="19"/>
      <c r="F120" s="19"/>
      <c r="G120" s="19"/>
      <c r="H120" s="19"/>
      <c r="I120" s="19"/>
      <c r="J120" s="19"/>
      <c r="K120" s="19"/>
    </row>
    <row r="121">
      <c r="A121" s="19"/>
      <c r="B121" s="19"/>
      <c r="C121" s="19"/>
      <c r="D121" s="19"/>
      <c r="E121" s="19"/>
      <c r="F121" s="19"/>
      <c r="G121" s="19"/>
      <c r="H121" s="19"/>
      <c r="I121" s="19"/>
      <c r="J121" s="19"/>
      <c r="K121" s="19"/>
    </row>
    <row r="122">
      <c r="A122" s="19"/>
      <c r="B122" s="19"/>
      <c r="C122" s="19"/>
      <c r="D122" s="19"/>
      <c r="E122" s="19"/>
      <c r="F122" s="19"/>
      <c r="G122" s="19"/>
      <c r="H122" s="19"/>
      <c r="I122" s="19"/>
      <c r="J122" s="19"/>
      <c r="K122" s="19"/>
    </row>
    <row r="123">
      <c r="A123" s="19"/>
      <c r="B123" s="19"/>
      <c r="C123" s="19"/>
      <c r="D123" s="19"/>
      <c r="E123" s="19"/>
      <c r="F123" s="19"/>
      <c r="G123" s="19"/>
      <c r="H123" s="19"/>
      <c r="I123" s="19"/>
      <c r="J123" s="19"/>
      <c r="K123" s="19"/>
    </row>
    <row r="124">
      <c r="A124" s="19"/>
      <c r="B124" s="19"/>
      <c r="C124" s="19"/>
      <c r="D124" s="19"/>
      <c r="E124" s="19"/>
      <c r="F124" s="19"/>
      <c r="G124" s="19"/>
      <c r="H124" s="19"/>
      <c r="I124" s="19"/>
      <c r="J124" s="19"/>
      <c r="K124" s="19"/>
    </row>
    <row r="125">
      <c r="A125" s="19"/>
      <c r="B125" s="19"/>
      <c r="C125" s="19"/>
      <c r="D125" s="19"/>
      <c r="E125" s="19"/>
      <c r="F125" s="19"/>
      <c r="G125" s="19"/>
      <c r="H125" s="19"/>
      <c r="I125" s="19"/>
      <c r="J125" s="19"/>
      <c r="K125" s="19"/>
    </row>
    <row r="126">
      <c r="A126" s="19"/>
      <c r="B126" s="19"/>
      <c r="C126" s="19"/>
      <c r="D126" s="19"/>
      <c r="E126" s="19"/>
      <c r="F126" s="19"/>
      <c r="G126" s="19"/>
      <c r="H126" s="19"/>
      <c r="I126" s="19"/>
      <c r="J126" s="19"/>
      <c r="K126" s="19"/>
    </row>
    <row r="127">
      <c r="A127" s="19"/>
      <c r="B127" s="19"/>
      <c r="C127" s="19"/>
      <c r="D127" s="19"/>
      <c r="E127" s="19"/>
      <c r="F127" s="19"/>
      <c r="G127" s="19"/>
      <c r="H127" s="19"/>
      <c r="I127" s="19"/>
      <c r="J127" s="19"/>
      <c r="K127" s="19"/>
    </row>
    <row r="128">
      <c r="A128" s="19"/>
      <c r="B128" s="19"/>
      <c r="C128" s="19"/>
      <c r="D128" s="19"/>
      <c r="E128" s="19"/>
      <c r="F128" s="19"/>
      <c r="G128" s="19"/>
      <c r="H128" s="19"/>
      <c r="I128" s="19"/>
      <c r="J128" s="19"/>
      <c r="K128" s="19"/>
    </row>
    <row r="129">
      <c r="A129" s="19"/>
      <c r="B129" s="19"/>
      <c r="C129" s="19"/>
      <c r="D129" s="19"/>
      <c r="E129" s="19"/>
      <c r="F129" s="19"/>
      <c r="G129" s="19"/>
      <c r="H129" s="19"/>
      <c r="I129" s="19"/>
      <c r="J129" s="19"/>
      <c r="K129" s="19"/>
    </row>
    <row r="130">
      <c r="A130" s="19"/>
      <c r="B130" s="19"/>
      <c r="C130" s="19"/>
      <c r="D130" s="19"/>
      <c r="E130" s="19"/>
      <c r="F130" s="19"/>
      <c r="G130" s="19"/>
      <c r="H130" s="19"/>
      <c r="I130" s="19"/>
      <c r="J130" s="19"/>
      <c r="K130" s="19"/>
    </row>
    <row r="131">
      <c r="A131" s="19"/>
      <c r="B131" s="19"/>
      <c r="C131" s="19"/>
      <c r="D131" s="19"/>
      <c r="E131" s="19"/>
      <c r="F131" s="19"/>
      <c r="G131" s="19"/>
      <c r="H131" s="19"/>
      <c r="I131" s="19"/>
      <c r="J131" s="19"/>
      <c r="K131" s="19"/>
    </row>
    <row r="132">
      <c r="A132" s="19"/>
      <c r="B132" s="19"/>
      <c r="C132" s="19"/>
      <c r="D132" s="19"/>
      <c r="E132" s="19"/>
      <c r="F132" s="19"/>
      <c r="G132" s="19"/>
      <c r="H132" s="19"/>
      <c r="I132" s="19"/>
      <c r="J132" s="19"/>
      <c r="K132" s="19"/>
    </row>
    <row r="133">
      <c r="A133" s="19"/>
      <c r="B133" s="19"/>
      <c r="C133" s="19"/>
      <c r="D133" s="19"/>
      <c r="E133" s="19"/>
      <c r="F133" s="19"/>
      <c r="G133" s="19"/>
      <c r="H133" s="19"/>
      <c r="I133" s="19"/>
      <c r="J133" s="19"/>
      <c r="K133" s="19"/>
    </row>
    <row r="134">
      <c r="A134" s="19"/>
      <c r="B134" s="19"/>
      <c r="C134" s="19"/>
      <c r="D134" s="19"/>
      <c r="E134" s="19"/>
      <c r="F134" s="19"/>
      <c r="G134" s="19"/>
      <c r="H134" s="19"/>
      <c r="I134" s="19"/>
      <c r="J134" s="19"/>
      <c r="K134" s="19"/>
    </row>
    <row r="135">
      <c r="A135" s="19"/>
      <c r="B135" s="19"/>
      <c r="C135" s="19"/>
      <c r="D135" s="19"/>
      <c r="E135" s="19"/>
      <c r="F135" s="19"/>
      <c r="G135" s="19"/>
      <c r="H135" s="19"/>
      <c r="I135" s="19"/>
      <c r="J135" s="19"/>
      <c r="K135" s="19"/>
    </row>
    <row r="136">
      <c r="A136" s="19"/>
      <c r="B136" s="19"/>
      <c r="C136" s="19"/>
      <c r="D136" s="19"/>
      <c r="E136" s="19"/>
      <c r="F136" s="19"/>
      <c r="G136" s="19"/>
      <c r="H136" s="19"/>
      <c r="I136" s="19"/>
      <c r="J136" s="19"/>
      <c r="K136" s="19"/>
    </row>
    <row r="137">
      <c r="A137" s="19"/>
      <c r="B137" s="19"/>
      <c r="C137" s="19"/>
      <c r="D137" s="19"/>
      <c r="E137" s="19"/>
      <c r="F137" s="19"/>
      <c r="G137" s="19"/>
      <c r="H137" s="19"/>
      <c r="I137" s="19"/>
      <c r="J137" s="19"/>
      <c r="K137" s="19"/>
    </row>
    <row r="138">
      <c r="A138" s="19"/>
      <c r="B138" s="19"/>
      <c r="C138" s="19"/>
      <c r="D138" s="19"/>
      <c r="E138" s="19"/>
      <c r="F138" s="19"/>
      <c r="G138" s="19"/>
      <c r="H138" s="19"/>
      <c r="I138" s="19"/>
      <c r="J138" s="19"/>
      <c r="K138" s="19"/>
    </row>
    <row r="139">
      <c r="A139" s="19"/>
      <c r="B139" s="19"/>
      <c r="C139" s="19"/>
      <c r="D139" s="19"/>
      <c r="E139" s="19"/>
      <c r="F139" s="19"/>
      <c r="G139" s="19"/>
      <c r="H139" s="19"/>
      <c r="I139" s="19"/>
      <c r="J139" s="19"/>
      <c r="K139" s="19"/>
    </row>
    <row r="140">
      <c r="A140" s="19"/>
      <c r="B140" s="19"/>
      <c r="C140" s="19"/>
      <c r="D140" s="19"/>
      <c r="E140" s="19"/>
      <c r="F140" s="19"/>
      <c r="G140" s="19"/>
      <c r="H140" s="19"/>
      <c r="I140" s="19"/>
      <c r="J140" s="19"/>
      <c r="K140" s="19"/>
    </row>
    <row r="141">
      <c r="A141" s="19"/>
      <c r="B141" s="19"/>
      <c r="C141" s="19"/>
      <c r="D141" s="19"/>
      <c r="E141" s="19"/>
      <c r="F141" s="19"/>
      <c r="G141" s="19"/>
      <c r="H141" s="19"/>
      <c r="I141" s="19"/>
      <c r="J141" s="19"/>
      <c r="K141" s="19"/>
    </row>
    <row r="142">
      <c r="A142" s="19"/>
      <c r="B142" s="19"/>
      <c r="C142" s="19"/>
      <c r="D142" s="19"/>
      <c r="E142" s="19"/>
      <c r="F142" s="19"/>
      <c r="G142" s="19"/>
      <c r="H142" s="19"/>
      <c r="I142" s="19"/>
      <c r="J142" s="19"/>
      <c r="K142" s="19"/>
    </row>
    <row r="143">
      <c r="A143" s="19"/>
      <c r="B143" s="19"/>
      <c r="C143" s="19"/>
      <c r="D143" s="19"/>
      <c r="E143" s="19"/>
      <c r="F143" s="19"/>
      <c r="G143" s="19"/>
      <c r="H143" s="19"/>
      <c r="I143" s="19"/>
      <c r="J143" s="19"/>
      <c r="K143" s="19"/>
    </row>
    <row r="144">
      <c r="A144" s="19"/>
      <c r="B144" s="19"/>
      <c r="C144" s="19"/>
      <c r="D144" s="19"/>
      <c r="E144" s="19"/>
      <c r="F144" s="19"/>
      <c r="G144" s="19"/>
      <c r="H144" s="19"/>
      <c r="I144" s="19"/>
      <c r="J144" s="19"/>
      <c r="K144" s="19"/>
    </row>
    <row r="145">
      <c r="A145" s="19"/>
      <c r="B145" s="19"/>
      <c r="C145" s="19"/>
      <c r="D145" s="19"/>
      <c r="E145" s="19"/>
      <c r="F145" s="19"/>
      <c r="G145" s="19"/>
      <c r="H145" s="19"/>
      <c r="I145" s="19"/>
      <c r="J145" s="19"/>
      <c r="K145" s="19"/>
    </row>
    <row r="146">
      <c r="A146" s="19"/>
      <c r="B146" s="19"/>
      <c r="C146" s="19"/>
      <c r="D146" s="19"/>
      <c r="E146" s="19"/>
      <c r="F146" s="19"/>
      <c r="G146" s="19"/>
      <c r="H146" s="19"/>
      <c r="I146" s="19"/>
      <c r="J146" s="19"/>
      <c r="K146" s="19"/>
    </row>
    <row r="147">
      <c r="A147" s="19"/>
      <c r="B147" s="19"/>
      <c r="C147" s="19"/>
      <c r="D147" s="19"/>
      <c r="E147" s="19"/>
      <c r="F147" s="19"/>
      <c r="G147" s="19"/>
      <c r="H147" s="19"/>
      <c r="I147" s="19"/>
      <c r="J147" s="19"/>
      <c r="K147" s="19"/>
    </row>
    <row r="148">
      <c r="A148" s="19"/>
      <c r="B148" s="19"/>
      <c r="C148" s="19"/>
      <c r="D148" s="19"/>
      <c r="E148" s="19"/>
      <c r="F148" s="19"/>
      <c r="G148" s="19"/>
      <c r="H148" s="19"/>
      <c r="I148" s="19"/>
      <c r="J148" s="19"/>
      <c r="K148" s="19"/>
    </row>
    <row r="149">
      <c r="A149" s="19"/>
      <c r="B149" s="19"/>
      <c r="C149" s="19"/>
      <c r="D149" s="19"/>
      <c r="E149" s="19"/>
      <c r="F149" s="19"/>
      <c r="G149" s="19"/>
      <c r="H149" s="19"/>
      <c r="I149" s="19"/>
      <c r="J149" s="19"/>
      <c r="K149" s="19"/>
    </row>
    <row r="150">
      <c r="A150" s="19"/>
      <c r="B150" s="19"/>
      <c r="C150" s="19"/>
      <c r="D150" s="19"/>
      <c r="E150" s="19"/>
      <c r="F150" s="19"/>
      <c r="G150" s="19"/>
      <c r="H150" s="19"/>
      <c r="I150" s="19"/>
      <c r="J150" s="19"/>
      <c r="K150" s="19"/>
    </row>
    <row r="151">
      <c r="A151" s="19"/>
      <c r="B151" s="19"/>
      <c r="C151" s="19"/>
      <c r="D151" s="19"/>
      <c r="E151" s="19"/>
      <c r="F151" s="19"/>
      <c r="G151" s="19"/>
      <c r="H151" s="19"/>
      <c r="I151" s="19"/>
      <c r="J151" s="19"/>
      <c r="K151" s="19"/>
    </row>
    <row r="152">
      <c r="A152" s="19"/>
      <c r="B152" s="19"/>
      <c r="C152" s="19"/>
      <c r="D152" s="19"/>
      <c r="E152" s="19"/>
      <c r="F152" s="19"/>
      <c r="G152" s="19"/>
      <c r="H152" s="19"/>
      <c r="I152" s="19"/>
      <c r="J152" s="19"/>
      <c r="K152" s="19"/>
    </row>
    <row r="153">
      <c r="A153" s="19"/>
      <c r="B153" s="19"/>
      <c r="C153" s="19"/>
      <c r="D153" s="19"/>
      <c r="E153" s="19"/>
      <c r="F153" s="19"/>
      <c r="G153" s="19"/>
      <c r="H153" s="19"/>
      <c r="I153" s="19"/>
      <c r="J153" s="19"/>
      <c r="K153" s="19"/>
    </row>
    <row r="154">
      <c r="A154" s="19"/>
      <c r="B154" s="19"/>
      <c r="C154" s="19"/>
      <c r="D154" s="19"/>
      <c r="E154" s="19"/>
      <c r="F154" s="19"/>
      <c r="G154" s="19"/>
      <c r="H154" s="19"/>
      <c r="I154" s="19"/>
      <c r="J154" s="19"/>
      <c r="K154" s="19"/>
    </row>
    <row r="155">
      <c r="A155" s="19"/>
      <c r="B155" s="19"/>
      <c r="C155" s="19"/>
      <c r="D155" s="19"/>
      <c r="E155" s="19"/>
      <c r="F155" s="19"/>
      <c r="G155" s="19"/>
      <c r="H155" s="19"/>
      <c r="I155" s="19"/>
      <c r="J155" s="19"/>
      <c r="K155" s="19"/>
    </row>
    <row r="156">
      <c r="A156" s="19"/>
      <c r="B156" s="19"/>
      <c r="C156" s="19"/>
      <c r="D156" s="19"/>
      <c r="E156" s="19"/>
      <c r="F156" s="19"/>
      <c r="G156" s="19"/>
      <c r="H156" s="19"/>
      <c r="I156" s="19"/>
      <c r="J156" s="19"/>
      <c r="K156" s="19"/>
    </row>
    <row r="157">
      <c r="A157" s="19"/>
      <c r="B157" s="19"/>
      <c r="C157" s="19"/>
      <c r="D157" s="19"/>
      <c r="E157" s="19"/>
      <c r="F157" s="19"/>
      <c r="G157" s="19"/>
      <c r="H157" s="19"/>
      <c r="I157" s="19"/>
      <c r="J157" s="19"/>
      <c r="K157" s="19"/>
    </row>
    <row r="158">
      <c r="A158" s="19"/>
      <c r="B158" s="19"/>
      <c r="C158" s="19"/>
      <c r="D158" s="19"/>
      <c r="E158" s="19"/>
      <c r="F158" s="19"/>
      <c r="G158" s="19"/>
      <c r="H158" s="19"/>
      <c r="I158" s="19"/>
      <c r="J158" s="19"/>
      <c r="K158" s="19"/>
    </row>
    <row r="159">
      <c r="A159" s="19"/>
      <c r="B159" s="19"/>
      <c r="C159" s="19"/>
      <c r="D159" s="19"/>
      <c r="E159" s="19"/>
      <c r="F159" s="19"/>
      <c r="G159" s="19"/>
      <c r="H159" s="19"/>
      <c r="I159" s="19"/>
      <c r="J159" s="19"/>
      <c r="K159" s="19"/>
    </row>
    <row r="160">
      <c r="A160" s="19"/>
      <c r="B160" s="19"/>
      <c r="C160" s="19"/>
      <c r="D160" s="19"/>
      <c r="E160" s="19"/>
      <c r="F160" s="19"/>
      <c r="G160" s="19"/>
      <c r="H160" s="19"/>
      <c r="I160" s="19"/>
      <c r="J160" s="19"/>
      <c r="K160" s="19"/>
    </row>
    <row r="161">
      <c r="A161" s="19"/>
      <c r="B161" s="19"/>
      <c r="C161" s="19"/>
      <c r="D161" s="19"/>
      <c r="E161" s="19"/>
      <c r="F161" s="19"/>
      <c r="G161" s="19"/>
      <c r="H161" s="19"/>
      <c r="I161" s="19"/>
      <c r="J161" s="19"/>
      <c r="K161" s="19"/>
    </row>
    <row r="162">
      <c r="A162" s="19"/>
      <c r="B162" s="19"/>
      <c r="C162" s="19"/>
      <c r="D162" s="19"/>
      <c r="E162" s="19"/>
      <c r="F162" s="19"/>
      <c r="G162" s="19"/>
      <c r="H162" s="19"/>
      <c r="I162" s="19"/>
      <c r="J162" s="19"/>
      <c r="K162" s="19"/>
    </row>
    <row r="163">
      <c r="A163" s="19"/>
      <c r="B163" s="19"/>
      <c r="C163" s="19"/>
      <c r="D163" s="19"/>
      <c r="E163" s="19"/>
      <c r="F163" s="19"/>
      <c r="G163" s="19"/>
      <c r="H163" s="19"/>
      <c r="I163" s="19"/>
      <c r="J163" s="19"/>
      <c r="K163" s="19"/>
    </row>
    <row r="164">
      <c r="A164" s="19"/>
      <c r="B164" s="19"/>
      <c r="C164" s="19"/>
      <c r="D164" s="19"/>
      <c r="E164" s="19"/>
      <c r="F164" s="19"/>
      <c r="G164" s="19"/>
      <c r="H164" s="19"/>
      <c r="I164" s="19"/>
      <c r="J164" s="19"/>
      <c r="K164" s="19"/>
    </row>
    <row r="165">
      <c r="A165" s="19"/>
      <c r="B165" s="19"/>
      <c r="C165" s="19"/>
      <c r="D165" s="19"/>
      <c r="E165" s="19"/>
      <c r="F165" s="19"/>
      <c r="G165" s="19"/>
      <c r="H165" s="19"/>
      <c r="I165" s="19"/>
      <c r="J165" s="19"/>
      <c r="K165" s="19"/>
    </row>
    <row r="166">
      <c r="A166" s="19"/>
      <c r="B166" s="19"/>
      <c r="C166" s="19"/>
      <c r="D166" s="19"/>
      <c r="E166" s="19"/>
      <c r="F166" s="19"/>
      <c r="G166" s="19"/>
      <c r="H166" s="19"/>
      <c r="I166" s="19"/>
      <c r="J166" s="19"/>
      <c r="K166" s="19"/>
    </row>
    <row r="167">
      <c r="A167" s="19"/>
      <c r="B167" s="19"/>
      <c r="C167" s="19"/>
      <c r="D167" s="19"/>
      <c r="E167" s="19"/>
      <c r="F167" s="19"/>
      <c r="G167" s="19"/>
      <c r="H167" s="19"/>
      <c r="I167" s="19"/>
      <c r="J167" s="19"/>
      <c r="K167" s="19"/>
    </row>
    <row r="168">
      <c r="A168" s="19"/>
      <c r="B168" s="19"/>
      <c r="C168" s="19"/>
      <c r="D168" s="19"/>
      <c r="E168" s="19"/>
      <c r="F168" s="19"/>
      <c r="G168" s="19"/>
      <c r="H168" s="19"/>
      <c r="I168" s="19"/>
      <c r="J168" s="19"/>
      <c r="K168" s="19"/>
    </row>
    <row r="169">
      <c r="A169" s="19"/>
      <c r="B169" s="19"/>
      <c r="C169" s="19"/>
      <c r="D169" s="19"/>
      <c r="E169" s="19"/>
      <c r="F169" s="19"/>
      <c r="G169" s="19"/>
      <c r="H169" s="19"/>
      <c r="I169" s="19"/>
      <c r="J169" s="19"/>
      <c r="K169" s="19"/>
    </row>
    <row r="170">
      <c r="A170" s="19"/>
      <c r="B170" s="19"/>
      <c r="C170" s="19"/>
      <c r="D170" s="19"/>
      <c r="E170" s="19"/>
      <c r="F170" s="19"/>
      <c r="G170" s="19"/>
      <c r="H170" s="19"/>
      <c r="I170" s="19"/>
      <c r="J170" s="19"/>
      <c r="K170" s="19"/>
    </row>
    <row r="171">
      <c r="A171" s="19"/>
      <c r="B171" s="19"/>
      <c r="C171" s="19"/>
      <c r="D171" s="19"/>
      <c r="E171" s="19"/>
      <c r="F171" s="19"/>
      <c r="G171" s="19"/>
      <c r="H171" s="19"/>
      <c r="I171" s="19"/>
      <c r="J171" s="19"/>
      <c r="K171" s="19"/>
    </row>
    <row r="172">
      <c r="A172" s="19"/>
      <c r="B172" s="19"/>
      <c r="C172" s="19"/>
      <c r="D172" s="19"/>
      <c r="E172" s="19"/>
      <c r="F172" s="19"/>
      <c r="G172" s="19"/>
      <c r="H172" s="19"/>
      <c r="I172" s="19"/>
      <c r="J172" s="19"/>
      <c r="K172" s="19"/>
    </row>
    <row r="173">
      <c r="A173" s="19"/>
      <c r="B173" s="19"/>
      <c r="C173" s="19"/>
      <c r="D173" s="19"/>
      <c r="E173" s="19"/>
      <c r="F173" s="19"/>
      <c r="G173" s="19"/>
      <c r="H173" s="19"/>
      <c r="I173" s="19"/>
      <c r="J173" s="19"/>
      <c r="K173" s="19"/>
    </row>
    <row r="174">
      <c r="A174" s="19"/>
      <c r="B174" s="19"/>
      <c r="C174" s="19"/>
      <c r="D174" s="19"/>
      <c r="E174" s="19"/>
      <c r="F174" s="19"/>
      <c r="G174" s="19"/>
      <c r="H174" s="19"/>
      <c r="I174" s="19"/>
      <c r="J174" s="19"/>
      <c r="K174" s="19"/>
    </row>
    <row r="175">
      <c r="A175" s="19"/>
      <c r="B175" s="19"/>
      <c r="C175" s="19"/>
      <c r="D175" s="19"/>
      <c r="E175" s="19"/>
      <c r="F175" s="19"/>
      <c r="G175" s="19"/>
      <c r="H175" s="19"/>
      <c r="I175" s="19"/>
      <c r="J175" s="19"/>
      <c r="K175" s="19"/>
    </row>
    <row r="176">
      <c r="A176" s="19"/>
      <c r="B176" s="19"/>
      <c r="C176" s="19"/>
      <c r="D176" s="19"/>
      <c r="E176" s="19"/>
      <c r="F176" s="19"/>
      <c r="G176" s="19"/>
      <c r="H176" s="19"/>
      <c r="I176" s="19"/>
      <c r="J176" s="19"/>
      <c r="K176" s="19"/>
    </row>
    <row r="177">
      <c r="A177" s="19"/>
      <c r="B177" s="19"/>
      <c r="C177" s="19"/>
      <c r="D177" s="19"/>
      <c r="E177" s="19"/>
      <c r="F177" s="19"/>
      <c r="G177" s="19"/>
      <c r="H177" s="19"/>
      <c r="I177" s="19"/>
      <c r="J177" s="19"/>
      <c r="K177" s="19"/>
    </row>
    <row r="178">
      <c r="A178" s="19"/>
      <c r="B178" s="19"/>
      <c r="C178" s="19"/>
      <c r="D178" s="19"/>
      <c r="E178" s="19"/>
      <c r="F178" s="19"/>
      <c r="G178" s="19"/>
      <c r="H178" s="19"/>
      <c r="I178" s="19"/>
      <c r="J178" s="19"/>
      <c r="K178" s="19"/>
    </row>
    <row r="179">
      <c r="A179" s="19"/>
      <c r="B179" s="19"/>
      <c r="C179" s="19"/>
      <c r="D179" s="19"/>
      <c r="E179" s="19"/>
      <c r="F179" s="19"/>
      <c r="G179" s="19"/>
      <c r="H179" s="19"/>
      <c r="I179" s="19"/>
      <c r="J179" s="19"/>
      <c r="K179" s="19"/>
    </row>
    <row r="180">
      <c r="A180" s="19"/>
      <c r="B180" s="19"/>
      <c r="C180" s="19"/>
      <c r="D180" s="19"/>
      <c r="E180" s="19"/>
      <c r="F180" s="19"/>
      <c r="G180" s="19"/>
      <c r="H180" s="19"/>
      <c r="I180" s="19"/>
      <c r="J180" s="19"/>
      <c r="K180" s="19"/>
    </row>
    <row r="181">
      <c r="A181" s="19"/>
      <c r="B181" s="19"/>
      <c r="C181" s="19"/>
      <c r="D181" s="19"/>
      <c r="E181" s="19"/>
      <c r="F181" s="19"/>
      <c r="G181" s="19"/>
      <c r="H181" s="19"/>
      <c r="I181" s="19"/>
      <c r="J181" s="19"/>
      <c r="K181" s="19"/>
    </row>
    <row r="182">
      <c r="A182" s="19"/>
      <c r="B182" s="19"/>
      <c r="C182" s="19"/>
      <c r="D182" s="19"/>
      <c r="E182" s="19"/>
      <c r="F182" s="19"/>
      <c r="G182" s="19"/>
      <c r="H182" s="19"/>
      <c r="I182" s="19"/>
      <c r="J182" s="19"/>
      <c r="K182" s="19"/>
    </row>
    <row r="183">
      <c r="A183" s="19"/>
      <c r="B183" s="19"/>
      <c r="C183" s="19"/>
      <c r="D183" s="19"/>
      <c r="E183" s="19"/>
      <c r="F183" s="19"/>
      <c r="G183" s="19"/>
      <c r="H183" s="19"/>
      <c r="I183" s="19"/>
      <c r="J183" s="19"/>
      <c r="K183" s="19"/>
    </row>
    <row r="184">
      <c r="A184" s="19"/>
      <c r="B184" s="19"/>
      <c r="C184" s="19"/>
      <c r="D184" s="19"/>
      <c r="E184" s="19"/>
      <c r="F184" s="19"/>
      <c r="G184" s="19"/>
      <c r="H184" s="19"/>
      <c r="I184" s="19"/>
      <c r="J184" s="19"/>
      <c r="K184" s="19"/>
    </row>
    <row r="185">
      <c r="A185" s="19"/>
      <c r="B185" s="19"/>
      <c r="C185" s="19"/>
      <c r="D185" s="19"/>
      <c r="E185" s="19"/>
      <c r="F185" s="19"/>
      <c r="G185" s="19"/>
      <c r="H185" s="19"/>
      <c r="I185" s="19"/>
      <c r="J185" s="19"/>
      <c r="K185" s="19"/>
    </row>
    <row r="186">
      <c r="A186" s="19"/>
      <c r="B186" s="19"/>
      <c r="C186" s="19"/>
      <c r="D186" s="19"/>
      <c r="E186" s="19"/>
      <c r="F186" s="19"/>
      <c r="G186" s="19"/>
      <c r="H186" s="19"/>
      <c r="I186" s="19"/>
      <c r="J186" s="19"/>
      <c r="K186" s="19"/>
    </row>
    <row r="187">
      <c r="A187" s="19"/>
      <c r="B187" s="19"/>
      <c r="C187" s="19"/>
      <c r="D187" s="19"/>
      <c r="E187" s="19"/>
      <c r="F187" s="19"/>
      <c r="G187" s="19"/>
      <c r="H187" s="19"/>
      <c r="I187" s="19"/>
      <c r="J187" s="19"/>
      <c r="K187" s="19"/>
    </row>
    <row r="188">
      <c r="A188" s="19"/>
      <c r="B188" s="19"/>
      <c r="C188" s="19"/>
      <c r="D188" s="19"/>
      <c r="E188" s="19"/>
      <c r="F188" s="19"/>
      <c r="G188" s="19"/>
      <c r="H188" s="19"/>
      <c r="I188" s="19"/>
      <c r="J188" s="19"/>
      <c r="K188" s="19"/>
    </row>
    <row r="189">
      <c r="A189" s="19"/>
      <c r="B189" s="19"/>
      <c r="C189" s="19"/>
      <c r="D189" s="19"/>
      <c r="E189" s="19"/>
      <c r="F189" s="19"/>
      <c r="G189" s="19"/>
      <c r="H189" s="19"/>
      <c r="I189" s="19"/>
      <c r="J189" s="19"/>
      <c r="K189" s="19"/>
    </row>
    <row r="190">
      <c r="A190" s="19"/>
      <c r="B190" s="19"/>
      <c r="C190" s="19"/>
      <c r="D190" s="19"/>
      <c r="E190" s="19"/>
      <c r="F190" s="19"/>
      <c r="G190" s="19"/>
      <c r="H190" s="19"/>
      <c r="I190" s="19"/>
      <c r="J190" s="19"/>
      <c r="K190" s="19"/>
    </row>
    <row r="191">
      <c r="A191" s="19"/>
      <c r="B191" s="19"/>
      <c r="C191" s="19"/>
      <c r="D191" s="19"/>
      <c r="E191" s="19"/>
      <c r="F191" s="19"/>
      <c r="G191" s="19"/>
      <c r="H191" s="19"/>
      <c r="I191" s="19"/>
      <c r="J191" s="19"/>
      <c r="K191" s="19"/>
    </row>
    <row r="192">
      <c r="A192" s="19"/>
      <c r="B192" s="19"/>
      <c r="C192" s="19"/>
      <c r="D192" s="19"/>
      <c r="E192" s="19"/>
      <c r="F192" s="19"/>
      <c r="G192" s="19"/>
      <c r="H192" s="19"/>
      <c r="I192" s="19"/>
      <c r="J192" s="19"/>
      <c r="K192" s="19"/>
    </row>
    <row r="193">
      <c r="A193" s="19"/>
      <c r="B193" s="19"/>
      <c r="C193" s="19"/>
      <c r="D193" s="19"/>
      <c r="E193" s="19"/>
      <c r="F193" s="19"/>
      <c r="G193" s="19"/>
      <c r="H193" s="19"/>
      <c r="I193" s="19"/>
      <c r="J193" s="19"/>
      <c r="K193" s="19"/>
    </row>
    <row r="194">
      <c r="A194" s="19"/>
      <c r="B194" s="19"/>
      <c r="C194" s="19"/>
      <c r="D194" s="19"/>
      <c r="E194" s="19"/>
      <c r="F194" s="19"/>
      <c r="G194" s="19"/>
      <c r="H194" s="19"/>
      <c r="I194" s="19"/>
      <c r="J194" s="19"/>
      <c r="K194" s="19"/>
    </row>
    <row r="195">
      <c r="A195" s="19"/>
      <c r="B195" s="19"/>
      <c r="C195" s="19"/>
      <c r="D195" s="19"/>
      <c r="E195" s="19"/>
      <c r="F195" s="19"/>
      <c r="G195" s="19"/>
      <c r="H195" s="19"/>
      <c r="I195" s="19"/>
      <c r="J195" s="19"/>
      <c r="K195" s="19"/>
    </row>
    <row r="196">
      <c r="A196" s="19"/>
      <c r="B196" s="19"/>
      <c r="C196" s="19"/>
      <c r="D196" s="19"/>
      <c r="E196" s="19"/>
      <c r="F196" s="19"/>
      <c r="G196" s="19"/>
      <c r="H196" s="19"/>
      <c r="I196" s="19"/>
      <c r="J196" s="19"/>
      <c r="K196" s="19"/>
    </row>
    <row r="197">
      <c r="A197" s="19"/>
      <c r="B197" s="19"/>
      <c r="C197" s="19"/>
      <c r="D197" s="19"/>
      <c r="E197" s="19"/>
      <c r="F197" s="19"/>
      <c r="G197" s="19"/>
      <c r="H197" s="19"/>
      <c r="I197" s="19"/>
      <c r="J197" s="19"/>
      <c r="K197" s="19"/>
    </row>
    <row r="198">
      <c r="A198" s="19"/>
      <c r="B198" s="19"/>
      <c r="C198" s="19"/>
      <c r="D198" s="19"/>
      <c r="E198" s="19"/>
      <c r="F198" s="19"/>
      <c r="G198" s="19"/>
      <c r="H198" s="19"/>
      <c r="I198" s="19"/>
      <c r="J198" s="19"/>
      <c r="K198" s="19"/>
    </row>
    <row r="199">
      <c r="A199" s="19"/>
      <c r="B199" s="19"/>
      <c r="C199" s="19"/>
      <c r="D199" s="19"/>
      <c r="E199" s="19"/>
      <c r="F199" s="19"/>
      <c r="G199" s="19"/>
      <c r="H199" s="19"/>
      <c r="I199" s="19"/>
      <c r="J199" s="19"/>
      <c r="K199" s="19"/>
    </row>
    <row r="200">
      <c r="A200" s="19"/>
      <c r="B200" s="19"/>
      <c r="C200" s="19"/>
      <c r="D200" s="19"/>
      <c r="E200" s="19"/>
      <c r="F200" s="19"/>
      <c r="G200" s="19"/>
      <c r="H200" s="19"/>
      <c r="I200" s="19"/>
      <c r="J200" s="19"/>
      <c r="K200" s="19"/>
    </row>
    <row r="201">
      <c r="A201" s="19"/>
      <c r="B201" s="19"/>
      <c r="C201" s="19"/>
      <c r="D201" s="19"/>
      <c r="E201" s="19"/>
      <c r="F201" s="19"/>
      <c r="G201" s="19"/>
      <c r="H201" s="19"/>
      <c r="I201" s="19"/>
      <c r="J201" s="19"/>
      <c r="K201" s="19"/>
    </row>
    <row r="202">
      <c r="A202" s="19"/>
      <c r="B202" s="19"/>
      <c r="C202" s="19"/>
      <c r="D202" s="19"/>
      <c r="E202" s="19"/>
      <c r="F202" s="19"/>
      <c r="G202" s="19"/>
      <c r="H202" s="19"/>
      <c r="I202" s="19"/>
      <c r="J202" s="19"/>
      <c r="K202" s="19"/>
    </row>
    <row r="203">
      <c r="A203" s="19"/>
      <c r="B203" s="19"/>
      <c r="C203" s="19"/>
      <c r="D203" s="19"/>
      <c r="E203" s="19"/>
      <c r="F203" s="19"/>
      <c r="G203" s="19"/>
      <c r="H203" s="19"/>
      <c r="I203" s="19"/>
      <c r="J203" s="19"/>
      <c r="K203" s="19"/>
    </row>
    <row r="204">
      <c r="A204" s="19"/>
      <c r="B204" s="19"/>
      <c r="C204" s="19"/>
      <c r="D204" s="19"/>
      <c r="E204" s="19"/>
      <c r="F204" s="19"/>
      <c r="G204" s="19"/>
      <c r="H204" s="19"/>
      <c r="I204" s="19"/>
      <c r="J204" s="19"/>
      <c r="K204" s="19"/>
    </row>
    <row r="205">
      <c r="A205" s="19"/>
      <c r="B205" s="19"/>
      <c r="C205" s="19"/>
      <c r="D205" s="19"/>
      <c r="E205" s="19"/>
      <c r="F205" s="19"/>
      <c r="G205" s="19"/>
      <c r="H205" s="19"/>
      <c r="I205" s="19"/>
      <c r="J205" s="19"/>
      <c r="K205" s="19"/>
    </row>
    <row r="206">
      <c r="A206" s="19"/>
      <c r="B206" s="19"/>
      <c r="C206" s="19"/>
      <c r="D206" s="19"/>
      <c r="E206" s="19"/>
      <c r="F206" s="19"/>
      <c r="G206" s="19"/>
      <c r="H206" s="19"/>
      <c r="I206" s="19"/>
      <c r="J206" s="19"/>
      <c r="K206" s="19"/>
    </row>
    <row r="207">
      <c r="A207" s="19"/>
      <c r="B207" s="19"/>
      <c r="C207" s="19"/>
      <c r="D207" s="19"/>
      <c r="E207" s="19"/>
      <c r="F207" s="19"/>
      <c r="G207" s="19"/>
      <c r="H207" s="19"/>
      <c r="I207" s="19"/>
      <c r="J207" s="19"/>
      <c r="K207" s="19"/>
    </row>
    <row r="208">
      <c r="A208" s="19"/>
      <c r="B208" s="19"/>
      <c r="C208" s="19"/>
      <c r="D208" s="19"/>
      <c r="E208" s="19"/>
      <c r="F208" s="19"/>
      <c r="G208" s="19"/>
      <c r="H208" s="19"/>
      <c r="I208" s="19"/>
      <c r="J208" s="19"/>
      <c r="K208" s="19"/>
    </row>
    <row r="209">
      <c r="A209" s="19"/>
      <c r="B209" s="19"/>
      <c r="C209" s="19"/>
      <c r="D209" s="19"/>
      <c r="E209" s="19"/>
      <c r="F209" s="19"/>
      <c r="G209" s="19"/>
      <c r="H209" s="19"/>
      <c r="I209" s="19"/>
      <c r="J209" s="19"/>
      <c r="K209" s="19"/>
    </row>
    <row r="210">
      <c r="A210" s="19"/>
      <c r="B210" s="19"/>
      <c r="C210" s="19"/>
      <c r="D210" s="19"/>
      <c r="E210" s="19"/>
      <c r="F210" s="19"/>
      <c r="G210" s="19"/>
      <c r="H210" s="19"/>
      <c r="I210" s="19"/>
      <c r="J210" s="19"/>
      <c r="K210" s="19"/>
    </row>
    <row r="211">
      <c r="A211" s="19"/>
      <c r="B211" s="19"/>
      <c r="C211" s="19"/>
      <c r="D211" s="19"/>
      <c r="E211" s="19"/>
      <c r="F211" s="19"/>
      <c r="G211" s="19"/>
      <c r="H211" s="19"/>
      <c r="I211" s="19"/>
      <c r="J211" s="19"/>
      <c r="K211" s="19"/>
    </row>
    <row r="212">
      <c r="A212" s="19"/>
      <c r="B212" s="19"/>
      <c r="C212" s="19"/>
      <c r="D212" s="19"/>
      <c r="E212" s="19"/>
      <c r="F212" s="19"/>
      <c r="G212" s="19"/>
      <c r="H212" s="19"/>
      <c r="I212" s="19"/>
      <c r="J212" s="19"/>
      <c r="K212" s="19"/>
    </row>
    <row r="213">
      <c r="A213" s="19"/>
      <c r="B213" s="19"/>
      <c r="C213" s="19"/>
      <c r="D213" s="19"/>
      <c r="E213" s="19"/>
      <c r="F213" s="19"/>
      <c r="G213" s="19"/>
      <c r="H213" s="19"/>
      <c r="I213" s="19"/>
      <c r="J213" s="19"/>
      <c r="K213" s="19"/>
    </row>
    <row r="214">
      <c r="A214" s="19"/>
      <c r="B214" s="19"/>
      <c r="C214" s="19"/>
      <c r="D214" s="19"/>
      <c r="E214" s="19"/>
      <c r="F214" s="19"/>
      <c r="G214" s="19"/>
      <c r="H214" s="19"/>
      <c r="I214" s="19"/>
      <c r="J214" s="19"/>
      <c r="K214" s="19"/>
    </row>
    <row r="215">
      <c r="A215" s="19"/>
      <c r="B215" s="19"/>
      <c r="C215" s="19"/>
      <c r="D215" s="19"/>
      <c r="E215" s="19"/>
      <c r="F215" s="19"/>
      <c r="G215" s="19"/>
      <c r="H215" s="19"/>
      <c r="I215" s="19"/>
      <c r="J215" s="19"/>
      <c r="K215" s="19"/>
    </row>
    <row r="216">
      <c r="A216" s="19"/>
      <c r="B216" s="19"/>
      <c r="C216" s="19"/>
      <c r="D216" s="19"/>
      <c r="E216" s="19"/>
      <c r="F216" s="19"/>
      <c r="G216" s="19"/>
      <c r="H216" s="19"/>
      <c r="I216" s="19"/>
      <c r="J216" s="19"/>
      <c r="K216" s="19"/>
    </row>
    <row r="217">
      <c r="A217" s="19"/>
      <c r="B217" s="19"/>
      <c r="C217" s="19"/>
      <c r="D217" s="19"/>
      <c r="E217" s="19"/>
      <c r="F217" s="19"/>
      <c r="G217" s="19"/>
      <c r="H217" s="19"/>
      <c r="I217" s="19"/>
      <c r="J217" s="19"/>
      <c r="K217" s="19"/>
    </row>
    <row r="218">
      <c r="A218" s="19"/>
      <c r="B218" s="19"/>
      <c r="C218" s="19"/>
      <c r="D218" s="19"/>
      <c r="E218" s="19"/>
      <c r="F218" s="19"/>
      <c r="G218" s="19"/>
      <c r="H218" s="19"/>
      <c r="I218" s="19"/>
      <c r="J218" s="19"/>
      <c r="K218" s="19"/>
    </row>
    <row r="219">
      <c r="A219" s="19"/>
      <c r="B219" s="19"/>
      <c r="C219" s="19"/>
      <c r="D219" s="19"/>
      <c r="E219" s="19"/>
      <c r="F219" s="19"/>
      <c r="G219" s="19"/>
      <c r="H219" s="19"/>
      <c r="I219" s="19"/>
      <c r="J219" s="19"/>
      <c r="K219" s="19"/>
    </row>
    <row r="220">
      <c r="A220" s="19"/>
      <c r="B220" s="19"/>
      <c r="C220" s="19"/>
      <c r="D220" s="19"/>
      <c r="E220" s="19"/>
      <c r="F220" s="19"/>
      <c r="G220" s="19"/>
      <c r="H220" s="19"/>
      <c r="I220" s="19"/>
      <c r="J220" s="19"/>
      <c r="K220" s="19"/>
    </row>
    <row r="221">
      <c r="A221" s="19"/>
      <c r="B221" s="19"/>
      <c r="C221" s="19"/>
      <c r="D221" s="19"/>
      <c r="E221" s="19"/>
      <c r="F221" s="19"/>
      <c r="G221" s="19"/>
      <c r="H221" s="19"/>
      <c r="I221" s="19"/>
      <c r="J221" s="19"/>
      <c r="K221" s="19"/>
    </row>
    <row r="222">
      <c r="A222" s="19"/>
      <c r="B222" s="19"/>
      <c r="C222" s="19"/>
      <c r="D222" s="19"/>
      <c r="E222" s="19"/>
      <c r="F222" s="19"/>
      <c r="G222" s="19"/>
      <c r="H222" s="19"/>
      <c r="I222" s="19"/>
      <c r="J222" s="19"/>
      <c r="K222" s="19"/>
    </row>
    <row r="223">
      <c r="A223" s="19"/>
      <c r="B223" s="19"/>
      <c r="C223" s="19"/>
      <c r="D223" s="19"/>
      <c r="E223" s="19"/>
      <c r="F223" s="19"/>
      <c r="G223" s="19"/>
      <c r="H223" s="19"/>
      <c r="I223" s="19"/>
      <c r="J223" s="19"/>
      <c r="K223" s="19"/>
    </row>
    <row r="224">
      <c r="A224" s="19"/>
      <c r="B224" s="19"/>
      <c r="C224" s="19"/>
      <c r="D224" s="19"/>
      <c r="E224" s="19"/>
      <c r="F224" s="19"/>
      <c r="G224" s="19"/>
      <c r="H224" s="19"/>
      <c r="I224" s="19"/>
      <c r="J224" s="19"/>
      <c r="K224" s="19"/>
    </row>
    <row r="225">
      <c r="A225" s="19"/>
      <c r="B225" s="19"/>
      <c r="C225" s="19"/>
      <c r="D225" s="19"/>
      <c r="E225" s="19"/>
      <c r="F225" s="19"/>
      <c r="G225" s="19"/>
      <c r="H225" s="19"/>
      <c r="I225" s="19"/>
      <c r="J225" s="19"/>
      <c r="K225" s="19"/>
    </row>
    <row r="226">
      <c r="A226" s="19"/>
      <c r="B226" s="19"/>
      <c r="C226" s="19"/>
      <c r="D226" s="19"/>
      <c r="E226" s="19"/>
      <c r="F226" s="19"/>
      <c r="G226" s="19"/>
      <c r="H226" s="19"/>
      <c r="I226" s="19"/>
      <c r="J226" s="19"/>
      <c r="K226" s="19"/>
    </row>
    <row r="227">
      <c r="A227" s="19"/>
      <c r="B227" s="19"/>
      <c r="C227" s="19"/>
      <c r="D227" s="19"/>
      <c r="E227" s="19"/>
      <c r="F227" s="19"/>
      <c r="G227" s="19"/>
      <c r="H227" s="19"/>
      <c r="I227" s="19"/>
      <c r="J227" s="19"/>
      <c r="K227" s="19"/>
    </row>
    <row r="228">
      <c r="A228" s="19"/>
      <c r="B228" s="19"/>
      <c r="C228" s="19"/>
      <c r="D228" s="19"/>
      <c r="E228" s="19"/>
      <c r="F228" s="19"/>
      <c r="G228" s="19"/>
      <c r="H228" s="19"/>
      <c r="I228" s="19"/>
      <c r="J228" s="19"/>
      <c r="K228" s="19"/>
    </row>
    <row r="229">
      <c r="A229" s="19"/>
      <c r="B229" s="19"/>
      <c r="C229" s="19"/>
      <c r="D229" s="19"/>
      <c r="E229" s="19"/>
      <c r="F229" s="19"/>
      <c r="G229" s="19"/>
      <c r="H229" s="19"/>
      <c r="I229" s="19"/>
      <c r="J229" s="19"/>
      <c r="K229" s="19"/>
    </row>
    <row r="230">
      <c r="A230" s="19"/>
      <c r="B230" s="19"/>
      <c r="C230" s="19"/>
      <c r="D230" s="19"/>
      <c r="E230" s="19"/>
      <c r="F230" s="19"/>
      <c r="G230" s="19"/>
      <c r="H230" s="19"/>
      <c r="I230" s="19"/>
      <c r="J230" s="19"/>
      <c r="K230" s="19"/>
    </row>
    <row r="231">
      <c r="A231" s="19"/>
      <c r="B231" s="19"/>
      <c r="C231" s="19"/>
      <c r="D231" s="19"/>
      <c r="E231" s="19"/>
      <c r="F231" s="19"/>
      <c r="G231" s="19"/>
      <c r="H231" s="19"/>
      <c r="I231" s="19"/>
      <c r="J231" s="19"/>
      <c r="K231" s="19"/>
    </row>
    <row r="232">
      <c r="A232" s="19"/>
      <c r="B232" s="19"/>
      <c r="C232" s="19"/>
      <c r="D232" s="19"/>
      <c r="E232" s="19"/>
      <c r="F232" s="19"/>
      <c r="G232" s="19"/>
      <c r="H232" s="19"/>
      <c r="I232" s="19"/>
      <c r="J232" s="19"/>
      <c r="K232" s="19"/>
    </row>
    <row r="233">
      <c r="A233" s="19"/>
      <c r="B233" s="19"/>
      <c r="C233" s="19"/>
      <c r="D233" s="19"/>
      <c r="E233" s="19"/>
      <c r="F233" s="19"/>
      <c r="G233" s="19"/>
      <c r="H233" s="19"/>
      <c r="I233" s="19"/>
      <c r="J233" s="19"/>
      <c r="K233" s="19"/>
    </row>
    <row r="234">
      <c r="A234" s="19"/>
      <c r="B234" s="19"/>
      <c r="C234" s="19"/>
      <c r="D234" s="19"/>
      <c r="E234" s="19"/>
      <c r="F234" s="19"/>
      <c r="G234" s="19"/>
      <c r="H234" s="19"/>
      <c r="I234" s="19"/>
      <c r="J234" s="19"/>
      <c r="K234" s="19"/>
    </row>
    <row r="235">
      <c r="A235" s="19"/>
      <c r="B235" s="19"/>
      <c r="C235" s="19"/>
      <c r="D235" s="19"/>
      <c r="E235" s="19"/>
      <c r="F235" s="19"/>
      <c r="G235" s="19"/>
      <c r="H235" s="19"/>
      <c r="I235" s="19"/>
      <c r="J235" s="19"/>
      <c r="K235" s="19"/>
    </row>
    <row r="236">
      <c r="A236" s="19"/>
      <c r="B236" s="19"/>
      <c r="C236" s="19"/>
      <c r="D236" s="19"/>
      <c r="E236" s="19"/>
      <c r="F236" s="19"/>
      <c r="G236" s="19"/>
      <c r="H236" s="19"/>
      <c r="I236" s="19"/>
      <c r="J236" s="19"/>
      <c r="K236" s="19"/>
    </row>
    <row r="237">
      <c r="A237" s="19"/>
      <c r="B237" s="19"/>
      <c r="C237" s="19"/>
      <c r="D237" s="19"/>
      <c r="E237" s="19"/>
      <c r="F237" s="19"/>
      <c r="G237" s="19"/>
      <c r="H237" s="19"/>
      <c r="I237" s="19"/>
      <c r="J237" s="19"/>
      <c r="K237" s="19"/>
    </row>
    <row r="238">
      <c r="A238" s="19"/>
      <c r="B238" s="19"/>
      <c r="C238" s="19"/>
      <c r="D238" s="19"/>
      <c r="E238" s="19"/>
      <c r="F238" s="19"/>
      <c r="G238" s="19"/>
      <c r="H238" s="19"/>
      <c r="I238" s="19"/>
      <c r="J238" s="19"/>
      <c r="K238" s="19"/>
    </row>
    <row r="239">
      <c r="A239" s="19"/>
      <c r="B239" s="19"/>
      <c r="C239" s="19"/>
      <c r="D239" s="19"/>
      <c r="E239" s="19"/>
      <c r="F239" s="19"/>
      <c r="G239" s="19"/>
      <c r="H239" s="19"/>
      <c r="I239" s="19"/>
      <c r="J239" s="19"/>
      <c r="K239" s="19"/>
    </row>
    <row r="240">
      <c r="A240" s="19"/>
      <c r="B240" s="19"/>
      <c r="C240" s="19"/>
      <c r="D240" s="19"/>
      <c r="E240" s="19"/>
      <c r="F240" s="19"/>
      <c r="G240" s="19"/>
      <c r="H240" s="19"/>
      <c r="I240" s="19"/>
      <c r="J240" s="19"/>
      <c r="K240" s="19"/>
    </row>
    <row r="241">
      <c r="A241" s="19"/>
      <c r="B241" s="19"/>
      <c r="C241" s="19"/>
      <c r="D241" s="19"/>
      <c r="E241" s="19"/>
      <c r="F241" s="19"/>
      <c r="G241" s="19"/>
      <c r="H241" s="19"/>
      <c r="I241" s="19"/>
      <c r="J241" s="19"/>
      <c r="K241" s="19"/>
    </row>
    <row r="242">
      <c r="A242" s="19"/>
      <c r="B242" s="19"/>
      <c r="C242" s="19"/>
      <c r="D242" s="19"/>
      <c r="E242" s="19"/>
      <c r="F242" s="19"/>
      <c r="G242" s="19"/>
      <c r="H242" s="19"/>
      <c r="I242" s="19"/>
      <c r="J242" s="19"/>
      <c r="K242" s="19"/>
    </row>
    <row r="243">
      <c r="A243" s="19"/>
      <c r="B243" s="19"/>
      <c r="C243" s="19"/>
      <c r="D243" s="19"/>
      <c r="E243" s="19"/>
      <c r="F243" s="19"/>
      <c r="G243" s="19"/>
      <c r="H243" s="19"/>
      <c r="I243" s="19"/>
      <c r="J243" s="19"/>
      <c r="K243" s="19"/>
    </row>
    <row r="244">
      <c r="A244" s="19"/>
      <c r="B244" s="19"/>
      <c r="C244" s="19"/>
      <c r="D244" s="19"/>
      <c r="E244" s="19"/>
      <c r="F244" s="19"/>
      <c r="G244" s="19"/>
      <c r="H244" s="19"/>
      <c r="I244" s="19"/>
      <c r="J244" s="19"/>
      <c r="K244" s="19"/>
    </row>
    <row r="245">
      <c r="A245" s="19"/>
      <c r="B245" s="19"/>
      <c r="C245" s="19"/>
      <c r="D245" s="19"/>
      <c r="E245" s="19"/>
      <c r="F245" s="19"/>
      <c r="G245" s="19"/>
      <c r="H245" s="19"/>
      <c r="I245" s="19"/>
      <c r="J245" s="19"/>
      <c r="K245" s="19"/>
    </row>
    <row r="246">
      <c r="A246" s="19"/>
      <c r="B246" s="19"/>
      <c r="C246" s="19"/>
      <c r="D246" s="19"/>
      <c r="E246" s="19"/>
      <c r="F246" s="19"/>
      <c r="G246" s="19"/>
      <c r="H246" s="19"/>
      <c r="I246" s="19"/>
      <c r="J246" s="19"/>
      <c r="K246" s="19"/>
    </row>
    <row r="247">
      <c r="A247" s="19"/>
      <c r="B247" s="19"/>
      <c r="C247" s="19"/>
      <c r="D247" s="19"/>
      <c r="E247" s="19"/>
      <c r="F247" s="19"/>
      <c r="G247" s="19"/>
      <c r="H247" s="19"/>
      <c r="I247" s="19"/>
      <c r="J247" s="19"/>
      <c r="K247" s="19"/>
    </row>
    <row r="248">
      <c r="A248" s="19"/>
      <c r="B248" s="19"/>
      <c r="C248" s="19"/>
      <c r="D248" s="19"/>
      <c r="E248" s="19"/>
      <c r="F248" s="19"/>
      <c r="G248" s="19"/>
      <c r="H248" s="19"/>
      <c r="I248" s="19"/>
      <c r="J248" s="19"/>
      <c r="K248" s="19"/>
    </row>
    <row r="249">
      <c r="A249" s="19"/>
      <c r="B249" s="19"/>
      <c r="C249" s="19"/>
      <c r="D249" s="19"/>
      <c r="E249" s="19"/>
      <c r="F249" s="19"/>
      <c r="G249" s="19"/>
      <c r="H249" s="19"/>
      <c r="I249" s="19"/>
      <c r="J249" s="19"/>
      <c r="K249" s="19"/>
    </row>
    <row r="250">
      <c r="A250" s="19"/>
      <c r="B250" s="19"/>
      <c r="C250" s="19"/>
      <c r="D250" s="19"/>
      <c r="E250" s="19"/>
      <c r="F250" s="19"/>
      <c r="G250" s="19"/>
      <c r="H250" s="19"/>
      <c r="I250" s="19"/>
      <c r="J250" s="19"/>
      <c r="K250" s="19"/>
    </row>
    <row r="251">
      <c r="A251" s="19"/>
      <c r="B251" s="19"/>
      <c r="C251" s="19"/>
      <c r="D251" s="19"/>
      <c r="E251" s="19"/>
      <c r="F251" s="19"/>
      <c r="G251" s="19"/>
      <c r="H251" s="19"/>
      <c r="I251" s="19"/>
      <c r="J251" s="19"/>
      <c r="K251" s="19"/>
    </row>
    <row r="252">
      <c r="A252" s="19"/>
      <c r="B252" s="19"/>
      <c r="C252" s="19"/>
      <c r="D252" s="19"/>
      <c r="E252" s="19"/>
      <c r="F252" s="19"/>
      <c r="G252" s="19"/>
      <c r="H252" s="19"/>
      <c r="I252" s="19"/>
      <c r="J252" s="19"/>
      <c r="K252" s="19"/>
    </row>
    <row r="253">
      <c r="A253" s="19"/>
      <c r="B253" s="19"/>
      <c r="C253" s="19"/>
      <c r="D253" s="19"/>
      <c r="E253" s="19"/>
      <c r="F253" s="19"/>
      <c r="G253" s="19"/>
      <c r="H253" s="19"/>
      <c r="I253" s="19"/>
      <c r="J253" s="19"/>
      <c r="K253" s="19"/>
    </row>
    <row r="254">
      <c r="A254" s="19"/>
      <c r="B254" s="19"/>
      <c r="C254" s="19"/>
      <c r="D254" s="19"/>
      <c r="E254" s="19"/>
      <c r="F254" s="19"/>
      <c r="G254" s="19"/>
      <c r="H254" s="19"/>
      <c r="I254" s="19"/>
      <c r="J254" s="19"/>
      <c r="K254" s="19"/>
    </row>
    <row r="255">
      <c r="A255" s="19"/>
      <c r="B255" s="19"/>
      <c r="C255" s="19"/>
      <c r="D255" s="19"/>
      <c r="E255" s="19"/>
      <c r="F255" s="19"/>
      <c r="G255" s="19"/>
      <c r="H255" s="19"/>
      <c r="I255" s="19"/>
      <c r="J255" s="19"/>
      <c r="K255" s="19"/>
    </row>
    <row r="256">
      <c r="A256" s="19"/>
      <c r="B256" s="19"/>
      <c r="C256" s="19"/>
      <c r="D256" s="19"/>
      <c r="E256" s="19"/>
      <c r="F256" s="19"/>
      <c r="G256" s="19"/>
      <c r="H256" s="19"/>
      <c r="I256" s="19"/>
      <c r="J256" s="19"/>
      <c r="K256" s="19"/>
    </row>
    <row r="257">
      <c r="A257" s="19"/>
      <c r="B257" s="19"/>
      <c r="C257" s="19"/>
      <c r="D257" s="19"/>
      <c r="E257" s="19"/>
      <c r="F257" s="19"/>
      <c r="G257" s="19"/>
      <c r="H257" s="19"/>
      <c r="I257" s="19"/>
      <c r="J257" s="19"/>
      <c r="K257" s="19"/>
    </row>
    <row r="258">
      <c r="A258" s="19"/>
      <c r="B258" s="19"/>
      <c r="C258" s="19"/>
      <c r="D258" s="19"/>
      <c r="E258" s="19"/>
      <c r="F258" s="19"/>
      <c r="G258" s="19"/>
      <c r="H258" s="19"/>
      <c r="I258" s="19"/>
      <c r="J258" s="19"/>
      <c r="K258" s="19"/>
    </row>
    <row r="259">
      <c r="A259" s="19"/>
      <c r="B259" s="19"/>
      <c r="C259" s="19"/>
      <c r="D259" s="19"/>
      <c r="E259" s="19"/>
      <c r="F259" s="19"/>
      <c r="G259" s="19"/>
      <c r="H259" s="19"/>
      <c r="I259" s="19"/>
      <c r="J259" s="19"/>
      <c r="K259" s="19"/>
    </row>
    <row r="260">
      <c r="A260" s="19"/>
      <c r="B260" s="19"/>
      <c r="C260" s="19"/>
      <c r="D260" s="19"/>
      <c r="E260" s="19"/>
      <c r="F260" s="19"/>
      <c r="G260" s="19"/>
      <c r="H260" s="19"/>
      <c r="I260" s="19"/>
      <c r="J260" s="19"/>
      <c r="K260" s="19"/>
    </row>
    <row r="261">
      <c r="A261" s="19"/>
      <c r="B261" s="19"/>
      <c r="C261" s="19"/>
      <c r="D261" s="19"/>
      <c r="E261" s="19"/>
      <c r="F261" s="19"/>
      <c r="G261" s="19"/>
      <c r="H261" s="19"/>
      <c r="I261" s="19"/>
      <c r="J261" s="19"/>
      <c r="K261" s="19"/>
    </row>
    <row r="262">
      <c r="A262" s="19"/>
      <c r="B262" s="19"/>
      <c r="C262" s="19"/>
      <c r="D262" s="19"/>
      <c r="E262" s="19"/>
      <c r="F262" s="19"/>
      <c r="G262" s="19"/>
      <c r="H262" s="19"/>
      <c r="I262" s="19"/>
      <c r="J262" s="19"/>
      <c r="K262" s="19"/>
    </row>
    <row r="263">
      <c r="A263" s="19"/>
      <c r="B263" s="19"/>
      <c r="C263" s="19"/>
      <c r="D263" s="19"/>
      <c r="E263" s="19"/>
      <c r="F263" s="19"/>
      <c r="G263" s="19"/>
      <c r="H263" s="19"/>
      <c r="I263" s="19"/>
      <c r="J263" s="19"/>
      <c r="K263" s="19"/>
    </row>
    <row r="264">
      <c r="A264" s="19"/>
      <c r="B264" s="19"/>
      <c r="C264" s="19"/>
      <c r="D264" s="19"/>
      <c r="E264" s="19"/>
      <c r="F264" s="19"/>
      <c r="G264" s="19"/>
      <c r="H264" s="19"/>
      <c r="I264" s="19"/>
      <c r="J264" s="19"/>
      <c r="K264" s="19"/>
    </row>
    <row r="265">
      <c r="A265" s="19"/>
      <c r="B265" s="19"/>
      <c r="C265" s="19"/>
      <c r="D265" s="19"/>
      <c r="E265" s="19"/>
      <c r="F265" s="19"/>
      <c r="G265" s="19"/>
      <c r="H265" s="19"/>
      <c r="I265" s="19"/>
      <c r="J265" s="19"/>
      <c r="K265" s="19"/>
    </row>
    <row r="266">
      <c r="A266" s="19"/>
      <c r="B266" s="19"/>
      <c r="C266" s="19"/>
      <c r="D266" s="19"/>
      <c r="E266" s="19"/>
      <c r="F266" s="19"/>
      <c r="G266" s="19"/>
      <c r="H266" s="19"/>
      <c r="I266" s="19"/>
      <c r="J266" s="19"/>
      <c r="K266" s="19"/>
    </row>
    <row r="267">
      <c r="A267" s="19"/>
      <c r="B267" s="19"/>
      <c r="C267" s="19"/>
      <c r="D267" s="19"/>
      <c r="E267" s="19"/>
      <c r="F267" s="19"/>
      <c r="G267" s="19"/>
      <c r="H267" s="19"/>
      <c r="I267" s="19"/>
      <c r="J267" s="19"/>
      <c r="K267" s="19"/>
    </row>
    <row r="268">
      <c r="A268" s="19"/>
      <c r="B268" s="19"/>
      <c r="C268" s="19"/>
      <c r="D268" s="19"/>
      <c r="E268" s="19"/>
      <c r="F268" s="19"/>
      <c r="G268" s="19"/>
      <c r="H268" s="19"/>
      <c r="I268" s="19"/>
      <c r="J268" s="19"/>
      <c r="K268" s="19"/>
    </row>
    <row r="269">
      <c r="A269" s="19"/>
      <c r="B269" s="19"/>
      <c r="C269" s="19"/>
      <c r="D269" s="19"/>
      <c r="E269" s="19"/>
      <c r="F269" s="19"/>
      <c r="G269" s="19"/>
      <c r="H269" s="19"/>
      <c r="I269" s="19"/>
      <c r="J269" s="19"/>
      <c r="K269" s="19"/>
    </row>
    <row r="270">
      <c r="A270" s="19"/>
      <c r="B270" s="19"/>
      <c r="C270" s="19"/>
      <c r="D270" s="19"/>
      <c r="E270" s="19"/>
      <c r="F270" s="19"/>
      <c r="G270" s="19"/>
      <c r="H270" s="19"/>
      <c r="I270" s="19"/>
      <c r="J270" s="19"/>
      <c r="K270" s="19"/>
    </row>
    <row r="271">
      <c r="A271" s="19"/>
      <c r="B271" s="19"/>
      <c r="C271" s="19"/>
      <c r="D271" s="19"/>
      <c r="E271" s="19"/>
      <c r="F271" s="19"/>
      <c r="G271" s="19"/>
      <c r="H271" s="19"/>
      <c r="I271" s="19"/>
      <c r="J271" s="19"/>
      <c r="K271" s="19"/>
    </row>
    <row r="272">
      <c r="A272" s="19"/>
      <c r="B272" s="19"/>
      <c r="C272" s="19"/>
      <c r="D272" s="19"/>
      <c r="E272" s="19"/>
      <c r="F272" s="19"/>
      <c r="G272" s="19"/>
      <c r="H272" s="19"/>
      <c r="I272" s="19"/>
      <c r="J272" s="19"/>
      <c r="K272" s="19"/>
    </row>
    <row r="273">
      <c r="A273" s="19"/>
      <c r="B273" s="19"/>
      <c r="C273" s="19"/>
      <c r="D273" s="19"/>
      <c r="E273" s="19"/>
      <c r="F273" s="19"/>
      <c r="G273" s="19"/>
      <c r="H273" s="19"/>
      <c r="I273" s="19"/>
      <c r="J273" s="19"/>
      <c r="K273" s="19"/>
    </row>
    <row r="274">
      <c r="A274" s="19"/>
      <c r="B274" s="19"/>
      <c r="C274" s="19"/>
      <c r="D274" s="19"/>
      <c r="E274" s="19"/>
      <c r="F274" s="19"/>
      <c r="G274" s="19"/>
      <c r="H274" s="19"/>
      <c r="I274" s="19"/>
      <c r="J274" s="19"/>
      <c r="K274" s="19"/>
    </row>
    <row r="275">
      <c r="A275" s="19"/>
      <c r="B275" s="19"/>
      <c r="C275" s="19"/>
      <c r="D275" s="19"/>
      <c r="E275" s="19"/>
      <c r="F275" s="19"/>
      <c r="G275" s="19"/>
      <c r="H275" s="19"/>
      <c r="I275" s="19"/>
      <c r="J275" s="19"/>
      <c r="K275" s="19"/>
    </row>
    <row r="276">
      <c r="A276" s="19"/>
      <c r="B276" s="19"/>
      <c r="C276" s="19"/>
      <c r="D276" s="19"/>
      <c r="E276" s="19"/>
      <c r="F276" s="19"/>
      <c r="G276" s="19"/>
      <c r="H276" s="19"/>
      <c r="I276" s="19"/>
      <c r="J276" s="19"/>
      <c r="K276" s="19"/>
    </row>
    <row r="277">
      <c r="A277" s="19"/>
      <c r="B277" s="19"/>
      <c r="C277" s="19"/>
      <c r="D277" s="19"/>
      <c r="E277" s="19"/>
      <c r="F277" s="19"/>
      <c r="G277" s="19"/>
      <c r="H277" s="19"/>
      <c r="I277" s="19"/>
      <c r="J277" s="19"/>
      <c r="K277" s="19"/>
    </row>
    <row r="278">
      <c r="A278" s="19"/>
      <c r="B278" s="19"/>
      <c r="C278" s="19"/>
      <c r="D278" s="19"/>
      <c r="E278" s="19"/>
      <c r="F278" s="19"/>
      <c r="G278" s="19"/>
      <c r="H278" s="19"/>
      <c r="I278" s="19"/>
      <c r="J278" s="19"/>
      <c r="K278" s="19"/>
    </row>
    <row r="279">
      <c r="A279" s="19"/>
      <c r="B279" s="19"/>
      <c r="C279" s="19"/>
      <c r="D279" s="19"/>
      <c r="E279" s="19"/>
      <c r="F279" s="19"/>
      <c r="G279" s="19"/>
      <c r="H279" s="19"/>
      <c r="I279" s="19"/>
      <c r="J279" s="19"/>
      <c r="K279" s="19"/>
    </row>
    <row r="280">
      <c r="A280" s="19"/>
      <c r="B280" s="19"/>
      <c r="C280" s="19"/>
      <c r="D280" s="19"/>
      <c r="E280" s="19"/>
      <c r="F280" s="19"/>
      <c r="G280" s="19"/>
      <c r="H280" s="19"/>
      <c r="I280" s="19"/>
      <c r="J280" s="19"/>
      <c r="K280" s="19"/>
    </row>
    <row r="281">
      <c r="A281" s="19"/>
      <c r="B281" s="19"/>
      <c r="C281" s="19"/>
      <c r="D281" s="19"/>
      <c r="E281" s="19"/>
      <c r="F281" s="19"/>
      <c r="G281" s="19"/>
      <c r="H281" s="19"/>
      <c r="I281" s="19"/>
      <c r="J281" s="19"/>
      <c r="K281" s="19"/>
    </row>
    <row r="282">
      <c r="A282" s="19"/>
      <c r="B282" s="19"/>
      <c r="C282" s="19"/>
      <c r="D282" s="19"/>
      <c r="E282" s="19"/>
      <c r="F282" s="19"/>
      <c r="G282" s="19"/>
      <c r="H282" s="19"/>
      <c r="I282" s="19"/>
      <c r="J282" s="19"/>
      <c r="K282" s="19"/>
    </row>
    <row r="283">
      <c r="A283" s="19"/>
      <c r="B283" s="19"/>
      <c r="C283" s="19"/>
      <c r="D283" s="19"/>
      <c r="E283" s="19"/>
      <c r="F283" s="19"/>
      <c r="G283" s="19"/>
      <c r="H283" s="19"/>
      <c r="I283" s="19"/>
      <c r="J283" s="19"/>
      <c r="K283" s="19"/>
    </row>
    <row r="284">
      <c r="A284" s="19"/>
      <c r="B284" s="19"/>
      <c r="C284" s="19"/>
      <c r="D284" s="19"/>
      <c r="E284" s="19"/>
      <c r="F284" s="19"/>
      <c r="G284" s="19"/>
      <c r="H284" s="19"/>
      <c r="I284" s="19"/>
      <c r="J284" s="19"/>
      <c r="K284" s="19"/>
    </row>
    <row r="285">
      <c r="A285" s="19"/>
      <c r="B285" s="19"/>
      <c r="C285" s="19"/>
      <c r="D285" s="19"/>
      <c r="E285" s="19"/>
      <c r="F285" s="19"/>
      <c r="G285" s="19"/>
      <c r="H285" s="19"/>
      <c r="I285" s="19"/>
      <c r="J285" s="19"/>
      <c r="K285" s="19"/>
    </row>
    <row r="286">
      <c r="A286" s="19"/>
      <c r="B286" s="19"/>
      <c r="C286" s="19"/>
      <c r="D286" s="19"/>
      <c r="E286" s="19"/>
      <c r="F286" s="19"/>
      <c r="G286" s="19"/>
      <c r="H286" s="19"/>
      <c r="I286" s="19"/>
      <c r="J286" s="19"/>
      <c r="K286" s="19"/>
    </row>
    <row r="287">
      <c r="A287" s="19"/>
      <c r="B287" s="19"/>
      <c r="C287" s="19"/>
      <c r="D287" s="19"/>
      <c r="E287" s="19"/>
      <c r="F287" s="19"/>
      <c r="G287" s="19"/>
      <c r="H287" s="19"/>
      <c r="I287" s="19"/>
      <c r="J287" s="19"/>
      <c r="K287" s="19"/>
    </row>
    <row r="288">
      <c r="A288" s="19"/>
      <c r="B288" s="19"/>
      <c r="C288" s="19"/>
      <c r="D288" s="19"/>
      <c r="E288" s="19"/>
      <c r="F288" s="19"/>
      <c r="G288" s="19"/>
      <c r="H288" s="19"/>
      <c r="I288" s="19"/>
      <c r="J288" s="19"/>
      <c r="K288" s="19"/>
    </row>
    <row r="289">
      <c r="A289" s="19"/>
      <c r="B289" s="19"/>
      <c r="C289" s="19"/>
      <c r="D289" s="19"/>
      <c r="E289" s="19"/>
      <c r="F289" s="19"/>
      <c r="G289" s="19"/>
      <c r="H289" s="19"/>
      <c r="I289" s="19"/>
      <c r="J289" s="19"/>
      <c r="K289" s="19"/>
    </row>
    <row r="290">
      <c r="A290" s="19"/>
      <c r="B290" s="19"/>
      <c r="C290" s="19"/>
      <c r="D290" s="19"/>
      <c r="E290" s="19"/>
      <c r="F290" s="19"/>
      <c r="G290" s="19"/>
      <c r="H290" s="19"/>
      <c r="I290" s="19"/>
      <c r="J290" s="19"/>
      <c r="K290" s="19"/>
    </row>
    <row r="291">
      <c r="A291" s="19"/>
      <c r="B291" s="19"/>
      <c r="C291" s="19"/>
      <c r="D291" s="19"/>
      <c r="E291" s="19"/>
      <c r="F291" s="19"/>
      <c r="G291" s="19"/>
      <c r="H291" s="19"/>
      <c r="I291" s="19"/>
      <c r="J291" s="19"/>
      <c r="K291" s="19"/>
    </row>
    <row r="292">
      <c r="A292" s="19"/>
      <c r="B292" s="19"/>
      <c r="C292" s="19"/>
      <c r="D292" s="19"/>
      <c r="E292" s="19"/>
      <c r="F292" s="19"/>
      <c r="G292" s="19"/>
      <c r="H292" s="19"/>
      <c r="I292" s="19"/>
      <c r="J292" s="19"/>
      <c r="K292" s="19"/>
    </row>
    <row r="293">
      <c r="A293" s="19"/>
      <c r="B293" s="19"/>
      <c r="C293" s="19"/>
      <c r="D293" s="19"/>
      <c r="E293" s="19"/>
      <c r="F293" s="19"/>
      <c r="G293" s="19"/>
      <c r="H293" s="19"/>
      <c r="I293" s="19"/>
      <c r="J293" s="19"/>
      <c r="K293" s="19"/>
    </row>
    <row r="294">
      <c r="A294" s="19"/>
      <c r="B294" s="19"/>
      <c r="C294" s="19"/>
      <c r="D294" s="19"/>
      <c r="E294" s="19"/>
      <c r="F294" s="19"/>
      <c r="G294" s="19"/>
      <c r="H294" s="19"/>
      <c r="I294" s="19"/>
      <c r="J294" s="19"/>
      <c r="K294" s="19"/>
    </row>
    <row r="295">
      <c r="A295" s="19"/>
      <c r="B295" s="19"/>
      <c r="C295" s="19"/>
      <c r="D295" s="19"/>
      <c r="E295" s="19"/>
      <c r="F295" s="19"/>
      <c r="G295" s="19"/>
      <c r="H295" s="19"/>
      <c r="I295" s="19"/>
      <c r="J295" s="19"/>
      <c r="K295" s="19"/>
    </row>
    <row r="296">
      <c r="A296" s="19"/>
      <c r="B296" s="19"/>
      <c r="C296" s="19"/>
      <c r="D296" s="19"/>
      <c r="E296" s="19"/>
      <c r="F296" s="19"/>
      <c r="G296" s="19"/>
      <c r="H296" s="19"/>
      <c r="I296" s="19"/>
      <c r="J296" s="19"/>
      <c r="K296" s="19"/>
    </row>
    <row r="297">
      <c r="A297" s="19"/>
      <c r="B297" s="19"/>
      <c r="C297" s="19"/>
      <c r="D297" s="19"/>
      <c r="E297" s="19"/>
      <c r="F297" s="19"/>
      <c r="G297" s="19"/>
      <c r="H297" s="19"/>
      <c r="I297" s="19"/>
      <c r="J297" s="19"/>
      <c r="K297" s="19"/>
    </row>
    <row r="298">
      <c r="A298" s="19"/>
      <c r="B298" s="19"/>
      <c r="C298" s="19"/>
      <c r="D298" s="19"/>
      <c r="E298" s="19"/>
      <c r="F298" s="19"/>
      <c r="G298" s="19"/>
      <c r="H298" s="19"/>
      <c r="I298" s="19"/>
      <c r="J298" s="19"/>
      <c r="K298" s="19"/>
    </row>
    <row r="299">
      <c r="A299" s="19"/>
      <c r="B299" s="19"/>
      <c r="C299" s="19"/>
      <c r="D299" s="19"/>
      <c r="E299" s="19"/>
      <c r="F299" s="19"/>
      <c r="G299" s="19"/>
      <c r="H299" s="19"/>
      <c r="I299" s="19"/>
      <c r="J299" s="19"/>
      <c r="K299" s="19"/>
    </row>
    <row r="300">
      <c r="A300" s="19"/>
      <c r="B300" s="19"/>
      <c r="C300" s="19"/>
      <c r="D300" s="19"/>
      <c r="E300" s="19"/>
      <c r="F300" s="19"/>
      <c r="G300" s="19"/>
      <c r="H300" s="19"/>
      <c r="I300" s="19"/>
      <c r="J300" s="19"/>
      <c r="K300" s="19"/>
    </row>
    <row r="301">
      <c r="A301" s="19"/>
      <c r="B301" s="19"/>
      <c r="C301" s="19"/>
      <c r="D301" s="19"/>
      <c r="E301" s="19"/>
      <c r="F301" s="19"/>
      <c r="G301" s="19"/>
      <c r="H301" s="19"/>
      <c r="I301" s="19"/>
      <c r="J301" s="19"/>
      <c r="K301" s="19"/>
    </row>
    <row r="302">
      <c r="A302" s="19"/>
      <c r="B302" s="19"/>
      <c r="C302" s="19"/>
      <c r="D302" s="19"/>
      <c r="E302" s="19"/>
      <c r="F302" s="19"/>
      <c r="G302" s="19"/>
      <c r="H302" s="19"/>
      <c r="I302" s="19"/>
      <c r="J302" s="19"/>
      <c r="K302" s="19"/>
    </row>
    <row r="303">
      <c r="A303" s="19"/>
      <c r="B303" s="19"/>
      <c r="C303" s="19"/>
      <c r="D303" s="19"/>
      <c r="E303" s="19"/>
      <c r="F303" s="19"/>
      <c r="G303" s="19"/>
      <c r="H303" s="19"/>
      <c r="I303" s="19"/>
      <c r="J303" s="19"/>
      <c r="K303" s="19"/>
    </row>
    <row r="304">
      <c r="A304" s="19"/>
      <c r="B304" s="19"/>
      <c r="C304" s="19"/>
      <c r="D304" s="19"/>
      <c r="E304" s="19"/>
      <c r="F304" s="19"/>
      <c r="G304" s="19"/>
      <c r="H304" s="19"/>
      <c r="I304" s="19"/>
      <c r="J304" s="19"/>
      <c r="K304" s="19"/>
    </row>
    <row r="305">
      <c r="A305" s="19"/>
      <c r="B305" s="19"/>
      <c r="C305" s="19"/>
      <c r="D305" s="19"/>
      <c r="E305" s="19"/>
      <c r="F305" s="19"/>
      <c r="G305" s="19"/>
      <c r="H305" s="19"/>
      <c r="I305" s="19"/>
      <c r="J305" s="19"/>
      <c r="K305" s="19"/>
    </row>
    <row r="306">
      <c r="A306" s="19"/>
      <c r="B306" s="19"/>
      <c r="C306" s="19"/>
      <c r="D306" s="19"/>
      <c r="E306" s="19"/>
      <c r="F306" s="19"/>
      <c r="G306" s="19"/>
      <c r="H306" s="19"/>
      <c r="I306" s="19"/>
      <c r="J306" s="19"/>
      <c r="K306" s="19"/>
    </row>
    <row r="307">
      <c r="A307" s="19"/>
      <c r="B307" s="19"/>
      <c r="C307" s="19"/>
      <c r="D307" s="19"/>
      <c r="E307" s="19"/>
      <c r="F307" s="19"/>
      <c r="G307" s="19"/>
      <c r="H307" s="19"/>
      <c r="I307" s="19"/>
      <c r="J307" s="19"/>
      <c r="K307" s="19"/>
    </row>
    <row r="308">
      <c r="A308" s="19"/>
      <c r="B308" s="19"/>
      <c r="C308" s="19"/>
      <c r="D308" s="19"/>
      <c r="E308" s="19"/>
      <c r="F308" s="19"/>
      <c r="G308" s="19"/>
      <c r="H308" s="19"/>
      <c r="I308" s="19"/>
      <c r="J308" s="19"/>
      <c r="K308" s="19"/>
    </row>
    <row r="309">
      <c r="A309" s="19"/>
      <c r="B309" s="19"/>
      <c r="C309" s="19"/>
      <c r="D309" s="19"/>
      <c r="E309" s="19"/>
      <c r="F309" s="19"/>
      <c r="G309" s="19"/>
      <c r="H309" s="19"/>
      <c r="I309" s="19"/>
      <c r="J309" s="19"/>
      <c r="K309" s="19"/>
    </row>
    <row r="310">
      <c r="A310" s="19"/>
      <c r="B310" s="19"/>
      <c r="C310" s="19"/>
      <c r="D310" s="19"/>
      <c r="E310" s="19"/>
      <c r="F310" s="19"/>
      <c r="G310" s="19"/>
      <c r="H310" s="19"/>
      <c r="I310" s="19"/>
      <c r="J310" s="19"/>
      <c r="K310" s="19"/>
    </row>
    <row r="311">
      <c r="A311" s="19"/>
      <c r="B311" s="19"/>
      <c r="C311" s="19"/>
      <c r="D311" s="19"/>
      <c r="E311" s="19"/>
      <c r="F311" s="19"/>
      <c r="G311" s="19"/>
      <c r="H311" s="19"/>
      <c r="I311" s="19"/>
      <c r="J311" s="19"/>
      <c r="K311" s="19"/>
    </row>
    <row r="312">
      <c r="A312" s="19"/>
      <c r="B312" s="19"/>
      <c r="C312" s="19"/>
      <c r="D312" s="19"/>
      <c r="E312" s="19"/>
      <c r="F312" s="19"/>
      <c r="G312" s="19"/>
      <c r="H312" s="19"/>
      <c r="I312" s="19"/>
      <c r="J312" s="19"/>
      <c r="K312" s="19"/>
    </row>
    <row r="313">
      <c r="A313" s="19"/>
      <c r="B313" s="19"/>
      <c r="C313" s="19"/>
      <c r="D313" s="19"/>
      <c r="E313" s="19"/>
      <c r="F313" s="19"/>
      <c r="G313" s="19"/>
      <c r="H313" s="19"/>
      <c r="I313" s="19"/>
      <c r="J313" s="19"/>
      <c r="K313" s="19"/>
    </row>
    <row r="314">
      <c r="A314" s="19"/>
      <c r="B314" s="19"/>
      <c r="C314" s="19"/>
      <c r="D314" s="19"/>
      <c r="E314" s="19"/>
      <c r="F314" s="19"/>
      <c r="G314" s="19"/>
      <c r="H314" s="19"/>
      <c r="I314" s="19"/>
      <c r="J314" s="19"/>
      <c r="K314" s="19"/>
    </row>
    <row r="315">
      <c r="A315" s="19"/>
      <c r="B315" s="19"/>
      <c r="C315" s="19"/>
      <c r="D315" s="19"/>
      <c r="E315" s="19"/>
      <c r="F315" s="19"/>
      <c r="G315" s="19"/>
      <c r="H315" s="19"/>
      <c r="I315" s="19"/>
      <c r="J315" s="19"/>
      <c r="K315" s="19"/>
    </row>
    <row r="316">
      <c r="A316" s="19"/>
      <c r="B316" s="19"/>
      <c r="C316" s="19"/>
      <c r="D316" s="19"/>
      <c r="E316" s="19"/>
      <c r="F316" s="19"/>
      <c r="G316" s="19"/>
      <c r="H316" s="19"/>
      <c r="I316" s="19"/>
      <c r="J316" s="19"/>
      <c r="K316" s="19"/>
    </row>
    <row r="317">
      <c r="A317" s="19"/>
      <c r="B317" s="19"/>
      <c r="C317" s="19"/>
      <c r="D317" s="19"/>
      <c r="E317" s="19"/>
      <c r="F317" s="19"/>
      <c r="G317" s="19"/>
      <c r="H317" s="19"/>
      <c r="I317" s="19"/>
      <c r="J317" s="19"/>
      <c r="K317" s="19"/>
    </row>
    <row r="318">
      <c r="A318" s="19"/>
      <c r="B318" s="19"/>
      <c r="C318" s="19"/>
      <c r="D318" s="19"/>
      <c r="E318" s="19"/>
      <c r="F318" s="19"/>
      <c r="G318" s="19"/>
      <c r="H318" s="19"/>
      <c r="I318" s="19"/>
      <c r="J318" s="19"/>
      <c r="K318" s="19"/>
    </row>
    <row r="319">
      <c r="A319" s="19"/>
      <c r="B319" s="19"/>
      <c r="C319" s="19"/>
      <c r="D319" s="19"/>
      <c r="E319" s="19"/>
      <c r="F319" s="19"/>
      <c r="G319" s="19"/>
      <c r="H319" s="19"/>
      <c r="I319" s="19"/>
      <c r="J319" s="19"/>
      <c r="K319" s="19"/>
    </row>
    <row r="320">
      <c r="A320" s="19"/>
      <c r="B320" s="19"/>
      <c r="C320" s="19"/>
      <c r="D320" s="19"/>
      <c r="E320" s="19"/>
      <c r="F320" s="19"/>
      <c r="G320" s="19"/>
      <c r="H320" s="19"/>
      <c r="I320" s="19"/>
      <c r="J320" s="19"/>
      <c r="K320" s="19"/>
    </row>
    <row r="321">
      <c r="A321" s="19"/>
      <c r="B321" s="19"/>
      <c r="C321" s="19"/>
      <c r="D321" s="19"/>
      <c r="E321" s="19"/>
      <c r="F321" s="19"/>
      <c r="G321" s="19"/>
      <c r="H321" s="19"/>
      <c r="I321" s="19"/>
      <c r="J321" s="19"/>
      <c r="K321" s="19"/>
    </row>
    <row r="322">
      <c r="A322" s="19"/>
      <c r="B322" s="19"/>
      <c r="C322" s="19"/>
      <c r="D322" s="19"/>
      <c r="E322" s="19"/>
      <c r="F322" s="19"/>
      <c r="G322" s="19"/>
      <c r="H322" s="19"/>
      <c r="I322" s="19"/>
      <c r="J322" s="19"/>
      <c r="K322" s="19"/>
    </row>
    <row r="323">
      <c r="A323" s="19"/>
      <c r="B323" s="19"/>
      <c r="C323" s="19"/>
      <c r="D323" s="19"/>
      <c r="E323" s="19"/>
      <c r="F323" s="19"/>
      <c r="G323" s="19"/>
      <c r="H323" s="19"/>
      <c r="I323" s="19"/>
      <c r="J323" s="19"/>
      <c r="K323" s="19"/>
    </row>
    <row r="324">
      <c r="A324" s="19"/>
      <c r="B324" s="19"/>
      <c r="C324" s="19"/>
      <c r="D324" s="19"/>
      <c r="E324" s="19"/>
      <c r="F324" s="19"/>
      <c r="G324" s="19"/>
      <c r="H324" s="19"/>
      <c r="I324" s="19"/>
      <c r="J324" s="19"/>
      <c r="K324" s="19"/>
    </row>
    <row r="325">
      <c r="A325" s="19"/>
      <c r="B325" s="19"/>
      <c r="C325" s="19"/>
      <c r="D325" s="19"/>
      <c r="E325" s="19"/>
      <c r="F325" s="19"/>
      <c r="G325" s="19"/>
      <c r="H325" s="19"/>
      <c r="I325" s="19"/>
      <c r="J325" s="19"/>
      <c r="K325" s="19"/>
    </row>
    <row r="326">
      <c r="A326" s="19"/>
      <c r="B326" s="19"/>
      <c r="C326" s="19"/>
      <c r="D326" s="19"/>
      <c r="E326" s="19"/>
      <c r="F326" s="19"/>
      <c r="G326" s="19"/>
      <c r="H326" s="19"/>
      <c r="I326" s="19"/>
      <c r="J326" s="19"/>
      <c r="K326" s="19"/>
    </row>
    <row r="327">
      <c r="A327" s="19"/>
      <c r="B327" s="19"/>
      <c r="C327" s="19"/>
      <c r="D327" s="19"/>
      <c r="E327" s="19"/>
      <c r="F327" s="19"/>
      <c r="G327" s="19"/>
      <c r="H327" s="19"/>
      <c r="I327" s="19"/>
      <c r="J327" s="19"/>
      <c r="K327" s="19"/>
    </row>
    <row r="328">
      <c r="A328" s="19"/>
      <c r="B328" s="19"/>
      <c r="C328" s="19"/>
      <c r="D328" s="19"/>
      <c r="E328" s="19"/>
      <c r="F328" s="19"/>
      <c r="G328" s="19"/>
      <c r="H328" s="19"/>
      <c r="I328" s="19"/>
      <c r="J328" s="19"/>
      <c r="K328" s="19"/>
    </row>
    <row r="329">
      <c r="A329" s="19"/>
      <c r="B329" s="19"/>
      <c r="C329" s="19"/>
      <c r="D329" s="19"/>
      <c r="E329" s="19"/>
      <c r="F329" s="19"/>
      <c r="G329" s="19"/>
      <c r="H329" s="19"/>
      <c r="I329" s="19"/>
      <c r="J329" s="19"/>
      <c r="K329" s="19"/>
    </row>
    <row r="330">
      <c r="A330" s="19"/>
      <c r="B330" s="19"/>
      <c r="C330" s="19"/>
      <c r="D330" s="19"/>
      <c r="E330" s="19"/>
      <c r="F330" s="19"/>
      <c r="G330" s="19"/>
      <c r="H330" s="19"/>
      <c r="I330" s="19"/>
      <c r="J330" s="19"/>
      <c r="K330" s="19"/>
    </row>
    <row r="331">
      <c r="A331" s="19"/>
      <c r="B331" s="19"/>
      <c r="C331" s="19"/>
      <c r="D331" s="19"/>
      <c r="E331" s="19"/>
      <c r="F331" s="19"/>
      <c r="G331" s="19"/>
      <c r="H331" s="19"/>
      <c r="I331" s="19"/>
      <c r="J331" s="19"/>
      <c r="K331" s="19"/>
    </row>
    <row r="332">
      <c r="A332" s="19"/>
      <c r="B332" s="19"/>
      <c r="C332" s="19"/>
      <c r="D332" s="19"/>
      <c r="E332" s="19"/>
      <c r="F332" s="19"/>
      <c r="G332" s="19"/>
      <c r="H332" s="19"/>
      <c r="I332" s="19"/>
      <c r="J332" s="19"/>
      <c r="K332" s="19"/>
    </row>
    <row r="333">
      <c r="A333" s="19"/>
      <c r="B333" s="19"/>
      <c r="C333" s="19"/>
      <c r="D333" s="19"/>
      <c r="E333" s="19"/>
      <c r="F333" s="19"/>
      <c r="G333" s="19"/>
      <c r="H333" s="19"/>
      <c r="I333" s="19"/>
      <c r="J333" s="19"/>
      <c r="K333" s="19"/>
    </row>
    <row r="334">
      <c r="A334" s="19"/>
      <c r="B334" s="19"/>
      <c r="C334" s="19"/>
      <c r="D334" s="19"/>
      <c r="E334" s="19"/>
      <c r="F334" s="19"/>
      <c r="G334" s="19"/>
      <c r="H334" s="19"/>
      <c r="I334" s="19"/>
      <c r="J334" s="19"/>
      <c r="K334" s="19"/>
    </row>
    <row r="335">
      <c r="A335" s="19"/>
      <c r="B335" s="19"/>
      <c r="C335" s="19"/>
      <c r="D335" s="19"/>
      <c r="E335" s="19"/>
      <c r="F335" s="19"/>
      <c r="G335" s="19"/>
      <c r="H335" s="19"/>
      <c r="I335" s="19"/>
      <c r="J335" s="19"/>
      <c r="K335" s="19"/>
    </row>
    <row r="336">
      <c r="A336" s="19"/>
      <c r="B336" s="19"/>
      <c r="C336" s="19"/>
      <c r="D336" s="19"/>
      <c r="E336" s="19"/>
      <c r="F336" s="19"/>
      <c r="G336" s="19"/>
      <c r="H336" s="19"/>
      <c r="I336" s="19"/>
      <c r="J336" s="19"/>
      <c r="K336" s="19"/>
    </row>
    <row r="337">
      <c r="A337" s="19"/>
      <c r="B337" s="19"/>
      <c r="C337" s="19"/>
      <c r="D337" s="19"/>
      <c r="E337" s="19"/>
      <c r="F337" s="19"/>
      <c r="G337" s="19"/>
      <c r="H337" s="19"/>
      <c r="I337" s="19"/>
      <c r="J337" s="19"/>
      <c r="K337" s="19"/>
    </row>
    <row r="338">
      <c r="A338" s="19"/>
      <c r="B338" s="19"/>
      <c r="C338" s="19"/>
      <c r="D338" s="19"/>
      <c r="E338" s="19"/>
      <c r="F338" s="19"/>
      <c r="G338" s="19"/>
      <c r="H338" s="19"/>
      <c r="I338" s="19"/>
      <c r="J338" s="19"/>
      <c r="K338" s="19"/>
    </row>
    <row r="339">
      <c r="A339" s="19"/>
      <c r="B339" s="19"/>
      <c r="C339" s="19"/>
      <c r="D339" s="19"/>
      <c r="E339" s="19"/>
      <c r="F339" s="19"/>
      <c r="G339" s="19"/>
      <c r="H339" s="19"/>
      <c r="I339" s="19"/>
      <c r="J339" s="19"/>
      <c r="K339" s="19"/>
    </row>
    <row r="340">
      <c r="A340" s="19"/>
      <c r="B340" s="19"/>
      <c r="C340" s="19"/>
      <c r="D340" s="19"/>
      <c r="E340" s="19"/>
      <c r="F340" s="19"/>
      <c r="G340" s="19"/>
      <c r="H340" s="19"/>
      <c r="I340" s="19"/>
      <c r="J340" s="19"/>
      <c r="K340" s="19"/>
    </row>
    <row r="341">
      <c r="A341" s="19"/>
      <c r="B341" s="19"/>
      <c r="C341" s="19"/>
      <c r="D341" s="19"/>
      <c r="E341" s="19"/>
      <c r="F341" s="19"/>
      <c r="G341" s="19"/>
      <c r="H341" s="19"/>
      <c r="I341" s="19"/>
      <c r="J341" s="19"/>
      <c r="K341" s="19"/>
    </row>
    <row r="342">
      <c r="A342" s="19"/>
      <c r="B342" s="19"/>
      <c r="C342" s="19"/>
      <c r="D342" s="19"/>
      <c r="E342" s="19"/>
      <c r="F342" s="19"/>
      <c r="G342" s="19"/>
      <c r="H342" s="19"/>
      <c r="I342" s="19"/>
      <c r="J342" s="19"/>
      <c r="K342" s="19"/>
    </row>
    <row r="343">
      <c r="A343" s="19"/>
      <c r="B343" s="19"/>
      <c r="C343" s="19"/>
      <c r="D343" s="19"/>
      <c r="E343" s="19"/>
      <c r="F343" s="19"/>
      <c r="G343" s="19"/>
      <c r="H343" s="19"/>
      <c r="I343" s="19"/>
      <c r="J343" s="19"/>
      <c r="K343" s="19"/>
    </row>
    <row r="344">
      <c r="A344" s="19"/>
      <c r="B344" s="19"/>
      <c r="C344" s="19"/>
      <c r="D344" s="19"/>
      <c r="E344" s="19"/>
      <c r="F344" s="19"/>
      <c r="G344" s="19"/>
      <c r="H344" s="19"/>
      <c r="I344" s="19"/>
      <c r="J344" s="19"/>
      <c r="K344" s="19"/>
    </row>
    <row r="345">
      <c r="A345" s="19"/>
      <c r="B345" s="19"/>
      <c r="C345" s="19"/>
      <c r="D345" s="19"/>
      <c r="E345" s="19"/>
      <c r="F345" s="19"/>
      <c r="G345" s="19"/>
      <c r="H345" s="19"/>
      <c r="I345" s="19"/>
      <c r="J345" s="19"/>
      <c r="K345" s="19"/>
    </row>
    <row r="346">
      <c r="A346" s="19"/>
      <c r="B346" s="19"/>
      <c r="C346" s="19"/>
      <c r="D346" s="19"/>
      <c r="E346" s="19"/>
      <c r="F346" s="19"/>
      <c r="G346" s="19"/>
      <c r="H346" s="19"/>
      <c r="I346" s="19"/>
      <c r="J346" s="19"/>
      <c r="K346" s="19"/>
    </row>
    <row r="347">
      <c r="A347" s="19"/>
      <c r="B347" s="19"/>
      <c r="C347" s="19"/>
      <c r="D347" s="19"/>
      <c r="E347" s="19"/>
      <c r="F347" s="19"/>
      <c r="G347" s="19"/>
      <c r="H347" s="19"/>
      <c r="I347" s="19"/>
      <c r="J347" s="19"/>
      <c r="K347" s="19"/>
    </row>
    <row r="348">
      <c r="A348" s="19"/>
      <c r="B348" s="19"/>
      <c r="C348" s="19"/>
      <c r="D348" s="19"/>
      <c r="E348" s="19"/>
      <c r="F348" s="19"/>
      <c r="G348" s="19"/>
      <c r="H348" s="19"/>
      <c r="I348" s="19"/>
      <c r="J348" s="19"/>
      <c r="K348" s="19"/>
    </row>
    <row r="349">
      <c r="A349" s="19"/>
      <c r="B349" s="19"/>
      <c r="C349" s="19"/>
      <c r="D349" s="19"/>
      <c r="E349" s="19"/>
      <c r="F349" s="19"/>
      <c r="G349" s="19"/>
      <c r="H349" s="19"/>
      <c r="I349" s="19"/>
      <c r="J349" s="19"/>
      <c r="K349" s="19"/>
    </row>
    <row r="350">
      <c r="A350" s="19"/>
      <c r="B350" s="19"/>
      <c r="C350" s="19"/>
      <c r="D350" s="19"/>
      <c r="E350" s="19"/>
      <c r="F350" s="19"/>
      <c r="G350" s="19"/>
      <c r="H350" s="19"/>
      <c r="I350" s="19"/>
      <c r="J350" s="19"/>
      <c r="K350" s="19"/>
    </row>
    <row r="351">
      <c r="A351" s="19"/>
      <c r="B351" s="19"/>
      <c r="C351" s="19"/>
      <c r="D351" s="19"/>
      <c r="E351" s="19"/>
      <c r="F351" s="19"/>
      <c r="G351" s="19"/>
      <c r="H351" s="19"/>
      <c r="I351" s="19"/>
      <c r="J351" s="19"/>
      <c r="K351" s="19"/>
    </row>
    <row r="352">
      <c r="A352" s="19"/>
      <c r="B352" s="19"/>
      <c r="C352" s="19"/>
      <c r="D352" s="19"/>
      <c r="E352" s="19"/>
      <c r="F352" s="19"/>
      <c r="G352" s="19"/>
      <c r="H352" s="19"/>
      <c r="I352" s="19"/>
      <c r="J352" s="19"/>
      <c r="K352" s="19"/>
    </row>
    <row r="353">
      <c r="A353" s="19"/>
      <c r="B353" s="19"/>
      <c r="C353" s="19"/>
      <c r="D353" s="19"/>
      <c r="E353" s="19"/>
      <c r="F353" s="19"/>
      <c r="G353" s="19"/>
      <c r="H353" s="19"/>
      <c r="I353" s="19"/>
      <c r="J353" s="19"/>
      <c r="K353" s="19"/>
    </row>
    <row r="354">
      <c r="A354" s="19"/>
      <c r="B354" s="19"/>
      <c r="C354" s="19"/>
      <c r="D354" s="19"/>
      <c r="E354" s="19"/>
      <c r="F354" s="19"/>
      <c r="G354" s="19"/>
      <c r="H354" s="19"/>
      <c r="I354" s="19"/>
      <c r="J354" s="19"/>
      <c r="K354" s="19"/>
    </row>
    <row r="355">
      <c r="A355" s="19"/>
      <c r="B355" s="19"/>
      <c r="C355" s="19"/>
      <c r="D355" s="19"/>
      <c r="E355" s="19"/>
      <c r="F355" s="19"/>
      <c r="G355" s="19"/>
      <c r="H355" s="19"/>
      <c r="I355" s="19"/>
      <c r="J355" s="19"/>
      <c r="K355" s="19"/>
    </row>
    <row r="356">
      <c r="A356" s="19"/>
      <c r="B356" s="19"/>
      <c r="C356" s="19"/>
      <c r="D356" s="19"/>
      <c r="E356" s="19"/>
      <c r="F356" s="19"/>
      <c r="G356" s="19"/>
      <c r="H356" s="19"/>
      <c r="I356" s="19"/>
      <c r="J356" s="19"/>
      <c r="K356" s="19"/>
    </row>
    <row r="357">
      <c r="A357" s="19"/>
      <c r="B357" s="19"/>
      <c r="C357" s="19"/>
      <c r="D357" s="19"/>
      <c r="E357" s="19"/>
      <c r="F357" s="19"/>
      <c r="G357" s="19"/>
      <c r="H357" s="19"/>
      <c r="I357" s="19"/>
      <c r="J357" s="19"/>
      <c r="K357" s="19"/>
    </row>
    <row r="358">
      <c r="A358" s="19"/>
      <c r="B358" s="19"/>
      <c r="C358" s="19"/>
      <c r="D358" s="19"/>
      <c r="E358" s="19"/>
      <c r="F358" s="19"/>
      <c r="G358" s="19"/>
      <c r="H358" s="19"/>
      <c r="I358" s="19"/>
      <c r="J358" s="19"/>
      <c r="K358" s="19"/>
    </row>
    <row r="359">
      <c r="A359" s="19"/>
      <c r="B359" s="19"/>
      <c r="C359" s="19"/>
      <c r="D359" s="19"/>
      <c r="E359" s="19"/>
      <c r="F359" s="19"/>
      <c r="G359" s="19"/>
      <c r="H359" s="19"/>
      <c r="I359" s="19"/>
      <c r="J359" s="19"/>
      <c r="K359" s="19"/>
    </row>
    <row r="360">
      <c r="A360" s="19"/>
      <c r="B360" s="19"/>
      <c r="C360" s="19"/>
      <c r="D360" s="19"/>
      <c r="E360" s="19"/>
      <c r="F360" s="19"/>
      <c r="G360" s="19"/>
      <c r="H360" s="19"/>
      <c r="I360" s="19"/>
      <c r="J360" s="19"/>
      <c r="K360" s="19"/>
    </row>
    <row r="361">
      <c r="A361" s="19"/>
      <c r="B361" s="19"/>
      <c r="C361" s="19"/>
      <c r="D361" s="19"/>
      <c r="E361" s="19"/>
      <c r="F361" s="19"/>
      <c r="G361" s="19"/>
      <c r="H361" s="19"/>
      <c r="I361" s="19"/>
      <c r="J361" s="19"/>
      <c r="K361" s="19"/>
    </row>
    <row r="362">
      <c r="A362" s="19"/>
      <c r="B362" s="19"/>
      <c r="C362" s="19"/>
      <c r="D362" s="19"/>
      <c r="E362" s="19"/>
      <c r="F362" s="19"/>
      <c r="G362" s="19"/>
      <c r="H362" s="19"/>
      <c r="I362" s="19"/>
      <c r="J362" s="19"/>
      <c r="K362" s="19"/>
    </row>
    <row r="363">
      <c r="A363" s="19"/>
      <c r="B363" s="19"/>
      <c r="C363" s="19"/>
      <c r="D363" s="19"/>
      <c r="E363" s="19"/>
      <c r="F363" s="19"/>
      <c r="G363" s="19"/>
      <c r="H363" s="19"/>
      <c r="I363" s="19"/>
      <c r="J363" s="19"/>
      <c r="K363" s="19"/>
    </row>
    <row r="364">
      <c r="A364" s="19"/>
      <c r="B364" s="19"/>
      <c r="C364" s="19"/>
      <c r="D364" s="19"/>
      <c r="E364" s="19"/>
      <c r="F364" s="19"/>
      <c r="G364" s="19"/>
      <c r="H364" s="19"/>
      <c r="I364" s="19"/>
      <c r="J364" s="19"/>
      <c r="K364" s="19"/>
    </row>
    <row r="365">
      <c r="A365" s="19"/>
      <c r="B365" s="19"/>
      <c r="C365" s="19"/>
      <c r="D365" s="19"/>
      <c r="E365" s="19"/>
      <c r="F365" s="19"/>
      <c r="G365" s="19"/>
      <c r="H365" s="19"/>
      <c r="I365" s="19"/>
      <c r="J365" s="19"/>
      <c r="K365" s="19"/>
    </row>
    <row r="366">
      <c r="A366" s="19"/>
      <c r="B366" s="19"/>
      <c r="C366" s="19"/>
      <c r="D366" s="19"/>
      <c r="E366" s="19"/>
      <c r="F366" s="19"/>
      <c r="G366" s="19"/>
      <c r="H366" s="19"/>
      <c r="I366" s="19"/>
      <c r="J366" s="19"/>
      <c r="K366" s="19"/>
    </row>
    <row r="367">
      <c r="A367" s="19"/>
      <c r="B367" s="19"/>
      <c r="C367" s="19"/>
      <c r="D367" s="19"/>
      <c r="E367" s="19"/>
      <c r="F367" s="19"/>
      <c r="G367" s="19"/>
      <c r="H367" s="19"/>
      <c r="I367" s="19"/>
      <c r="J367" s="19"/>
      <c r="K367" s="19"/>
    </row>
    <row r="368">
      <c r="A368" s="19"/>
      <c r="B368" s="19"/>
      <c r="C368" s="19"/>
      <c r="D368" s="19"/>
      <c r="E368" s="19"/>
      <c r="F368" s="19"/>
      <c r="G368" s="19"/>
      <c r="H368" s="19"/>
      <c r="I368" s="19"/>
      <c r="J368" s="19"/>
      <c r="K368" s="19"/>
    </row>
    <row r="369">
      <c r="A369" s="19"/>
      <c r="B369" s="19"/>
      <c r="C369" s="19"/>
      <c r="D369" s="19"/>
      <c r="E369" s="19"/>
      <c r="F369" s="19"/>
      <c r="G369" s="19"/>
      <c r="H369" s="19"/>
      <c r="I369" s="19"/>
      <c r="J369" s="19"/>
      <c r="K369" s="19"/>
    </row>
    <row r="370">
      <c r="A370" s="19"/>
      <c r="B370" s="19"/>
      <c r="C370" s="19"/>
      <c r="D370" s="19"/>
      <c r="E370" s="19"/>
      <c r="F370" s="19"/>
      <c r="G370" s="19"/>
      <c r="H370" s="19"/>
      <c r="I370" s="19"/>
      <c r="J370" s="19"/>
      <c r="K370" s="19"/>
    </row>
    <row r="371">
      <c r="A371" s="19"/>
      <c r="B371" s="19"/>
      <c r="C371" s="19"/>
      <c r="D371" s="19"/>
      <c r="E371" s="19"/>
      <c r="F371" s="19"/>
      <c r="G371" s="19"/>
      <c r="H371" s="19"/>
      <c r="I371" s="19"/>
      <c r="J371" s="19"/>
      <c r="K371" s="19"/>
    </row>
    <row r="372">
      <c r="A372" s="19"/>
      <c r="B372" s="19"/>
      <c r="C372" s="19"/>
      <c r="D372" s="19"/>
      <c r="E372" s="19"/>
      <c r="F372" s="19"/>
      <c r="G372" s="19"/>
      <c r="H372" s="19"/>
      <c r="I372" s="19"/>
      <c r="J372" s="19"/>
      <c r="K372" s="19"/>
    </row>
    <row r="373">
      <c r="A373" s="19"/>
      <c r="B373" s="19"/>
      <c r="C373" s="19"/>
      <c r="D373" s="19"/>
      <c r="E373" s="19"/>
      <c r="F373" s="19"/>
      <c r="G373" s="19"/>
      <c r="H373" s="19"/>
      <c r="I373" s="19"/>
      <c r="J373" s="19"/>
      <c r="K373" s="19"/>
    </row>
    <row r="374">
      <c r="A374" s="19"/>
      <c r="B374" s="19"/>
      <c r="C374" s="19"/>
      <c r="D374" s="19"/>
      <c r="E374" s="19"/>
      <c r="F374" s="19"/>
      <c r="G374" s="19"/>
      <c r="H374" s="19"/>
      <c r="I374" s="19"/>
      <c r="J374" s="19"/>
      <c r="K374" s="19"/>
    </row>
    <row r="375">
      <c r="A375" s="19"/>
      <c r="B375" s="19"/>
      <c r="C375" s="19"/>
      <c r="D375" s="19"/>
      <c r="E375" s="19"/>
      <c r="F375" s="19"/>
      <c r="G375" s="19"/>
      <c r="H375" s="19"/>
      <c r="I375" s="19"/>
      <c r="J375" s="19"/>
      <c r="K375" s="19"/>
    </row>
    <row r="376">
      <c r="A376" s="19"/>
      <c r="B376" s="19"/>
      <c r="C376" s="19"/>
      <c r="D376" s="19"/>
      <c r="E376" s="19"/>
      <c r="F376" s="19"/>
      <c r="G376" s="19"/>
      <c r="H376" s="19"/>
      <c r="I376" s="19"/>
      <c r="J376" s="19"/>
      <c r="K376" s="19"/>
    </row>
    <row r="377">
      <c r="A377" s="19"/>
      <c r="B377" s="19"/>
      <c r="C377" s="19"/>
      <c r="D377" s="19"/>
      <c r="E377" s="19"/>
      <c r="F377" s="19"/>
      <c r="G377" s="19"/>
      <c r="H377" s="19"/>
      <c r="I377" s="19"/>
      <c r="J377" s="19"/>
      <c r="K377" s="19"/>
    </row>
    <row r="378">
      <c r="A378" s="19"/>
      <c r="B378" s="19"/>
      <c r="C378" s="19"/>
      <c r="D378" s="19"/>
      <c r="E378" s="19"/>
      <c r="F378" s="19"/>
      <c r="G378" s="19"/>
      <c r="H378" s="19"/>
      <c r="I378" s="19"/>
      <c r="J378" s="19"/>
      <c r="K378" s="19"/>
    </row>
    <row r="379">
      <c r="A379" s="19"/>
      <c r="B379" s="19"/>
      <c r="C379" s="19"/>
      <c r="D379" s="19"/>
      <c r="E379" s="19"/>
      <c r="F379" s="19"/>
      <c r="G379" s="19"/>
      <c r="H379" s="19"/>
      <c r="I379" s="19"/>
      <c r="J379" s="19"/>
      <c r="K379" s="19"/>
    </row>
    <row r="380">
      <c r="A380" s="19"/>
      <c r="B380" s="19"/>
      <c r="C380" s="19"/>
      <c r="D380" s="19"/>
      <c r="E380" s="19"/>
      <c r="F380" s="19"/>
      <c r="G380" s="19"/>
      <c r="H380" s="19"/>
      <c r="I380" s="19"/>
      <c r="J380" s="19"/>
      <c r="K380" s="19"/>
    </row>
    <row r="381">
      <c r="A381" s="19"/>
      <c r="B381" s="19"/>
      <c r="C381" s="19"/>
      <c r="D381" s="19"/>
      <c r="E381" s="19"/>
      <c r="F381" s="19"/>
      <c r="G381" s="19"/>
      <c r="H381" s="19"/>
      <c r="I381" s="19"/>
      <c r="J381" s="19"/>
      <c r="K381" s="19"/>
    </row>
    <row r="382">
      <c r="A382" s="19"/>
      <c r="B382" s="19"/>
      <c r="C382" s="19"/>
      <c r="D382" s="19"/>
      <c r="E382" s="19"/>
      <c r="F382" s="19"/>
      <c r="G382" s="19"/>
      <c r="H382" s="19"/>
      <c r="I382" s="19"/>
      <c r="J382" s="19"/>
      <c r="K382" s="19"/>
    </row>
    <row r="383">
      <c r="A383" s="19"/>
      <c r="B383" s="19"/>
      <c r="C383" s="19"/>
      <c r="D383" s="19"/>
      <c r="E383" s="19"/>
      <c r="F383" s="19"/>
      <c r="G383" s="19"/>
      <c r="H383" s="19"/>
      <c r="I383" s="19"/>
      <c r="J383" s="19"/>
      <c r="K383" s="19"/>
    </row>
    <row r="384">
      <c r="A384" s="19"/>
      <c r="B384" s="19"/>
      <c r="C384" s="19"/>
      <c r="D384" s="19"/>
      <c r="E384" s="19"/>
      <c r="F384" s="19"/>
      <c r="G384" s="19"/>
      <c r="H384" s="19"/>
      <c r="I384" s="19"/>
      <c r="J384" s="19"/>
      <c r="K384" s="19"/>
    </row>
    <row r="385">
      <c r="A385" s="19"/>
      <c r="B385" s="19"/>
      <c r="C385" s="19"/>
      <c r="D385" s="19"/>
      <c r="E385" s="19"/>
      <c r="F385" s="19"/>
      <c r="G385" s="19"/>
      <c r="H385" s="19"/>
      <c r="I385" s="19"/>
      <c r="J385" s="19"/>
      <c r="K385" s="19"/>
    </row>
    <row r="386">
      <c r="A386" s="19"/>
      <c r="B386" s="19"/>
      <c r="C386" s="19"/>
      <c r="D386" s="19"/>
      <c r="E386" s="19"/>
      <c r="F386" s="19"/>
      <c r="G386" s="19"/>
      <c r="H386" s="19"/>
      <c r="I386" s="19"/>
      <c r="J386" s="19"/>
      <c r="K386" s="19"/>
    </row>
    <row r="387">
      <c r="A387" s="19"/>
      <c r="B387" s="19"/>
      <c r="C387" s="19"/>
      <c r="D387" s="19"/>
      <c r="E387" s="19"/>
      <c r="F387" s="19"/>
      <c r="G387" s="19"/>
      <c r="H387" s="19"/>
      <c r="I387" s="19"/>
      <c r="J387" s="19"/>
      <c r="K387" s="19"/>
    </row>
    <row r="388">
      <c r="A388" s="19"/>
      <c r="B388" s="19"/>
      <c r="C388" s="19"/>
      <c r="D388" s="19"/>
      <c r="E388" s="19"/>
      <c r="F388" s="19"/>
      <c r="G388" s="19"/>
      <c r="H388" s="19"/>
      <c r="I388" s="19"/>
      <c r="J388" s="19"/>
      <c r="K388" s="19"/>
    </row>
    <row r="389">
      <c r="A389" s="19"/>
      <c r="B389" s="19"/>
      <c r="C389" s="19"/>
      <c r="D389" s="19"/>
      <c r="E389" s="19"/>
      <c r="F389" s="19"/>
      <c r="G389" s="19"/>
      <c r="H389" s="19"/>
      <c r="I389" s="19"/>
      <c r="J389" s="19"/>
      <c r="K389" s="19"/>
    </row>
    <row r="390">
      <c r="A390" s="19"/>
      <c r="B390" s="19"/>
      <c r="C390" s="19"/>
      <c r="D390" s="19"/>
      <c r="E390" s="19"/>
      <c r="F390" s="19"/>
      <c r="G390" s="19"/>
      <c r="H390" s="19"/>
      <c r="I390" s="19"/>
      <c r="J390" s="19"/>
      <c r="K390" s="19"/>
    </row>
    <row r="391">
      <c r="A391" s="19"/>
      <c r="B391" s="19"/>
      <c r="C391" s="19"/>
      <c r="D391" s="19"/>
      <c r="E391" s="19"/>
      <c r="F391" s="19"/>
      <c r="G391" s="19"/>
      <c r="H391" s="19"/>
      <c r="I391" s="19"/>
      <c r="J391" s="19"/>
      <c r="K391" s="19"/>
    </row>
    <row r="392">
      <c r="A392" s="19"/>
      <c r="B392" s="19"/>
      <c r="C392" s="19"/>
      <c r="D392" s="19"/>
      <c r="E392" s="19"/>
      <c r="F392" s="19"/>
      <c r="G392" s="19"/>
      <c r="H392" s="19"/>
      <c r="I392" s="19"/>
      <c r="J392" s="19"/>
      <c r="K392" s="19"/>
    </row>
    <row r="393">
      <c r="A393" s="19"/>
      <c r="B393" s="19"/>
      <c r="C393" s="19"/>
      <c r="D393" s="19"/>
      <c r="E393" s="19"/>
      <c r="F393" s="19"/>
      <c r="G393" s="19"/>
      <c r="H393" s="19"/>
      <c r="I393" s="19"/>
      <c r="J393" s="19"/>
      <c r="K393" s="19"/>
    </row>
    <row r="394">
      <c r="A394" s="19"/>
      <c r="B394" s="19"/>
      <c r="C394" s="19"/>
      <c r="D394" s="19"/>
      <c r="E394" s="19"/>
      <c r="F394" s="19"/>
      <c r="G394" s="19"/>
      <c r="H394" s="19"/>
      <c r="I394" s="19"/>
      <c r="J394" s="19"/>
      <c r="K394" s="19"/>
    </row>
    <row r="395">
      <c r="A395" s="19"/>
      <c r="B395" s="19"/>
      <c r="C395" s="19"/>
      <c r="D395" s="19"/>
      <c r="E395" s="19"/>
      <c r="F395" s="19"/>
      <c r="G395" s="19"/>
      <c r="H395" s="19"/>
      <c r="I395" s="19"/>
      <c r="J395" s="19"/>
      <c r="K395" s="19"/>
    </row>
    <row r="396">
      <c r="A396" s="19"/>
      <c r="B396" s="19"/>
      <c r="C396" s="19"/>
      <c r="D396" s="19"/>
      <c r="E396" s="19"/>
      <c r="F396" s="19"/>
      <c r="G396" s="19"/>
      <c r="H396" s="19"/>
      <c r="I396" s="19"/>
      <c r="J396" s="19"/>
      <c r="K396" s="19"/>
    </row>
    <row r="397">
      <c r="A397" s="19"/>
      <c r="B397" s="19"/>
      <c r="C397" s="19"/>
      <c r="D397" s="19"/>
      <c r="E397" s="19"/>
      <c r="F397" s="19"/>
      <c r="G397" s="19"/>
      <c r="H397" s="19"/>
      <c r="I397" s="19"/>
      <c r="J397" s="19"/>
      <c r="K397" s="19"/>
    </row>
    <row r="398">
      <c r="A398" s="19"/>
      <c r="B398" s="19"/>
      <c r="C398" s="19"/>
      <c r="D398" s="19"/>
      <c r="E398" s="19"/>
      <c r="F398" s="19"/>
      <c r="G398" s="19"/>
      <c r="H398" s="19"/>
      <c r="I398" s="19"/>
      <c r="J398" s="19"/>
      <c r="K398" s="19"/>
    </row>
    <row r="399">
      <c r="A399" s="19"/>
      <c r="B399" s="19"/>
      <c r="C399" s="19"/>
      <c r="D399" s="19"/>
      <c r="E399" s="19"/>
      <c r="F399" s="19"/>
      <c r="G399" s="19"/>
      <c r="H399" s="19"/>
      <c r="I399" s="19"/>
      <c r="J399" s="19"/>
      <c r="K399" s="19"/>
    </row>
    <row r="400">
      <c r="A400" s="19"/>
      <c r="B400" s="19"/>
      <c r="C400" s="19"/>
      <c r="D400" s="19"/>
      <c r="E400" s="19"/>
      <c r="F400" s="19"/>
      <c r="G400" s="19"/>
      <c r="H400" s="19"/>
      <c r="I400" s="19"/>
      <c r="J400" s="19"/>
      <c r="K400" s="19"/>
    </row>
    <row r="401">
      <c r="A401" s="19"/>
      <c r="B401" s="19"/>
      <c r="C401" s="19"/>
      <c r="D401" s="19"/>
      <c r="E401" s="19"/>
      <c r="F401" s="19"/>
      <c r="G401" s="19"/>
      <c r="H401" s="19"/>
      <c r="I401" s="19"/>
      <c r="J401" s="19"/>
      <c r="K401" s="19"/>
    </row>
    <row r="402">
      <c r="A402" s="19"/>
      <c r="B402" s="19"/>
      <c r="C402" s="19"/>
      <c r="D402" s="19"/>
      <c r="E402" s="19"/>
      <c r="F402" s="19"/>
      <c r="G402" s="19"/>
      <c r="H402" s="19"/>
      <c r="I402" s="19"/>
      <c r="J402" s="19"/>
      <c r="K402" s="19"/>
    </row>
    <row r="403">
      <c r="A403" s="19"/>
      <c r="B403" s="19"/>
      <c r="C403" s="19"/>
      <c r="D403" s="19"/>
      <c r="E403" s="19"/>
      <c r="F403" s="19"/>
      <c r="G403" s="19"/>
      <c r="H403" s="19"/>
      <c r="I403" s="19"/>
      <c r="J403" s="19"/>
      <c r="K403" s="19"/>
    </row>
    <row r="404">
      <c r="A404" s="19"/>
      <c r="B404" s="19"/>
      <c r="C404" s="19"/>
      <c r="D404" s="19"/>
      <c r="E404" s="19"/>
      <c r="F404" s="19"/>
      <c r="G404" s="19"/>
      <c r="H404" s="19"/>
      <c r="I404" s="19"/>
      <c r="J404" s="19"/>
      <c r="K404" s="19"/>
    </row>
    <row r="405">
      <c r="A405" s="19"/>
      <c r="B405" s="19"/>
      <c r="C405" s="19"/>
      <c r="D405" s="19"/>
      <c r="E405" s="19"/>
      <c r="F405" s="19"/>
      <c r="G405" s="19"/>
      <c r="H405" s="19"/>
      <c r="I405" s="19"/>
      <c r="J405" s="19"/>
      <c r="K405" s="19"/>
    </row>
    <row r="406">
      <c r="A406" s="19"/>
      <c r="B406" s="19"/>
      <c r="C406" s="19"/>
      <c r="D406" s="19"/>
      <c r="E406" s="19"/>
      <c r="F406" s="19"/>
      <c r="G406" s="19"/>
      <c r="H406" s="19"/>
      <c r="I406" s="19"/>
      <c r="J406" s="19"/>
      <c r="K406" s="19"/>
    </row>
    <row r="407">
      <c r="A407" s="19"/>
      <c r="B407" s="19"/>
      <c r="C407" s="19"/>
      <c r="D407" s="19"/>
      <c r="E407" s="19"/>
      <c r="F407" s="19"/>
      <c r="G407" s="19"/>
      <c r="H407" s="19"/>
      <c r="I407" s="19"/>
      <c r="J407" s="19"/>
      <c r="K407" s="19"/>
    </row>
    <row r="408">
      <c r="A408" s="19"/>
      <c r="B408" s="19"/>
      <c r="C408" s="19"/>
      <c r="D408" s="19"/>
      <c r="E408" s="19"/>
      <c r="F408" s="19"/>
      <c r="G408" s="19"/>
      <c r="H408" s="19"/>
      <c r="I408" s="19"/>
      <c r="J408" s="19"/>
      <c r="K408" s="19"/>
    </row>
    <row r="409">
      <c r="A409" s="19"/>
      <c r="B409" s="19"/>
      <c r="C409" s="19"/>
      <c r="D409" s="19"/>
      <c r="E409" s="19"/>
      <c r="F409" s="19"/>
      <c r="G409" s="19"/>
      <c r="H409" s="19"/>
      <c r="I409" s="19"/>
      <c r="J409" s="19"/>
      <c r="K409" s="19"/>
    </row>
    <row r="410">
      <c r="A410" s="19"/>
      <c r="B410" s="19"/>
      <c r="C410" s="19"/>
      <c r="D410" s="19"/>
      <c r="E410" s="19"/>
      <c r="F410" s="19"/>
      <c r="G410" s="19"/>
      <c r="H410" s="19"/>
      <c r="I410" s="19"/>
      <c r="J410" s="19"/>
      <c r="K410" s="19"/>
    </row>
    <row r="411">
      <c r="A411" s="19"/>
      <c r="B411" s="19"/>
      <c r="C411" s="19"/>
      <c r="D411" s="19"/>
      <c r="E411" s="19"/>
      <c r="F411" s="19"/>
      <c r="G411" s="19"/>
      <c r="H411" s="19"/>
      <c r="I411" s="19"/>
      <c r="J411" s="19"/>
      <c r="K411" s="19"/>
    </row>
    <row r="412">
      <c r="A412" s="19"/>
      <c r="B412" s="19"/>
      <c r="C412" s="19"/>
      <c r="D412" s="19"/>
      <c r="E412" s="19"/>
      <c r="F412" s="19"/>
      <c r="G412" s="19"/>
      <c r="H412" s="19"/>
      <c r="I412" s="19"/>
      <c r="J412" s="19"/>
      <c r="K412" s="19"/>
    </row>
    <row r="413">
      <c r="A413" s="19"/>
      <c r="B413" s="19"/>
      <c r="C413" s="19"/>
      <c r="D413" s="19"/>
      <c r="E413" s="19"/>
      <c r="F413" s="19"/>
      <c r="G413" s="19"/>
      <c r="H413" s="19"/>
      <c r="I413" s="19"/>
      <c r="J413" s="19"/>
      <c r="K413" s="19"/>
    </row>
    <row r="414">
      <c r="A414" s="19"/>
      <c r="B414" s="19"/>
      <c r="C414" s="19"/>
      <c r="D414" s="19"/>
      <c r="E414" s="19"/>
      <c r="F414" s="19"/>
      <c r="G414" s="19"/>
      <c r="H414" s="19"/>
      <c r="I414" s="19"/>
      <c r="J414" s="19"/>
      <c r="K414" s="19"/>
    </row>
    <row r="415">
      <c r="A415" s="19"/>
      <c r="B415" s="19"/>
      <c r="C415" s="19"/>
      <c r="D415" s="19"/>
      <c r="E415" s="19"/>
      <c r="F415" s="19"/>
      <c r="G415" s="19"/>
      <c r="H415" s="19"/>
      <c r="I415" s="19"/>
      <c r="J415" s="19"/>
      <c r="K415" s="19"/>
    </row>
    <row r="416">
      <c r="A416" s="19"/>
      <c r="B416" s="19"/>
      <c r="C416" s="19"/>
      <c r="D416" s="19"/>
      <c r="E416" s="19"/>
      <c r="F416" s="19"/>
      <c r="G416" s="19"/>
      <c r="H416" s="19"/>
      <c r="I416" s="19"/>
      <c r="J416" s="19"/>
      <c r="K416" s="19"/>
    </row>
    <row r="417">
      <c r="A417" s="19"/>
      <c r="B417" s="19"/>
      <c r="C417" s="19"/>
      <c r="D417" s="19"/>
      <c r="E417" s="19"/>
      <c r="F417" s="19"/>
      <c r="G417" s="19"/>
      <c r="H417" s="19"/>
      <c r="I417" s="19"/>
      <c r="J417" s="19"/>
      <c r="K417" s="19"/>
    </row>
    <row r="418">
      <c r="A418" s="19"/>
      <c r="B418" s="19"/>
      <c r="C418" s="19"/>
      <c r="D418" s="19"/>
      <c r="E418" s="19"/>
      <c r="F418" s="19"/>
      <c r="G418" s="19"/>
      <c r="H418" s="19"/>
      <c r="I418" s="19"/>
      <c r="J418" s="19"/>
      <c r="K418" s="19"/>
    </row>
    <row r="419">
      <c r="A419" s="19"/>
      <c r="B419" s="19"/>
      <c r="C419" s="19"/>
      <c r="D419" s="19"/>
      <c r="E419" s="19"/>
      <c r="F419" s="19"/>
      <c r="G419" s="19"/>
      <c r="H419" s="19"/>
      <c r="I419" s="19"/>
      <c r="J419" s="19"/>
      <c r="K419" s="19"/>
    </row>
    <row r="420">
      <c r="A420" s="19"/>
      <c r="B420" s="19"/>
      <c r="C420" s="19"/>
      <c r="D420" s="19"/>
      <c r="E420" s="19"/>
      <c r="F420" s="19"/>
      <c r="G420" s="19"/>
      <c r="H420" s="19"/>
      <c r="I420" s="19"/>
      <c r="J420" s="19"/>
      <c r="K420" s="19"/>
    </row>
    <row r="421">
      <c r="A421" s="19"/>
      <c r="B421" s="19"/>
      <c r="C421" s="19"/>
      <c r="D421" s="19"/>
      <c r="E421" s="19"/>
      <c r="F421" s="19"/>
      <c r="G421" s="19"/>
      <c r="H421" s="19"/>
      <c r="I421" s="19"/>
      <c r="J421" s="19"/>
      <c r="K421" s="19"/>
    </row>
    <row r="422">
      <c r="A422" s="19"/>
      <c r="B422" s="19"/>
      <c r="C422" s="19"/>
      <c r="D422" s="19"/>
      <c r="E422" s="19"/>
      <c r="F422" s="19"/>
      <c r="G422" s="19"/>
      <c r="H422" s="19"/>
      <c r="I422" s="19"/>
      <c r="J422" s="19"/>
      <c r="K422" s="19"/>
    </row>
    <row r="423">
      <c r="A423" s="19"/>
      <c r="B423" s="19"/>
      <c r="C423" s="19"/>
      <c r="D423" s="19"/>
      <c r="E423" s="19"/>
      <c r="F423" s="19"/>
      <c r="G423" s="19"/>
      <c r="H423" s="19"/>
      <c r="I423" s="19"/>
      <c r="J423" s="19"/>
      <c r="K423" s="19"/>
    </row>
    <row r="424">
      <c r="A424" s="19"/>
      <c r="B424" s="19"/>
      <c r="C424" s="19"/>
      <c r="D424" s="19"/>
      <c r="E424" s="19"/>
      <c r="F424" s="19"/>
      <c r="G424" s="19"/>
      <c r="H424" s="19"/>
      <c r="I424" s="19"/>
      <c r="J424" s="19"/>
      <c r="K424" s="19"/>
    </row>
    <row r="425">
      <c r="A425" s="19"/>
      <c r="B425" s="19"/>
      <c r="C425" s="19"/>
      <c r="D425" s="19"/>
      <c r="E425" s="19"/>
      <c r="F425" s="19"/>
      <c r="G425" s="19"/>
      <c r="H425" s="19"/>
      <c r="I425" s="19"/>
      <c r="J425" s="19"/>
      <c r="K425" s="19"/>
    </row>
    <row r="426">
      <c r="A426" s="19"/>
      <c r="B426" s="19"/>
      <c r="C426" s="19"/>
      <c r="D426" s="19"/>
      <c r="E426" s="19"/>
      <c r="F426" s="19"/>
      <c r="G426" s="19"/>
      <c r="H426" s="19"/>
      <c r="I426" s="19"/>
      <c r="J426" s="19"/>
      <c r="K426" s="19"/>
    </row>
    <row r="427">
      <c r="A427" s="19"/>
      <c r="B427" s="19"/>
      <c r="C427" s="19"/>
      <c r="D427" s="19"/>
      <c r="E427" s="19"/>
      <c r="F427" s="19"/>
      <c r="G427" s="19"/>
      <c r="H427" s="19"/>
      <c r="I427" s="19"/>
      <c r="J427" s="19"/>
      <c r="K427" s="19"/>
    </row>
    <row r="428">
      <c r="A428" s="19"/>
      <c r="B428" s="19"/>
      <c r="C428" s="19"/>
      <c r="D428" s="19"/>
      <c r="E428" s="19"/>
      <c r="F428" s="19"/>
      <c r="G428" s="19"/>
      <c r="H428" s="19"/>
      <c r="I428" s="19"/>
      <c r="J428" s="19"/>
      <c r="K428" s="19"/>
    </row>
    <row r="429">
      <c r="A429" s="19"/>
      <c r="B429" s="19"/>
      <c r="C429" s="19"/>
      <c r="D429" s="19"/>
      <c r="E429" s="19"/>
      <c r="F429" s="19"/>
      <c r="G429" s="19"/>
      <c r="H429" s="19"/>
      <c r="I429" s="19"/>
      <c r="J429" s="19"/>
      <c r="K429" s="19"/>
    </row>
    <row r="430">
      <c r="A430" s="19"/>
      <c r="B430" s="19"/>
      <c r="C430" s="19"/>
      <c r="D430" s="19"/>
      <c r="E430" s="19"/>
      <c r="F430" s="19"/>
      <c r="G430" s="19"/>
      <c r="H430" s="19"/>
      <c r="I430" s="19"/>
      <c r="J430" s="19"/>
      <c r="K430" s="19"/>
    </row>
    <row r="431">
      <c r="A431" s="19"/>
      <c r="B431" s="19"/>
      <c r="C431" s="19"/>
      <c r="D431" s="19"/>
      <c r="E431" s="19"/>
      <c r="F431" s="19"/>
      <c r="G431" s="19"/>
      <c r="H431" s="19"/>
      <c r="I431" s="19"/>
      <c r="J431" s="19"/>
      <c r="K431" s="19"/>
    </row>
    <row r="432">
      <c r="A432" s="19"/>
      <c r="B432" s="19"/>
      <c r="C432" s="19"/>
      <c r="D432" s="19"/>
      <c r="E432" s="19"/>
      <c r="F432" s="19"/>
      <c r="G432" s="19"/>
      <c r="H432" s="19"/>
      <c r="I432" s="19"/>
      <c r="J432" s="19"/>
      <c r="K432" s="19"/>
    </row>
    <row r="433">
      <c r="A433" s="19"/>
      <c r="B433" s="19"/>
      <c r="C433" s="19"/>
      <c r="D433" s="19"/>
      <c r="E433" s="19"/>
      <c r="F433" s="19"/>
      <c r="G433" s="19"/>
      <c r="H433" s="19"/>
      <c r="I433" s="19"/>
      <c r="J433" s="19"/>
      <c r="K433" s="19"/>
    </row>
    <row r="434">
      <c r="A434" s="19"/>
      <c r="B434" s="19"/>
      <c r="C434" s="19"/>
      <c r="D434" s="19"/>
      <c r="E434" s="19"/>
      <c r="F434" s="19"/>
      <c r="G434" s="19"/>
      <c r="H434" s="19"/>
      <c r="I434" s="19"/>
      <c r="J434" s="19"/>
      <c r="K434" s="19"/>
    </row>
    <row r="435">
      <c r="A435" s="19"/>
      <c r="B435" s="19"/>
      <c r="C435" s="19"/>
      <c r="D435" s="19"/>
      <c r="E435" s="19"/>
      <c r="F435" s="19"/>
      <c r="G435" s="19"/>
      <c r="H435" s="19"/>
      <c r="I435" s="19"/>
      <c r="J435" s="19"/>
      <c r="K435" s="19"/>
    </row>
    <row r="436">
      <c r="A436" s="19"/>
      <c r="B436" s="19"/>
      <c r="C436" s="19"/>
      <c r="D436" s="19"/>
      <c r="E436" s="19"/>
      <c r="F436" s="19"/>
      <c r="G436" s="19"/>
      <c r="H436" s="19"/>
      <c r="I436" s="19"/>
      <c r="J436" s="19"/>
      <c r="K436" s="19"/>
    </row>
    <row r="437">
      <c r="A437" s="19"/>
      <c r="B437" s="19"/>
      <c r="C437" s="19"/>
      <c r="D437" s="19"/>
      <c r="E437" s="19"/>
      <c r="F437" s="19"/>
      <c r="G437" s="19"/>
      <c r="H437" s="19"/>
      <c r="I437" s="19"/>
      <c r="J437" s="19"/>
      <c r="K437" s="19"/>
    </row>
    <row r="438">
      <c r="A438" s="19"/>
      <c r="B438" s="19"/>
      <c r="C438" s="19"/>
      <c r="D438" s="19"/>
      <c r="E438" s="19"/>
      <c r="F438" s="19"/>
      <c r="G438" s="19"/>
      <c r="H438" s="19"/>
      <c r="I438" s="19"/>
      <c r="J438" s="19"/>
      <c r="K438" s="19"/>
    </row>
    <row r="439">
      <c r="A439" s="19"/>
      <c r="B439" s="19"/>
      <c r="C439" s="19"/>
      <c r="D439" s="19"/>
      <c r="E439" s="19"/>
      <c r="F439" s="19"/>
      <c r="G439" s="19"/>
      <c r="H439" s="19"/>
      <c r="I439" s="19"/>
      <c r="J439" s="19"/>
      <c r="K439" s="19"/>
    </row>
    <row r="440">
      <c r="A440" s="19"/>
      <c r="B440" s="19"/>
      <c r="C440" s="19"/>
      <c r="D440" s="19"/>
      <c r="E440" s="19"/>
      <c r="F440" s="19"/>
      <c r="G440" s="19"/>
      <c r="H440" s="19"/>
      <c r="I440" s="19"/>
      <c r="J440" s="19"/>
      <c r="K440" s="19"/>
    </row>
    <row r="441">
      <c r="A441" s="19"/>
      <c r="B441" s="19"/>
      <c r="C441" s="19"/>
      <c r="D441" s="19"/>
      <c r="E441" s="19"/>
      <c r="F441" s="19"/>
      <c r="G441" s="19"/>
      <c r="H441" s="19"/>
      <c r="I441" s="19"/>
      <c r="J441" s="19"/>
      <c r="K441" s="19"/>
    </row>
    <row r="442">
      <c r="A442" s="19"/>
      <c r="B442" s="19"/>
      <c r="C442" s="19"/>
      <c r="D442" s="19"/>
      <c r="E442" s="19"/>
      <c r="F442" s="19"/>
      <c r="G442" s="19"/>
      <c r="H442" s="19"/>
      <c r="I442" s="19"/>
      <c r="J442" s="19"/>
      <c r="K442" s="19"/>
    </row>
    <row r="443">
      <c r="A443" s="19"/>
      <c r="B443" s="19"/>
      <c r="C443" s="19"/>
      <c r="D443" s="19"/>
      <c r="E443" s="19"/>
      <c r="F443" s="19"/>
      <c r="G443" s="19"/>
      <c r="H443" s="19"/>
      <c r="I443" s="19"/>
      <c r="J443" s="19"/>
      <c r="K443" s="19"/>
    </row>
    <row r="444">
      <c r="A444" s="19"/>
      <c r="B444" s="19"/>
      <c r="C444" s="19"/>
      <c r="D444" s="19"/>
      <c r="E444" s="19"/>
      <c r="F444" s="19"/>
      <c r="G444" s="19"/>
      <c r="H444" s="19"/>
      <c r="I444" s="19"/>
      <c r="J444" s="19"/>
      <c r="K444" s="19"/>
    </row>
    <row r="445">
      <c r="A445" s="19"/>
      <c r="B445" s="19"/>
      <c r="C445" s="19"/>
      <c r="D445" s="19"/>
      <c r="E445" s="19"/>
      <c r="F445" s="19"/>
      <c r="G445" s="19"/>
      <c r="H445" s="19"/>
      <c r="I445" s="19"/>
      <c r="J445" s="19"/>
      <c r="K445" s="19"/>
    </row>
    <row r="446">
      <c r="A446" s="19"/>
      <c r="B446" s="19"/>
      <c r="C446" s="19"/>
      <c r="D446" s="19"/>
      <c r="E446" s="19"/>
      <c r="F446" s="19"/>
      <c r="G446" s="19"/>
      <c r="H446" s="19"/>
      <c r="I446" s="19"/>
      <c r="J446" s="19"/>
      <c r="K446" s="19"/>
    </row>
    <row r="447">
      <c r="A447" s="19"/>
      <c r="B447" s="19"/>
      <c r="C447" s="19"/>
      <c r="D447" s="19"/>
      <c r="E447" s="19"/>
      <c r="F447" s="19"/>
      <c r="G447" s="19"/>
      <c r="H447" s="19"/>
      <c r="I447" s="19"/>
      <c r="J447" s="19"/>
      <c r="K447" s="19"/>
    </row>
    <row r="448">
      <c r="A448" s="19"/>
      <c r="B448" s="19"/>
      <c r="C448" s="19"/>
      <c r="D448" s="19"/>
      <c r="E448" s="19"/>
      <c r="F448" s="19"/>
      <c r="G448" s="19"/>
      <c r="H448" s="19"/>
      <c r="I448" s="19"/>
      <c r="J448" s="19"/>
      <c r="K448" s="19"/>
    </row>
    <row r="449">
      <c r="A449" s="19"/>
      <c r="B449" s="19"/>
      <c r="C449" s="19"/>
      <c r="D449" s="19"/>
      <c r="E449" s="19"/>
      <c r="F449" s="19"/>
      <c r="G449" s="19"/>
      <c r="H449" s="19"/>
      <c r="I449" s="19"/>
      <c r="J449" s="19"/>
      <c r="K449" s="19"/>
    </row>
    <row r="450">
      <c r="A450" s="19"/>
      <c r="B450" s="19"/>
      <c r="C450" s="19"/>
      <c r="D450" s="19"/>
      <c r="E450" s="19"/>
      <c r="F450" s="19"/>
      <c r="G450" s="19"/>
      <c r="H450" s="19"/>
      <c r="I450" s="19"/>
      <c r="J450" s="19"/>
      <c r="K450" s="19"/>
    </row>
    <row r="451">
      <c r="A451" s="19"/>
      <c r="B451" s="19"/>
      <c r="C451" s="19"/>
      <c r="D451" s="19"/>
      <c r="E451" s="19"/>
      <c r="F451" s="19"/>
      <c r="G451" s="19"/>
      <c r="H451" s="19"/>
      <c r="I451" s="19"/>
      <c r="J451" s="19"/>
      <c r="K451" s="19"/>
    </row>
    <row r="452">
      <c r="A452" s="19"/>
      <c r="B452" s="19"/>
      <c r="C452" s="19"/>
      <c r="D452" s="19"/>
      <c r="E452" s="19"/>
      <c r="F452" s="19"/>
      <c r="G452" s="19"/>
      <c r="H452" s="19"/>
      <c r="I452" s="19"/>
      <c r="J452" s="19"/>
      <c r="K452" s="19"/>
    </row>
    <row r="453">
      <c r="A453" s="19"/>
      <c r="B453" s="19"/>
      <c r="C453" s="19"/>
      <c r="D453" s="19"/>
      <c r="E453" s="19"/>
      <c r="F453" s="19"/>
      <c r="G453" s="19"/>
      <c r="H453" s="19"/>
      <c r="I453" s="19"/>
      <c r="J453" s="19"/>
      <c r="K453" s="19"/>
    </row>
    <row r="454">
      <c r="A454" s="19"/>
      <c r="B454" s="19"/>
      <c r="C454" s="19"/>
      <c r="D454" s="19"/>
      <c r="E454" s="19"/>
      <c r="F454" s="19"/>
      <c r="G454" s="19"/>
      <c r="H454" s="19"/>
      <c r="I454" s="19"/>
      <c r="J454" s="19"/>
      <c r="K454" s="19"/>
    </row>
    <row r="455">
      <c r="A455" s="19"/>
      <c r="B455" s="19"/>
      <c r="C455" s="19"/>
      <c r="D455" s="19"/>
      <c r="E455" s="19"/>
      <c r="F455" s="19"/>
      <c r="G455" s="19"/>
      <c r="H455" s="19"/>
      <c r="I455" s="19"/>
      <c r="J455" s="19"/>
      <c r="K455" s="19"/>
    </row>
    <row r="456">
      <c r="A456" s="19"/>
      <c r="B456" s="19"/>
      <c r="C456" s="19"/>
      <c r="D456" s="19"/>
      <c r="E456" s="19"/>
      <c r="F456" s="19"/>
      <c r="G456" s="19"/>
      <c r="H456" s="19"/>
      <c r="I456" s="19"/>
      <c r="J456" s="19"/>
      <c r="K456" s="19"/>
    </row>
    <row r="457">
      <c r="A457" s="19"/>
      <c r="B457" s="19"/>
      <c r="C457" s="19"/>
      <c r="D457" s="19"/>
      <c r="E457" s="19"/>
      <c r="F457" s="19"/>
      <c r="G457" s="19"/>
      <c r="H457" s="19"/>
      <c r="I457" s="19"/>
      <c r="J457" s="19"/>
      <c r="K457" s="19"/>
    </row>
    <row r="458">
      <c r="A458" s="19"/>
      <c r="B458" s="19"/>
      <c r="C458" s="19"/>
      <c r="D458" s="19"/>
      <c r="E458" s="19"/>
      <c r="F458" s="19"/>
      <c r="G458" s="19"/>
      <c r="H458" s="19"/>
      <c r="I458" s="19"/>
      <c r="J458" s="19"/>
      <c r="K458" s="19"/>
    </row>
    <row r="459">
      <c r="A459" s="19"/>
      <c r="B459" s="19"/>
      <c r="C459" s="19"/>
      <c r="D459" s="19"/>
      <c r="E459" s="19"/>
      <c r="F459" s="19"/>
      <c r="G459" s="19"/>
      <c r="H459" s="19"/>
      <c r="I459" s="19"/>
      <c r="J459" s="19"/>
      <c r="K459" s="19"/>
    </row>
    <row r="460">
      <c r="A460" s="19"/>
      <c r="B460" s="19"/>
      <c r="C460" s="19"/>
      <c r="D460" s="19"/>
      <c r="E460" s="19"/>
      <c r="F460" s="19"/>
      <c r="G460" s="19"/>
      <c r="H460" s="19"/>
      <c r="I460" s="19"/>
      <c r="J460" s="19"/>
      <c r="K460" s="19"/>
    </row>
    <row r="461">
      <c r="A461" s="19"/>
      <c r="B461" s="19"/>
      <c r="C461" s="19"/>
      <c r="D461" s="19"/>
      <c r="E461" s="19"/>
      <c r="F461" s="19"/>
      <c r="G461" s="19"/>
      <c r="H461" s="19"/>
      <c r="I461" s="19"/>
      <c r="J461" s="19"/>
      <c r="K461" s="19"/>
    </row>
    <row r="462">
      <c r="A462" s="19"/>
      <c r="B462" s="19"/>
      <c r="C462" s="19"/>
      <c r="D462" s="19"/>
      <c r="E462" s="19"/>
      <c r="F462" s="19"/>
      <c r="G462" s="19"/>
      <c r="H462" s="19"/>
      <c r="I462" s="19"/>
      <c r="J462" s="19"/>
      <c r="K462" s="19"/>
    </row>
    <row r="463">
      <c r="A463" s="19"/>
      <c r="B463" s="19"/>
      <c r="C463" s="19"/>
      <c r="D463" s="19"/>
      <c r="E463" s="19"/>
      <c r="F463" s="19"/>
      <c r="G463" s="19"/>
      <c r="H463" s="19"/>
      <c r="I463" s="19"/>
      <c r="J463" s="19"/>
      <c r="K463" s="19"/>
    </row>
    <row r="464">
      <c r="A464" s="19"/>
      <c r="B464" s="19"/>
      <c r="C464" s="19"/>
      <c r="D464" s="19"/>
      <c r="E464" s="19"/>
      <c r="F464" s="19"/>
      <c r="G464" s="19"/>
      <c r="H464" s="19"/>
      <c r="I464" s="19"/>
      <c r="J464" s="19"/>
      <c r="K464" s="19"/>
    </row>
    <row r="465">
      <c r="A465" s="19"/>
      <c r="B465" s="19"/>
      <c r="C465" s="19"/>
      <c r="D465" s="19"/>
      <c r="E465" s="19"/>
      <c r="F465" s="19"/>
      <c r="G465" s="19"/>
      <c r="H465" s="19"/>
      <c r="I465" s="19"/>
      <c r="J465" s="19"/>
      <c r="K465" s="19"/>
    </row>
    <row r="466">
      <c r="A466" s="19"/>
      <c r="B466" s="19"/>
      <c r="C466" s="19"/>
      <c r="D466" s="19"/>
      <c r="E466" s="19"/>
      <c r="F466" s="19"/>
      <c r="G466" s="19"/>
      <c r="H466" s="19"/>
      <c r="I466" s="19"/>
      <c r="J466" s="19"/>
      <c r="K466" s="19"/>
    </row>
    <row r="467">
      <c r="A467" s="19"/>
      <c r="B467" s="19"/>
      <c r="C467" s="19"/>
      <c r="D467" s="19"/>
      <c r="E467" s="19"/>
      <c r="F467" s="19"/>
      <c r="G467" s="19"/>
      <c r="H467" s="19"/>
      <c r="I467" s="19"/>
      <c r="J467" s="19"/>
      <c r="K467" s="19"/>
    </row>
    <row r="468">
      <c r="A468" s="19"/>
      <c r="B468" s="19"/>
      <c r="C468" s="19"/>
      <c r="D468" s="19"/>
      <c r="E468" s="19"/>
      <c r="F468" s="19"/>
      <c r="G468" s="19"/>
      <c r="H468" s="19"/>
      <c r="I468" s="19"/>
      <c r="J468" s="19"/>
      <c r="K468" s="19"/>
    </row>
    <row r="469">
      <c r="A469" s="19"/>
      <c r="B469" s="19"/>
      <c r="C469" s="19"/>
      <c r="D469" s="19"/>
      <c r="E469" s="19"/>
      <c r="F469" s="19"/>
      <c r="G469" s="19"/>
      <c r="H469" s="19"/>
      <c r="I469" s="19"/>
      <c r="J469" s="19"/>
      <c r="K469" s="19"/>
    </row>
    <row r="470">
      <c r="A470" s="19"/>
      <c r="B470" s="19"/>
      <c r="C470" s="19"/>
      <c r="D470" s="19"/>
      <c r="E470" s="19"/>
      <c r="F470" s="19"/>
      <c r="G470" s="19"/>
      <c r="H470" s="19"/>
      <c r="I470" s="19"/>
      <c r="J470" s="19"/>
      <c r="K470" s="19"/>
    </row>
    <row r="471">
      <c r="A471" s="19"/>
      <c r="B471" s="19"/>
      <c r="C471" s="19"/>
      <c r="D471" s="19"/>
      <c r="E471" s="19"/>
      <c r="F471" s="19"/>
      <c r="G471" s="19"/>
      <c r="H471" s="19"/>
      <c r="I471" s="19"/>
      <c r="J471" s="19"/>
      <c r="K471" s="19"/>
    </row>
    <row r="472">
      <c r="A472" s="19"/>
      <c r="B472" s="19"/>
      <c r="C472" s="19"/>
      <c r="D472" s="19"/>
      <c r="E472" s="19"/>
      <c r="F472" s="19"/>
      <c r="G472" s="19"/>
      <c r="H472" s="19"/>
      <c r="I472" s="19"/>
      <c r="J472" s="19"/>
      <c r="K472" s="19"/>
    </row>
    <row r="473">
      <c r="A473" s="19"/>
      <c r="B473" s="19"/>
      <c r="C473" s="19"/>
      <c r="D473" s="19"/>
      <c r="E473" s="19"/>
      <c r="F473" s="19"/>
      <c r="G473" s="19"/>
      <c r="H473" s="19"/>
      <c r="I473" s="19"/>
      <c r="J473" s="19"/>
      <c r="K473" s="19"/>
    </row>
    <row r="474">
      <c r="A474" s="19"/>
      <c r="B474" s="19"/>
      <c r="C474" s="19"/>
      <c r="D474" s="19"/>
      <c r="E474" s="19"/>
      <c r="F474" s="19"/>
      <c r="G474" s="19"/>
      <c r="H474" s="19"/>
      <c r="I474" s="19"/>
      <c r="J474" s="19"/>
      <c r="K474" s="19"/>
    </row>
    <row r="475">
      <c r="A475" s="19"/>
      <c r="B475" s="19"/>
      <c r="C475" s="19"/>
      <c r="D475" s="19"/>
      <c r="E475" s="19"/>
      <c r="F475" s="19"/>
      <c r="G475" s="19"/>
      <c r="H475" s="19"/>
      <c r="I475" s="19"/>
      <c r="J475" s="19"/>
      <c r="K475" s="19"/>
    </row>
    <row r="476">
      <c r="A476" s="19"/>
      <c r="B476" s="19"/>
      <c r="C476" s="19"/>
      <c r="D476" s="19"/>
      <c r="E476" s="19"/>
      <c r="F476" s="19"/>
      <c r="G476" s="19"/>
      <c r="H476" s="19"/>
      <c r="I476" s="19"/>
      <c r="J476" s="19"/>
      <c r="K476" s="19"/>
    </row>
    <row r="477">
      <c r="A477" s="19"/>
      <c r="B477" s="19"/>
      <c r="C477" s="19"/>
      <c r="D477" s="19"/>
      <c r="E477" s="19"/>
      <c r="F477" s="19"/>
      <c r="G477" s="19"/>
      <c r="H477" s="19"/>
      <c r="I477" s="19"/>
      <c r="J477" s="19"/>
      <c r="K477" s="19"/>
    </row>
    <row r="478">
      <c r="A478" s="19"/>
      <c r="B478" s="19"/>
      <c r="C478" s="19"/>
      <c r="D478" s="19"/>
      <c r="E478" s="19"/>
      <c r="F478" s="19"/>
      <c r="G478" s="19"/>
      <c r="H478" s="19"/>
      <c r="I478" s="19"/>
      <c r="J478" s="19"/>
      <c r="K478" s="19"/>
    </row>
    <row r="479">
      <c r="A479" s="19"/>
      <c r="B479" s="19"/>
      <c r="C479" s="19"/>
      <c r="D479" s="19"/>
      <c r="E479" s="19"/>
      <c r="F479" s="19"/>
      <c r="G479" s="19"/>
      <c r="H479" s="19"/>
      <c r="I479" s="19"/>
      <c r="J479" s="19"/>
      <c r="K479" s="19"/>
    </row>
    <row r="480">
      <c r="A480" s="19"/>
      <c r="B480" s="19"/>
      <c r="C480" s="19"/>
      <c r="D480" s="19"/>
      <c r="E480" s="19"/>
      <c r="F480" s="19"/>
      <c r="G480" s="19"/>
      <c r="H480" s="19"/>
      <c r="I480" s="19"/>
      <c r="J480" s="19"/>
      <c r="K480" s="19"/>
    </row>
    <row r="481">
      <c r="A481" s="19"/>
      <c r="B481" s="19"/>
      <c r="C481" s="19"/>
      <c r="D481" s="19"/>
      <c r="E481" s="19"/>
      <c r="F481" s="19"/>
      <c r="G481" s="19"/>
      <c r="H481" s="19"/>
      <c r="I481" s="19"/>
      <c r="J481" s="19"/>
      <c r="K481" s="19"/>
    </row>
    <row r="482">
      <c r="A482" s="19"/>
      <c r="B482" s="19"/>
      <c r="C482" s="19"/>
      <c r="D482" s="19"/>
      <c r="E482" s="19"/>
      <c r="F482" s="19"/>
      <c r="G482" s="19"/>
      <c r="H482" s="19"/>
      <c r="I482" s="19"/>
      <c r="J482" s="19"/>
      <c r="K482" s="19"/>
    </row>
    <row r="483">
      <c r="A483" s="19"/>
      <c r="B483" s="19"/>
      <c r="C483" s="19"/>
      <c r="D483" s="19"/>
      <c r="E483" s="19"/>
      <c r="F483" s="19"/>
      <c r="G483" s="19"/>
      <c r="H483" s="19"/>
      <c r="I483" s="19"/>
      <c r="J483" s="19"/>
      <c r="K483" s="19"/>
    </row>
    <row r="484">
      <c r="A484" s="19"/>
      <c r="B484" s="19"/>
      <c r="C484" s="19"/>
      <c r="D484" s="19"/>
      <c r="E484" s="19"/>
      <c r="F484" s="19"/>
      <c r="G484" s="19"/>
      <c r="H484" s="19"/>
      <c r="I484" s="19"/>
      <c r="J484" s="19"/>
      <c r="K484" s="19"/>
    </row>
    <row r="485">
      <c r="A485" s="19"/>
      <c r="B485" s="19"/>
      <c r="C485" s="19"/>
      <c r="D485" s="19"/>
      <c r="E485" s="19"/>
      <c r="F485" s="19"/>
      <c r="G485" s="19"/>
      <c r="H485" s="19"/>
      <c r="I485" s="19"/>
      <c r="J485" s="19"/>
      <c r="K485" s="19"/>
    </row>
    <row r="486">
      <c r="A486" s="19"/>
      <c r="B486" s="19"/>
      <c r="C486" s="19"/>
      <c r="D486" s="19"/>
      <c r="E486" s="19"/>
      <c r="F486" s="19"/>
      <c r="G486" s="19"/>
      <c r="H486" s="19"/>
      <c r="I486" s="19"/>
      <c r="J486" s="19"/>
      <c r="K486" s="19"/>
    </row>
    <row r="487">
      <c r="A487" s="19"/>
      <c r="B487" s="19"/>
      <c r="C487" s="19"/>
      <c r="D487" s="19"/>
      <c r="E487" s="19"/>
      <c r="F487" s="19"/>
      <c r="G487" s="19"/>
      <c r="H487" s="19"/>
      <c r="I487" s="19"/>
      <c r="J487" s="19"/>
      <c r="K487" s="19"/>
    </row>
    <row r="488">
      <c r="A488" s="19"/>
      <c r="B488" s="19"/>
      <c r="C488" s="19"/>
      <c r="D488" s="19"/>
      <c r="E488" s="19"/>
      <c r="F488" s="19"/>
      <c r="G488" s="19"/>
      <c r="H488" s="19"/>
      <c r="I488" s="19"/>
      <c r="J488" s="19"/>
      <c r="K488" s="19"/>
    </row>
    <row r="489">
      <c r="A489" s="19"/>
      <c r="B489" s="19"/>
      <c r="C489" s="19"/>
      <c r="D489" s="19"/>
      <c r="E489" s="19"/>
      <c r="F489" s="19"/>
      <c r="G489" s="19"/>
      <c r="H489" s="19"/>
      <c r="I489" s="19"/>
      <c r="J489" s="19"/>
      <c r="K489" s="19"/>
    </row>
    <row r="490">
      <c r="A490" s="19"/>
      <c r="B490" s="19"/>
      <c r="C490" s="19"/>
      <c r="D490" s="19"/>
      <c r="E490" s="19"/>
      <c r="F490" s="19"/>
      <c r="G490" s="19"/>
      <c r="H490" s="19"/>
      <c r="I490" s="19"/>
      <c r="J490" s="19"/>
      <c r="K490" s="19"/>
    </row>
    <row r="491">
      <c r="A491" s="19"/>
      <c r="B491" s="19"/>
      <c r="C491" s="19"/>
      <c r="D491" s="19"/>
      <c r="E491" s="19"/>
      <c r="F491" s="19"/>
      <c r="G491" s="19"/>
      <c r="H491" s="19"/>
      <c r="I491" s="19"/>
      <c r="J491" s="19"/>
      <c r="K491" s="19"/>
    </row>
    <row r="492">
      <c r="A492" s="19"/>
      <c r="B492" s="19"/>
      <c r="C492" s="19"/>
      <c r="D492" s="19"/>
      <c r="E492" s="19"/>
      <c r="F492" s="19"/>
      <c r="G492" s="19"/>
      <c r="H492" s="19"/>
      <c r="I492" s="19"/>
      <c r="J492" s="19"/>
      <c r="K492" s="19"/>
    </row>
    <row r="493">
      <c r="A493" s="19"/>
      <c r="B493" s="19"/>
      <c r="C493" s="19"/>
      <c r="D493" s="19"/>
      <c r="E493" s="19"/>
      <c r="F493" s="19"/>
      <c r="G493" s="19"/>
      <c r="H493" s="19"/>
      <c r="I493" s="19"/>
      <c r="J493" s="19"/>
      <c r="K493" s="19"/>
    </row>
    <row r="494">
      <c r="A494" s="19"/>
      <c r="B494" s="19"/>
      <c r="C494" s="19"/>
      <c r="D494" s="19"/>
      <c r="E494" s="19"/>
      <c r="F494" s="19"/>
      <c r="G494" s="19"/>
      <c r="H494" s="19"/>
      <c r="I494" s="19"/>
      <c r="J494" s="19"/>
      <c r="K494" s="19"/>
    </row>
    <row r="495">
      <c r="A495" s="19"/>
      <c r="B495" s="19"/>
      <c r="C495" s="19"/>
      <c r="D495" s="19"/>
      <c r="E495" s="19"/>
      <c r="F495" s="19"/>
      <c r="G495" s="19"/>
      <c r="H495" s="19"/>
      <c r="I495" s="19"/>
      <c r="J495" s="19"/>
      <c r="K495" s="19"/>
    </row>
    <row r="496">
      <c r="A496" s="19"/>
      <c r="B496" s="19"/>
      <c r="C496" s="19"/>
      <c r="D496" s="19"/>
      <c r="E496" s="19"/>
      <c r="F496" s="19"/>
      <c r="G496" s="19"/>
      <c r="H496" s="19"/>
      <c r="I496" s="19"/>
      <c r="J496" s="19"/>
      <c r="K496" s="19"/>
    </row>
    <row r="497">
      <c r="A497" s="19"/>
      <c r="B497" s="19"/>
      <c r="C497" s="19"/>
      <c r="D497" s="19"/>
      <c r="E497" s="19"/>
      <c r="F497" s="19"/>
      <c r="G497" s="19"/>
      <c r="H497" s="19"/>
      <c r="I497" s="19"/>
      <c r="J497" s="19"/>
      <c r="K497" s="19"/>
    </row>
    <row r="498">
      <c r="A498" s="19"/>
      <c r="B498" s="19"/>
      <c r="C498" s="19"/>
      <c r="D498" s="19"/>
      <c r="E498" s="19"/>
      <c r="F498" s="19"/>
      <c r="G498" s="19"/>
      <c r="H498" s="19"/>
      <c r="I498" s="19"/>
      <c r="J498" s="19"/>
      <c r="K498" s="19"/>
    </row>
    <row r="499">
      <c r="A499" s="19"/>
      <c r="B499" s="19"/>
      <c r="C499" s="19"/>
      <c r="D499" s="19"/>
      <c r="E499" s="19"/>
      <c r="F499" s="19"/>
      <c r="G499" s="19"/>
      <c r="H499" s="19"/>
      <c r="I499" s="19"/>
      <c r="J499" s="19"/>
      <c r="K499" s="19"/>
    </row>
    <row r="500">
      <c r="A500" s="19"/>
      <c r="B500" s="19"/>
      <c r="C500" s="19"/>
      <c r="D500" s="19"/>
      <c r="E500" s="19"/>
      <c r="F500" s="19"/>
      <c r="G500" s="19"/>
      <c r="H500" s="19"/>
      <c r="I500" s="19"/>
      <c r="J500" s="19"/>
      <c r="K500" s="19"/>
    </row>
    <row r="501">
      <c r="A501" s="19"/>
      <c r="B501" s="19"/>
      <c r="C501" s="19"/>
      <c r="D501" s="19"/>
      <c r="E501" s="19"/>
      <c r="F501" s="19"/>
      <c r="G501" s="19"/>
      <c r="H501" s="19"/>
      <c r="I501" s="19"/>
      <c r="J501" s="19"/>
      <c r="K501" s="19"/>
    </row>
    <row r="502">
      <c r="A502" s="19"/>
      <c r="B502" s="19"/>
      <c r="C502" s="19"/>
      <c r="D502" s="19"/>
      <c r="E502" s="19"/>
      <c r="F502" s="19"/>
      <c r="G502" s="19"/>
      <c r="H502" s="19"/>
      <c r="I502" s="19"/>
      <c r="J502" s="19"/>
      <c r="K502" s="19"/>
    </row>
    <row r="503">
      <c r="A503" s="19"/>
      <c r="B503" s="19"/>
      <c r="C503" s="19"/>
      <c r="D503" s="19"/>
      <c r="E503" s="19"/>
      <c r="F503" s="19"/>
      <c r="G503" s="19"/>
      <c r="H503" s="19"/>
      <c r="I503" s="19"/>
      <c r="J503" s="19"/>
      <c r="K503" s="19"/>
    </row>
    <row r="504">
      <c r="A504" s="19"/>
      <c r="B504" s="19"/>
      <c r="C504" s="19"/>
      <c r="D504" s="19"/>
      <c r="E504" s="19"/>
      <c r="F504" s="19"/>
      <c r="G504" s="19"/>
      <c r="H504" s="19"/>
      <c r="I504" s="19"/>
      <c r="J504" s="19"/>
      <c r="K504" s="19"/>
    </row>
    <row r="505">
      <c r="A505" s="19"/>
      <c r="B505" s="19"/>
      <c r="C505" s="19"/>
      <c r="D505" s="19"/>
      <c r="E505" s="19"/>
      <c r="F505" s="19"/>
      <c r="G505" s="19"/>
      <c r="H505" s="19"/>
      <c r="I505" s="19"/>
      <c r="J505" s="19"/>
      <c r="K505" s="19"/>
    </row>
    <row r="506">
      <c r="A506" s="19"/>
      <c r="B506" s="19"/>
      <c r="C506" s="19"/>
      <c r="D506" s="19"/>
      <c r="E506" s="19"/>
      <c r="F506" s="19"/>
      <c r="G506" s="19"/>
      <c r="H506" s="19"/>
      <c r="I506" s="19"/>
      <c r="J506" s="19"/>
      <c r="K506" s="19"/>
    </row>
    <row r="507">
      <c r="A507" s="19"/>
      <c r="B507" s="19"/>
      <c r="C507" s="19"/>
      <c r="D507" s="19"/>
      <c r="E507" s="19"/>
      <c r="F507" s="19"/>
      <c r="G507" s="19"/>
      <c r="H507" s="19"/>
      <c r="I507" s="19"/>
      <c r="J507" s="19"/>
      <c r="K507" s="19"/>
    </row>
    <row r="508">
      <c r="A508" s="19"/>
      <c r="B508" s="19"/>
      <c r="C508" s="19"/>
      <c r="D508" s="19"/>
      <c r="E508" s="19"/>
      <c r="F508" s="19"/>
      <c r="G508" s="19"/>
      <c r="H508" s="19"/>
      <c r="I508" s="19"/>
      <c r="J508" s="19"/>
      <c r="K508" s="19"/>
    </row>
    <row r="509">
      <c r="A509" s="19"/>
      <c r="B509" s="19"/>
      <c r="C509" s="19"/>
      <c r="D509" s="19"/>
      <c r="E509" s="19"/>
      <c r="F509" s="19"/>
      <c r="G509" s="19"/>
      <c r="H509" s="19"/>
      <c r="I509" s="19"/>
      <c r="J509" s="19"/>
      <c r="K509" s="19"/>
    </row>
    <row r="510">
      <c r="A510" s="19"/>
      <c r="B510" s="19"/>
      <c r="C510" s="19"/>
      <c r="D510" s="19"/>
      <c r="E510" s="19"/>
      <c r="F510" s="19"/>
      <c r="G510" s="19"/>
      <c r="H510" s="19"/>
      <c r="I510" s="19"/>
      <c r="J510" s="19"/>
      <c r="K510" s="19"/>
    </row>
    <row r="511">
      <c r="A511" s="19"/>
      <c r="B511" s="19"/>
      <c r="C511" s="19"/>
      <c r="D511" s="19"/>
      <c r="E511" s="19"/>
      <c r="F511" s="19"/>
      <c r="G511" s="19"/>
      <c r="H511" s="19"/>
      <c r="I511" s="19"/>
      <c r="J511" s="19"/>
      <c r="K511" s="19"/>
    </row>
    <row r="512">
      <c r="A512" s="19"/>
      <c r="B512" s="19"/>
      <c r="C512" s="19"/>
      <c r="D512" s="19"/>
      <c r="E512" s="19"/>
      <c r="F512" s="19"/>
      <c r="G512" s="19"/>
      <c r="H512" s="19"/>
      <c r="I512" s="19"/>
      <c r="J512" s="19"/>
      <c r="K512" s="19"/>
    </row>
    <row r="513">
      <c r="A513" s="19"/>
      <c r="B513" s="19"/>
      <c r="C513" s="19"/>
      <c r="D513" s="19"/>
      <c r="E513" s="19"/>
      <c r="F513" s="19"/>
      <c r="G513" s="19"/>
      <c r="H513" s="19"/>
      <c r="I513" s="19"/>
      <c r="J513" s="19"/>
      <c r="K513" s="19"/>
    </row>
    <row r="514">
      <c r="A514" s="19"/>
      <c r="B514" s="19"/>
      <c r="C514" s="19"/>
      <c r="D514" s="19"/>
      <c r="E514" s="19"/>
      <c r="F514" s="19"/>
      <c r="G514" s="19"/>
      <c r="H514" s="19"/>
      <c r="I514" s="19"/>
      <c r="J514" s="19"/>
      <c r="K514" s="19"/>
    </row>
    <row r="515">
      <c r="A515" s="19"/>
      <c r="B515" s="19"/>
      <c r="C515" s="19"/>
      <c r="D515" s="19"/>
      <c r="E515" s="19"/>
      <c r="F515" s="19"/>
      <c r="G515" s="19"/>
      <c r="H515" s="19"/>
      <c r="I515" s="19"/>
      <c r="J515" s="19"/>
      <c r="K515" s="19"/>
    </row>
    <row r="516">
      <c r="A516" s="19"/>
      <c r="B516" s="19"/>
      <c r="C516" s="19"/>
      <c r="D516" s="19"/>
      <c r="E516" s="19"/>
      <c r="F516" s="19"/>
      <c r="G516" s="19"/>
      <c r="H516" s="19"/>
      <c r="I516" s="19"/>
      <c r="J516" s="19"/>
      <c r="K516" s="19"/>
    </row>
    <row r="517">
      <c r="A517" s="19"/>
      <c r="B517" s="19"/>
      <c r="C517" s="19"/>
      <c r="D517" s="19"/>
      <c r="E517" s="19"/>
      <c r="F517" s="19"/>
      <c r="G517" s="19"/>
      <c r="H517" s="19"/>
      <c r="I517" s="19"/>
      <c r="J517" s="19"/>
      <c r="K517" s="19"/>
    </row>
    <row r="518">
      <c r="A518" s="19"/>
      <c r="B518" s="19"/>
      <c r="C518" s="19"/>
      <c r="D518" s="19"/>
      <c r="E518" s="19"/>
      <c r="F518" s="19"/>
      <c r="G518" s="19"/>
      <c r="H518" s="19"/>
      <c r="I518" s="19"/>
      <c r="J518" s="19"/>
      <c r="K518" s="19"/>
    </row>
    <row r="519">
      <c r="A519" s="19"/>
      <c r="B519" s="19"/>
      <c r="C519" s="19"/>
      <c r="D519" s="19"/>
      <c r="E519" s="19"/>
      <c r="F519" s="19"/>
      <c r="G519" s="19"/>
      <c r="H519" s="19"/>
      <c r="I519" s="19"/>
      <c r="J519" s="19"/>
      <c r="K519" s="19"/>
    </row>
    <row r="520">
      <c r="A520" s="19"/>
      <c r="B520" s="19"/>
      <c r="C520" s="19"/>
      <c r="D520" s="19"/>
      <c r="E520" s="19"/>
      <c r="F520" s="19"/>
      <c r="G520" s="19"/>
      <c r="H520" s="19"/>
      <c r="I520" s="19"/>
      <c r="J520" s="19"/>
      <c r="K520" s="19"/>
    </row>
    <row r="521">
      <c r="A521" s="19"/>
      <c r="B521" s="19"/>
      <c r="C521" s="19"/>
      <c r="D521" s="19"/>
      <c r="E521" s="19"/>
      <c r="F521" s="19"/>
      <c r="G521" s="19"/>
      <c r="H521" s="19"/>
      <c r="I521" s="19"/>
      <c r="J521" s="19"/>
      <c r="K521" s="19"/>
    </row>
    <row r="522">
      <c r="A522" s="19"/>
      <c r="B522" s="19"/>
      <c r="C522" s="19"/>
      <c r="D522" s="19"/>
      <c r="E522" s="19"/>
      <c r="F522" s="19"/>
      <c r="G522" s="19"/>
      <c r="H522" s="19"/>
      <c r="I522" s="19"/>
      <c r="J522" s="19"/>
      <c r="K522" s="19"/>
    </row>
    <row r="523">
      <c r="A523" s="19"/>
      <c r="B523" s="19"/>
      <c r="C523" s="19"/>
      <c r="D523" s="19"/>
      <c r="E523" s="19"/>
      <c r="F523" s="19"/>
      <c r="G523" s="19"/>
      <c r="H523" s="19"/>
      <c r="I523" s="19"/>
      <c r="J523" s="19"/>
      <c r="K523" s="19"/>
    </row>
    <row r="524">
      <c r="A524" s="19"/>
      <c r="B524" s="19"/>
      <c r="C524" s="19"/>
      <c r="D524" s="19"/>
      <c r="E524" s="19"/>
      <c r="F524" s="19"/>
      <c r="G524" s="19"/>
      <c r="H524" s="19"/>
      <c r="I524" s="19"/>
      <c r="J524" s="19"/>
      <c r="K524" s="19"/>
    </row>
    <row r="525">
      <c r="A525" s="19"/>
      <c r="B525" s="19"/>
      <c r="C525" s="19"/>
      <c r="D525" s="19"/>
      <c r="E525" s="19"/>
      <c r="F525" s="19"/>
      <c r="G525" s="19"/>
      <c r="H525" s="19"/>
      <c r="I525" s="19"/>
      <c r="J525" s="19"/>
      <c r="K525" s="19"/>
    </row>
    <row r="526">
      <c r="A526" s="19"/>
      <c r="B526" s="19"/>
      <c r="C526" s="19"/>
      <c r="D526" s="19"/>
      <c r="E526" s="19"/>
      <c r="F526" s="19"/>
      <c r="G526" s="19"/>
      <c r="H526" s="19"/>
      <c r="I526" s="19"/>
      <c r="J526" s="19"/>
      <c r="K526" s="19"/>
    </row>
    <row r="527">
      <c r="A527" s="19"/>
      <c r="B527" s="19"/>
      <c r="C527" s="19"/>
      <c r="D527" s="19"/>
      <c r="E527" s="19"/>
      <c r="F527" s="19"/>
      <c r="G527" s="19"/>
      <c r="H527" s="19"/>
      <c r="I527" s="19"/>
      <c r="J527" s="19"/>
      <c r="K527" s="19"/>
    </row>
    <row r="528">
      <c r="A528" s="19"/>
      <c r="B528" s="19"/>
      <c r="C528" s="19"/>
      <c r="D528" s="19"/>
      <c r="E528" s="19"/>
      <c r="F528" s="19"/>
      <c r="G528" s="19"/>
      <c r="H528" s="19"/>
      <c r="I528" s="19"/>
      <c r="J528" s="19"/>
      <c r="K528" s="19"/>
    </row>
    <row r="529">
      <c r="A529" s="19"/>
      <c r="B529" s="19"/>
      <c r="C529" s="19"/>
      <c r="D529" s="19"/>
      <c r="E529" s="19"/>
      <c r="F529" s="19"/>
      <c r="G529" s="19"/>
      <c r="H529" s="19"/>
      <c r="I529" s="19"/>
      <c r="J529" s="19"/>
      <c r="K529" s="19"/>
    </row>
    <row r="530">
      <c r="A530" s="19"/>
      <c r="B530" s="19"/>
      <c r="C530" s="19"/>
      <c r="D530" s="19"/>
      <c r="E530" s="19"/>
      <c r="F530" s="19"/>
      <c r="G530" s="19"/>
      <c r="H530" s="19"/>
      <c r="I530" s="19"/>
      <c r="J530" s="19"/>
      <c r="K530" s="19"/>
    </row>
    <row r="531">
      <c r="A531" s="19"/>
      <c r="B531" s="19"/>
      <c r="C531" s="19"/>
      <c r="D531" s="19"/>
      <c r="E531" s="19"/>
      <c r="F531" s="19"/>
      <c r="G531" s="19"/>
      <c r="H531" s="19"/>
      <c r="I531" s="19"/>
      <c r="J531" s="19"/>
      <c r="K531" s="19"/>
    </row>
    <row r="532">
      <c r="A532" s="19"/>
      <c r="B532" s="19"/>
      <c r="C532" s="19"/>
      <c r="D532" s="19"/>
      <c r="E532" s="19"/>
      <c r="F532" s="19"/>
      <c r="G532" s="19"/>
      <c r="H532" s="19"/>
      <c r="I532" s="19"/>
      <c r="J532" s="19"/>
      <c r="K532" s="19"/>
    </row>
    <row r="533">
      <c r="A533" s="19"/>
      <c r="B533" s="19"/>
      <c r="C533" s="19"/>
      <c r="D533" s="19"/>
      <c r="E533" s="19"/>
      <c r="F533" s="19"/>
      <c r="G533" s="19"/>
      <c r="H533" s="19"/>
      <c r="I533" s="19"/>
      <c r="J533" s="19"/>
      <c r="K533" s="19"/>
    </row>
    <row r="534">
      <c r="A534" s="19"/>
      <c r="B534" s="19"/>
      <c r="C534" s="19"/>
      <c r="D534" s="19"/>
      <c r="E534" s="19"/>
      <c r="F534" s="19"/>
      <c r="G534" s="19"/>
      <c r="H534" s="19"/>
      <c r="I534" s="19"/>
      <c r="J534" s="19"/>
      <c r="K534" s="19"/>
    </row>
    <row r="535">
      <c r="A535" s="19"/>
      <c r="B535" s="19"/>
      <c r="C535" s="19"/>
      <c r="D535" s="19"/>
      <c r="E535" s="19"/>
      <c r="F535" s="19"/>
      <c r="G535" s="19"/>
      <c r="H535" s="19"/>
      <c r="I535" s="19"/>
      <c r="J535" s="19"/>
      <c r="K535" s="19"/>
    </row>
    <row r="536">
      <c r="A536" s="19"/>
      <c r="B536" s="19"/>
      <c r="C536" s="19"/>
      <c r="D536" s="19"/>
      <c r="E536" s="19"/>
      <c r="F536" s="19"/>
      <c r="G536" s="19"/>
      <c r="H536" s="19"/>
      <c r="I536" s="19"/>
      <c r="J536" s="19"/>
      <c r="K536" s="19"/>
    </row>
    <row r="537">
      <c r="A537" s="19"/>
      <c r="B537" s="19"/>
      <c r="C537" s="19"/>
      <c r="D537" s="19"/>
      <c r="E537" s="19"/>
      <c r="F537" s="19"/>
      <c r="G537" s="19"/>
      <c r="H537" s="19"/>
      <c r="I537" s="19"/>
      <c r="J537" s="19"/>
      <c r="K537" s="19"/>
    </row>
    <row r="538">
      <c r="A538" s="19"/>
      <c r="B538" s="19"/>
      <c r="C538" s="19"/>
      <c r="D538" s="19"/>
      <c r="E538" s="19"/>
      <c r="F538" s="19"/>
      <c r="G538" s="19"/>
      <c r="H538" s="19"/>
      <c r="I538" s="19"/>
      <c r="J538" s="19"/>
      <c r="K538" s="19"/>
    </row>
    <row r="539">
      <c r="A539" s="19"/>
      <c r="B539" s="19"/>
      <c r="C539" s="19"/>
      <c r="D539" s="19"/>
      <c r="E539" s="19"/>
      <c r="F539" s="19"/>
      <c r="G539" s="19"/>
      <c r="H539" s="19"/>
      <c r="I539" s="19"/>
      <c r="J539" s="19"/>
      <c r="K539" s="19"/>
    </row>
    <row r="540">
      <c r="A540" s="19"/>
      <c r="B540" s="19"/>
      <c r="C540" s="19"/>
      <c r="D540" s="19"/>
      <c r="E540" s="19"/>
      <c r="F540" s="19"/>
      <c r="G540" s="19"/>
      <c r="H540" s="19"/>
      <c r="I540" s="19"/>
      <c r="J540" s="19"/>
      <c r="K540" s="19"/>
    </row>
    <row r="541">
      <c r="A541" s="19"/>
      <c r="B541" s="19"/>
      <c r="C541" s="19"/>
      <c r="D541" s="19"/>
      <c r="E541" s="19"/>
      <c r="F541" s="19"/>
      <c r="G541" s="19"/>
      <c r="H541" s="19"/>
      <c r="I541" s="19"/>
      <c r="J541" s="19"/>
      <c r="K541" s="19"/>
    </row>
    <row r="542">
      <c r="A542" s="19"/>
      <c r="B542" s="19"/>
      <c r="C542" s="19"/>
      <c r="D542" s="19"/>
      <c r="E542" s="19"/>
      <c r="F542" s="19"/>
      <c r="G542" s="19"/>
      <c r="H542" s="19"/>
      <c r="I542" s="19"/>
      <c r="J542" s="19"/>
      <c r="K542" s="19"/>
    </row>
    <row r="543">
      <c r="A543" s="19"/>
      <c r="B543" s="19"/>
      <c r="C543" s="19"/>
      <c r="D543" s="19"/>
      <c r="E543" s="19"/>
      <c r="F543" s="19"/>
      <c r="G543" s="19"/>
      <c r="H543" s="19"/>
      <c r="I543" s="19"/>
      <c r="J543" s="19"/>
      <c r="K543" s="19"/>
    </row>
    <row r="544">
      <c r="A544" s="19"/>
      <c r="B544" s="19"/>
      <c r="C544" s="19"/>
      <c r="D544" s="19"/>
      <c r="E544" s="19"/>
      <c r="F544" s="19"/>
      <c r="G544" s="19"/>
      <c r="H544" s="19"/>
      <c r="I544" s="19"/>
      <c r="J544" s="19"/>
      <c r="K544" s="19"/>
    </row>
    <row r="545">
      <c r="A545" s="19"/>
      <c r="B545" s="19"/>
      <c r="C545" s="19"/>
      <c r="D545" s="19"/>
      <c r="E545" s="19"/>
      <c r="F545" s="19"/>
      <c r="G545" s="19"/>
      <c r="H545" s="19"/>
      <c r="I545" s="19"/>
      <c r="J545" s="19"/>
      <c r="K545" s="19"/>
    </row>
    <row r="546">
      <c r="A546" s="19"/>
      <c r="B546" s="19"/>
      <c r="C546" s="19"/>
      <c r="D546" s="19"/>
      <c r="E546" s="19"/>
      <c r="F546" s="19"/>
      <c r="G546" s="19"/>
      <c r="H546" s="19"/>
      <c r="I546" s="19"/>
      <c r="J546" s="19"/>
      <c r="K546" s="19"/>
    </row>
    <row r="547">
      <c r="A547" s="19"/>
      <c r="B547" s="19"/>
      <c r="C547" s="19"/>
      <c r="D547" s="19"/>
      <c r="E547" s="19"/>
      <c r="F547" s="19"/>
      <c r="G547" s="19"/>
      <c r="H547" s="19"/>
      <c r="I547" s="19"/>
      <c r="J547" s="19"/>
      <c r="K547" s="19"/>
    </row>
    <row r="548">
      <c r="A548" s="19"/>
      <c r="B548" s="19"/>
      <c r="C548" s="19"/>
      <c r="D548" s="19"/>
      <c r="E548" s="19"/>
      <c r="F548" s="19"/>
      <c r="G548" s="19"/>
      <c r="H548" s="19"/>
      <c r="I548" s="19"/>
      <c r="J548" s="19"/>
      <c r="K548" s="19"/>
    </row>
    <row r="549">
      <c r="A549" s="19"/>
      <c r="B549" s="19"/>
      <c r="C549" s="19"/>
      <c r="D549" s="19"/>
      <c r="E549" s="19"/>
      <c r="F549" s="19"/>
      <c r="G549" s="19"/>
      <c r="H549" s="19"/>
      <c r="I549" s="19"/>
      <c r="J549" s="19"/>
      <c r="K549" s="19"/>
    </row>
    <row r="550">
      <c r="A550" s="19"/>
      <c r="B550" s="19"/>
      <c r="C550" s="19"/>
      <c r="D550" s="19"/>
      <c r="E550" s="19"/>
      <c r="F550" s="19"/>
      <c r="G550" s="19"/>
      <c r="H550" s="19"/>
      <c r="I550" s="19"/>
      <c r="J550" s="19"/>
      <c r="K550" s="19"/>
    </row>
    <row r="551">
      <c r="A551" s="19"/>
      <c r="B551" s="19"/>
      <c r="C551" s="19"/>
      <c r="D551" s="19"/>
      <c r="E551" s="19"/>
      <c r="F551" s="19"/>
      <c r="G551" s="19"/>
      <c r="H551" s="19"/>
      <c r="I551" s="19"/>
      <c r="J551" s="19"/>
      <c r="K551" s="19"/>
    </row>
    <row r="552">
      <c r="A552" s="19"/>
      <c r="B552" s="19"/>
      <c r="C552" s="19"/>
      <c r="D552" s="19"/>
      <c r="E552" s="19"/>
      <c r="F552" s="19"/>
      <c r="G552" s="19"/>
      <c r="H552" s="19"/>
      <c r="I552" s="19"/>
      <c r="J552" s="19"/>
      <c r="K552" s="19"/>
    </row>
    <row r="553">
      <c r="A553" s="19"/>
      <c r="B553" s="19"/>
      <c r="C553" s="19"/>
      <c r="D553" s="19"/>
      <c r="E553" s="19"/>
      <c r="F553" s="19"/>
      <c r="G553" s="19"/>
      <c r="H553" s="19"/>
      <c r="I553" s="19"/>
      <c r="J553" s="19"/>
      <c r="K553" s="19"/>
    </row>
    <row r="554">
      <c r="A554" s="19"/>
      <c r="B554" s="19"/>
      <c r="C554" s="19"/>
      <c r="D554" s="19"/>
      <c r="E554" s="19"/>
      <c r="F554" s="19"/>
      <c r="G554" s="19"/>
      <c r="H554" s="19"/>
      <c r="I554" s="19"/>
      <c r="J554" s="19"/>
      <c r="K554" s="19"/>
    </row>
    <row r="555">
      <c r="A555" s="19"/>
      <c r="B555" s="19"/>
      <c r="C555" s="19"/>
      <c r="D555" s="19"/>
      <c r="E555" s="19"/>
      <c r="F555" s="19"/>
      <c r="G555" s="19"/>
      <c r="H555" s="19"/>
      <c r="I555" s="19"/>
      <c r="J555" s="19"/>
      <c r="K555" s="19"/>
    </row>
    <row r="556">
      <c r="A556" s="19"/>
      <c r="B556" s="19"/>
      <c r="C556" s="19"/>
      <c r="D556" s="19"/>
      <c r="E556" s="19"/>
      <c r="F556" s="19"/>
      <c r="G556" s="19"/>
      <c r="H556" s="19"/>
      <c r="I556" s="19"/>
      <c r="J556" s="19"/>
      <c r="K556" s="19"/>
    </row>
    <row r="557">
      <c r="A557" s="19"/>
      <c r="B557" s="19"/>
      <c r="C557" s="19"/>
      <c r="D557" s="19"/>
      <c r="E557" s="19"/>
      <c r="F557" s="19"/>
      <c r="G557" s="19"/>
      <c r="H557" s="19"/>
      <c r="I557" s="19"/>
      <c r="J557" s="19"/>
      <c r="K557" s="19"/>
    </row>
    <row r="558">
      <c r="A558" s="19"/>
      <c r="B558" s="19"/>
      <c r="C558" s="19"/>
      <c r="D558" s="19"/>
      <c r="E558" s="19"/>
      <c r="F558" s="19"/>
      <c r="G558" s="19"/>
      <c r="H558" s="19"/>
      <c r="I558" s="19"/>
      <c r="J558" s="19"/>
      <c r="K558" s="19"/>
    </row>
    <row r="559">
      <c r="A559" s="19"/>
      <c r="B559" s="19"/>
      <c r="C559" s="19"/>
      <c r="D559" s="19"/>
      <c r="E559" s="19"/>
      <c r="F559" s="19"/>
      <c r="G559" s="19"/>
      <c r="H559" s="19"/>
      <c r="I559" s="19"/>
      <c r="J559" s="19"/>
      <c r="K559" s="19"/>
    </row>
    <row r="560">
      <c r="A560" s="19"/>
      <c r="B560" s="19"/>
      <c r="C560" s="19"/>
      <c r="D560" s="19"/>
      <c r="E560" s="19"/>
      <c r="F560" s="19"/>
      <c r="G560" s="19"/>
      <c r="H560" s="19"/>
      <c r="I560" s="19"/>
      <c r="J560" s="19"/>
      <c r="K560" s="19"/>
    </row>
    <row r="561">
      <c r="A561" s="19"/>
      <c r="B561" s="19"/>
      <c r="C561" s="19"/>
      <c r="D561" s="19"/>
      <c r="E561" s="19"/>
      <c r="F561" s="19"/>
      <c r="G561" s="19"/>
      <c r="H561" s="19"/>
      <c r="I561" s="19"/>
      <c r="J561" s="19"/>
      <c r="K561" s="19"/>
    </row>
    <row r="562">
      <c r="A562" s="19"/>
      <c r="B562" s="19"/>
      <c r="C562" s="19"/>
      <c r="D562" s="19"/>
      <c r="E562" s="19"/>
      <c r="F562" s="19"/>
      <c r="G562" s="19"/>
      <c r="H562" s="19"/>
      <c r="I562" s="19"/>
      <c r="J562" s="19"/>
      <c r="K562" s="19"/>
    </row>
    <row r="563">
      <c r="A563" s="19"/>
      <c r="B563" s="19"/>
      <c r="C563" s="19"/>
      <c r="D563" s="19"/>
      <c r="E563" s="19"/>
      <c r="F563" s="19"/>
      <c r="G563" s="19"/>
      <c r="H563" s="19"/>
      <c r="I563" s="19"/>
      <c r="J563" s="19"/>
      <c r="K563" s="19"/>
    </row>
    <row r="564">
      <c r="A564" s="19"/>
      <c r="B564" s="19"/>
      <c r="C564" s="19"/>
      <c r="D564" s="19"/>
      <c r="E564" s="19"/>
      <c r="F564" s="19"/>
      <c r="G564" s="19"/>
      <c r="H564" s="19"/>
      <c r="I564" s="19"/>
      <c r="J564" s="19"/>
      <c r="K564" s="19"/>
    </row>
    <row r="565">
      <c r="A565" s="19"/>
      <c r="B565" s="19"/>
      <c r="C565" s="19"/>
      <c r="D565" s="19"/>
      <c r="E565" s="19"/>
      <c r="F565" s="19"/>
      <c r="G565" s="19"/>
      <c r="H565" s="19"/>
      <c r="I565" s="19"/>
      <c r="J565" s="19"/>
      <c r="K565" s="19"/>
    </row>
    <row r="566">
      <c r="A566" s="19"/>
      <c r="B566" s="19"/>
      <c r="C566" s="19"/>
      <c r="D566" s="19"/>
      <c r="E566" s="19"/>
      <c r="F566" s="19"/>
      <c r="G566" s="19"/>
      <c r="H566" s="19"/>
      <c r="I566" s="19"/>
      <c r="J566" s="19"/>
      <c r="K566" s="19"/>
    </row>
    <row r="567">
      <c r="A567" s="19"/>
      <c r="B567" s="19"/>
      <c r="C567" s="19"/>
      <c r="D567" s="19"/>
      <c r="E567" s="19"/>
      <c r="F567" s="19"/>
      <c r="G567" s="19"/>
      <c r="H567" s="19"/>
      <c r="I567" s="19"/>
      <c r="J567" s="19"/>
      <c r="K567" s="19"/>
    </row>
    <row r="568">
      <c r="A568" s="19"/>
      <c r="B568" s="19"/>
      <c r="C568" s="19"/>
      <c r="D568" s="19"/>
      <c r="E568" s="19"/>
      <c r="F568" s="19"/>
      <c r="G568" s="19"/>
      <c r="H568" s="19"/>
      <c r="I568" s="19"/>
      <c r="J568" s="19"/>
      <c r="K568" s="19"/>
    </row>
    <row r="569">
      <c r="A569" s="19"/>
      <c r="B569" s="19"/>
      <c r="C569" s="19"/>
      <c r="D569" s="19"/>
      <c r="E569" s="19"/>
      <c r="F569" s="19"/>
      <c r="G569" s="19"/>
      <c r="H569" s="19"/>
      <c r="I569" s="19"/>
      <c r="J569" s="19"/>
      <c r="K569" s="19"/>
    </row>
    <row r="570">
      <c r="A570" s="19"/>
      <c r="B570" s="19"/>
      <c r="C570" s="19"/>
      <c r="D570" s="19"/>
      <c r="E570" s="19"/>
      <c r="F570" s="19"/>
      <c r="G570" s="19"/>
      <c r="H570" s="19"/>
      <c r="I570" s="19"/>
      <c r="J570" s="19"/>
      <c r="K570" s="19"/>
    </row>
    <row r="571">
      <c r="A571" s="19"/>
      <c r="B571" s="19"/>
      <c r="C571" s="19"/>
      <c r="D571" s="19"/>
      <c r="E571" s="19"/>
      <c r="F571" s="19"/>
      <c r="G571" s="19"/>
      <c r="H571" s="19"/>
      <c r="I571" s="19"/>
      <c r="J571" s="19"/>
      <c r="K571" s="19"/>
    </row>
    <row r="572">
      <c r="A572" s="19"/>
      <c r="B572" s="19"/>
      <c r="C572" s="19"/>
      <c r="D572" s="19"/>
      <c r="E572" s="19"/>
      <c r="F572" s="19"/>
      <c r="G572" s="19"/>
      <c r="H572" s="19"/>
      <c r="I572" s="19"/>
      <c r="J572" s="19"/>
      <c r="K572" s="19"/>
    </row>
    <row r="573">
      <c r="A573" s="19"/>
      <c r="B573" s="19"/>
      <c r="C573" s="19"/>
      <c r="D573" s="19"/>
      <c r="E573" s="19"/>
      <c r="F573" s="19"/>
      <c r="G573" s="19"/>
      <c r="H573" s="19"/>
      <c r="I573" s="19"/>
      <c r="J573" s="19"/>
      <c r="K573" s="19"/>
    </row>
    <row r="574">
      <c r="A574" s="19"/>
      <c r="B574" s="19"/>
      <c r="C574" s="19"/>
      <c r="D574" s="19"/>
      <c r="E574" s="19"/>
      <c r="F574" s="19"/>
      <c r="G574" s="19"/>
      <c r="H574" s="19"/>
      <c r="I574" s="19"/>
      <c r="J574" s="19"/>
      <c r="K574" s="19"/>
    </row>
    <row r="575">
      <c r="A575" s="19"/>
      <c r="B575" s="19"/>
      <c r="C575" s="19"/>
      <c r="D575" s="19"/>
      <c r="E575" s="19"/>
      <c r="F575" s="19"/>
      <c r="G575" s="19"/>
      <c r="H575" s="19"/>
      <c r="I575" s="19"/>
      <c r="J575" s="19"/>
      <c r="K575" s="19"/>
    </row>
    <row r="576">
      <c r="A576" s="19"/>
      <c r="B576" s="19"/>
      <c r="C576" s="19"/>
      <c r="D576" s="19"/>
      <c r="E576" s="19"/>
      <c r="F576" s="19"/>
      <c r="G576" s="19"/>
      <c r="H576" s="19"/>
      <c r="I576" s="19"/>
      <c r="J576" s="19"/>
      <c r="K576" s="19"/>
    </row>
    <row r="577">
      <c r="A577" s="19"/>
      <c r="B577" s="19"/>
      <c r="C577" s="19"/>
      <c r="D577" s="19"/>
      <c r="E577" s="19"/>
      <c r="F577" s="19"/>
      <c r="G577" s="19"/>
      <c r="H577" s="19"/>
      <c r="I577" s="19"/>
      <c r="J577" s="19"/>
      <c r="K577" s="19"/>
    </row>
    <row r="578">
      <c r="A578" s="19"/>
      <c r="B578" s="19"/>
      <c r="C578" s="19"/>
      <c r="D578" s="19"/>
      <c r="E578" s="19"/>
      <c r="F578" s="19"/>
      <c r="G578" s="19"/>
      <c r="H578" s="19"/>
      <c r="I578" s="19"/>
      <c r="J578" s="19"/>
      <c r="K578" s="19"/>
    </row>
    <row r="579">
      <c r="A579" s="19"/>
      <c r="B579" s="19"/>
      <c r="C579" s="19"/>
      <c r="D579" s="19"/>
      <c r="E579" s="19"/>
      <c r="F579" s="19"/>
      <c r="G579" s="19"/>
      <c r="H579" s="19"/>
      <c r="I579" s="19"/>
      <c r="J579" s="19"/>
      <c r="K579" s="19"/>
    </row>
    <row r="580">
      <c r="A580" s="19"/>
      <c r="B580" s="19"/>
      <c r="C580" s="19"/>
      <c r="D580" s="19"/>
      <c r="E580" s="19"/>
      <c r="F580" s="19"/>
      <c r="G580" s="19"/>
      <c r="H580" s="19"/>
      <c r="I580" s="19"/>
      <c r="J580" s="19"/>
      <c r="K580" s="19"/>
    </row>
    <row r="581">
      <c r="A581" s="19"/>
      <c r="B581" s="19"/>
      <c r="C581" s="19"/>
      <c r="D581" s="19"/>
      <c r="E581" s="19"/>
      <c r="F581" s="19"/>
      <c r="G581" s="19"/>
      <c r="H581" s="19"/>
      <c r="I581" s="19"/>
      <c r="J581" s="19"/>
      <c r="K581" s="19"/>
    </row>
    <row r="582">
      <c r="A582" s="19"/>
      <c r="B582" s="19"/>
      <c r="C582" s="19"/>
      <c r="D582" s="19"/>
      <c r="E582" s="19"/>
      <c r="F582" s="19"/>
      <c r="G582" s="19"/>
      <c r="H582" s="19"/>
      <c r="I582" s="19"/>
      <c r="J582" s="19"/>
      <c r="K582" s="19"/>
    </row>
    <row r="583">
      <c r="A583" s="19"/>
      <c r="B583" s="19"/>
      <c r="C583" s="19"/>
      <c r="D583" s="19"/>
      <c r="E583" s="19"/>
      <c r="F583" s="19"/>
      <c r="G583" s="19"/>
      <c r="H583" s="19"/>
      <c r="I583" s="19"/>
      <c r="J583" s="19"/>
      <c r="K583" s="19"/>
    </row>
    <row r="584">
      <c r="A584" s="19"/>
      <c r="B584" s="19"/>
      <c r="C584" s="19"/>
      <c r="D584" s="19"/>
      <c r="E584" s="19"/>
      <c r="F584" s="19"/>
      <c r="G584" s="19"/>
      <c r="H584" s="19"/>
      <c r="I584" s="19"/>
      <c r="J584" s="19"/>
      <c r="K584" s="19"/>
    </row>
    <row r="585">
      <c r="A585" s="19"/>
      <c r="B585" s="19"/>
      <c r="C585" s="19"/>
      <c r="D585" s="19"/>
      <c r="E585" s="19"/>
      <c r="F585" s="19"/>
      <c r="G585" s="19"/>
      <c r="H585" s="19"/>
      <c r="I585" s="19"/>
      <c r="J585" s="19"/>
      <c r="K585" s="19"/>
    </row>
    <row r="586">
      <c r="A586" s="19"/>
      <c r="B586" s="19"/>
      <c r="C586" s="19"/>
      <c r="D586" s="19"/>
      <c r="E586" s="19"/>
      <c r="F586" s="19"/>
      <c r="G586" s="19"/>
      <c r="H586" s="19"/>
      <c r="I586" s="19"/>
      <c r="J586" s="19"/>
      <c r="K586" s="19"/>
    </row>
    <row r="587">
      <c r="A587" s="19"/>
      <c r="B587" s="19"/>
      <c r="C587" s="19"/>
      <c r="D587" s="19"/>
      <c r="E587" s="19"/>
      <c r="F587" s="19"/>
      <c r="G587" s="19"/>
      <c r="H587" s="19"/>
      <c r="I587" s="19"/>
      <c r="J587" s="19"/>
      <c r="K587" s="19"/>
    </row>
    <row r="588">
      <c r="A588" s="19"/>
      <c r="B588" s="19"/>
      <c r="C588" s="19"/>
      <c r="D588" s="19"/>
      <c r="E588" s="19"/>
      <c r="F588" s="19"/>
      <c r="G588" s="19"/>
      <c r="H588" s="19"/>
      <c r="I588" s="19"/>
      <c r="J588" s="19"/>
      <c r="K588" s="19"/>
    </row>
    <row r="589">
      <c r="A589" s="19"/>
      <c r="B589" s="19"/>
      <c r="C589" s="19"/>
      <c r="D589" s="19"/>
      <c r="E589" s="19"/>
      <c r="F589" s="19"/>
      <c r="G589" s="19"/>
      <c r="H589" s="19"/>
      <c r="I589" s="19"/>
      <c r="J589" s="19"/>
      <c r="K589" s="19"/>
    </row>
    <row r="590">
      <c r="A590" s="19"/>
      <c r="B590" s="19"/>
      <c r="C590" s="19"/>
      <c r="D590" s="19"/>
      <c r="E590" s="19"/>
      <c r="F590" s="19"/>
      <c r="G590" s="19"/>
      <c r="H590" s="19"/>
      <c r="I590" s="19"/>
      <c r="J590" s="19"/>
      <c r="K590" s="19"/>
    </row>
    <row r="591">
      <c r="A591" s="19"/>
      <c r="B591" s="19"/>
      <c r="C591" s="19"/>
      <c r="D591" s="19"/>
      <c r="E591" s="19"/>
      <c r="F591" s="19"/>
      <c r="G591" s="19"/>
      <c r="H591" s="19"/>
      <c r="I591" s="19"/>
      <c r="J591" s="19"/>
      <c r="K591" s="19"/>
    </row>
    <row r="592">
      <c r="A592" s="19"/>
      <c r="B592" s="19"/>
      <c r="C592" s="19"/>
      <c r="D592" s="19"/>
      <c r="E592" s="19"/>
      <c r="F592" s="19"/>
      <c r="G592" s="19"/>
      <c r="H592" s="19"/>
      <c r="I592" s="19"/>
      <c r="J592" s="19"/>
      <c r="K592" s="19"/>
    </row>
    <row r="593">
      <c r="A593" s="19"/>
      <c r="B593" s="19"/>
      <c r="C593" s="19"/>
      <c r="D593" s="19"/>
      <c r="E593" s="19"/>
      <c r="F593" s="19"/>
      <c r="G593" s="19"/>
      <c r="H593" s="19"/>
      <c r="I593" s="19"/>
      <c r="J593" s="19"/>
      <c r="K593" s="19"/>
    </row>
    <row r="594">
      <c r="A594" s="19"/>
      <c r="B594" s="19"/>
      <c r="C594" s="19"/>
      <c r="D594" s="19"/>
      <c r="E594" s="19"/>
      <c r="F594" s="19"/>
      <c r="G594" s="19"/>
      <c r="H594" s="19"/>
      <c r="I594" s="19"/>
      <c r="J594" s="19"/>
      <c r="K594" s="19"/>
    </row>
    <row r="595">
      <c r="A595" s="19"/>
      <c r="B595" s="19"/>
      <c r="C595" s="19"/>
      <c r="D595" s="19"/>
      <c r="E595" s="19"/>
      <c r="F595" s="19"/>
      <c r="G595" s="19"/>
      <c r="H595" s="19"/>
      <c r="I595" s="19"/>
      <c r="J595" s="19"/>
      <c r="K595" s="19"/>
    </row>
    <row r="596">
      <c r="A596" s="19"/>
      <c r="B596" s="19"/>
      <c r="C596" s="19"/>
      <c r="D596" s="19"/>
      <c r="E596" s="19"/>
      <c r="F596" s="19"/>
      <c r="G596" s="19"/>
      <c r="H596" s="19"/>
      <c r="I596" s="19"/>
      <c r="J596" s="19"/>
      <c r="K596" s="19"/>
    </row>
    <row r="597">
      <c r="A597" s="19"/>
      <c r="B597" s="19"/>
      <c r="C597" s="19"/>
      <c r="D597" s="19"/>
      <c r="E597" s="19"/>
      <c r="F597" s="19"/>
      <c r="G597" s="19"/>
      <c r="H597" s="19"/>
      <c r="I597" s="19"/>
      <c r="J597" s="19"/>
      <c r="K597" s="19"/>
    </row>
    <row r="598">
      <c r="A598" s="19"/>
      <c r="B598" s="19"/>
      <c r="C598" s="19"/>
      <c r="D598" s="19"/>
      <c r="E598" s="19"/>
      <c r="F598" s="19"/>
      <c r="G598" s="19"/>
      <c r="H598" s="19"/>
      <c r="I598" s="19"/>
      <c r="J598" s="19"/>
      <c r="K598" s="19"/>
    </row>
    <row r="599">
      <c r="A599" s="19"/>
      <c r="B599" s="19"/>
      <c r="C599" s="19"/>
      <c r="D599" s="19"/>
      <c r="E599" s="19"/>
      <c r="F599" s="19"/>
      <c r="G599" s="19"/>
      <c r="H599" s="19"/>
      <c r="I599" s="19"/>
      <c r="J599" s="19"/>
      <c r="K599" s="19"/>
    </row>
    <row r="600">
      <c r="A600" s="19"/>
      <c r="B600" s="19"/>
      <c r="C600" s="19"/>
      <c r="D600" s="19"/>
      <c r="E600" s="19"/>
      <c r="F600" s="19"/>
      <c r="G600" s="19"/>
      <c r="H600" s="19"/>
      <c r="I600" s="19"/>
      <c r="J600" s="19"/>
      <c r="K600" s="19"/>
    </row>
    <row r="601">
      <c r="A601" s="19"/>
      <c r="B601" s="19"/>
      <c r="C601" s="19"/>
      <c r="D601" s="19"/>
      <c r="E601" s="19"/>
      <c r="F601" s="19"/>
      <c r="G601" s="19"/>
      <c r="H601" s="19"/>
      <c r="I601" s="19"/>
      <c r="J601" s="19"/>
      <c r="K601" s="19"/>
    </row>
    <row r="602">
      <c r="A602" s="19"/>
      <c r="B602" s="19"/>
      <c r="C602" s="19"/>
      <c r="D602" s="19"/>
      <c r="E602" s="19"/>
      <c r="F602" s="19"/>
      <c r="G602" s="19"/>
      <c r="H602" s="19"/>
      <c r="I602" s="19"/>
      <c r="J602" s="19"/>
      <c r="K602" s="19"/>
    </row>
    <row r="603">
      <c r="A603" s="19"/>
      <c r="B603" s="19"/>
      <c r="C603" s="19"/>
      <c r="D603" s="19"/>
      <c r="E603" s="19"/>
      <c r="F603" s="19"/>
      <c r="G603" s="19"/>
      <c r="H603" s="19"/>
      <c r="I603" s="19"/>
      <c r="J603" s="19"/>
      <c r="K603" s="19"/>
    </row>
    <row r="604">
      <c r="A604" s="19"/>
      <c r="B604" s="19"/>
      <c r="C604" s="19"/>
      <c r="D604" s="19"/>
      <c r="E604" s="19"/>
      <c r="F604" s="19"/>
      <c r="G604" s="19"/>
      <c r="H604" s="19"/>
      <c r="I604" s="19"/>
      <c r="J604" s="19"/>
      <c r="K604" s="19"/>
    </row>
    <row r="605">
      <c r="A605" s="19"/>
      <c r="B605" s="19"/>
      <c r="C605" s="19"/>
      <c r="D605" s="19"/>
      <c r="E605" s="19"/>
      <c r="F605" s="19"/>
      <c r="G605" s="19"/>
      <c r="H605" s="19"/>
      <c r="I605" s="19"/>
      <c r="J605" s="19"/>
      <c r="K605" s="19"/>
    </row>
    <row r="606">
      <c r="A606" s="19"/>
      <c r="B606" s="19"/>
      <c r="C606" s="19"/>
      <c r="D606" s="19"/>
      <c r="E606" s="19"/>
      <c r="F606" s="19"/>
      <c r="G606" s="19"/>
      <c r="H606" s="19"/>
      <c r="I606" s="19"/>
      <c r="J606" s="19"/>
      <c r="K606" s="19"/>
    </row>
    <row r="607">
      <c r="A607" s="19"/>
      <c r="B607" s="19"/>
      <c r="C607" s="19"/>
      <c r="D607" s="19"/>
      <c r="E607" s="19"/>
      <c r="F607" s="19"/>
      <c r="G607" s="19"/>
      <c r="H607" s="19"/>
      <c r="I607" s="19"/>
      <c r="J607" s="19"/>
      <c r="K607" s="19"/>
    </row>
    <row r="608">
      <c r="A608" s="19"/>
      <c r="B608" s="19"/>
      <c r="C608" s="19"/>
      <c r="D608" s="19"/>
      <c r="E608" s="19"/>
      <c r="F608" s="19"/>
      <c r="G608" s="19"/>
      <c r="H608" s="19"/>
      <c r="I608" s="19"/>
      <c r="J608" s="19"/>
      <c r="K608" s="19"/>
    </row>
    <row r="609">
      <c r="A609" s="19"/>
      <c r="B609" s="19"/>
      <c r="C609" s="19"/>
      <c r="D609" s="19"/>
      <c r="E609" s="19"/>
      <c r="F609" s="19"/>
      <c r="G609" s="19"/>
      <c r="H609" s="19"/>
      <c r="I609" s="19"/>
      <c r="J609" s="19"/>
      <c r="K609" s="19"/>
    </row>
    <row r="610">
      <c r="A610" s="19"/>
      <c r="B610" s="19"/>
      <c r="C610" s="19"/>
      <c r="D610" s="19"/>
      <c r="E610" s="19"/>
      <c r="F610" s="19"/>
      <c r="G610" s="19"/>
      <c r="H610" s="19"/>
      <c r="I610" s="19"/>
      <c r="J610" s="19"/>
      <c r="K610" s="19"/>
    </row>
    <row r="611">
      <c r="A611" s="19"/>
      <c r="B611" s="19"/>
      <c r="C611" s="19"/>
      <c r="D611" s="19"/>
      <c r="E611" s="19"/>
      <c r="F611" s="19"/>
      <c r="G611" s="19"/>
      <c r="H611" s="19"/>
      <c r="I611" s="19"/>
      <c r="J611" s="19"/>
      <c r="K611" s="19"/>
    </row>
    <row r="612">
      <c r="A612" s="19"/>
      <c r="B612" s="19"/>
      <c r="C612" s="19"/>
      <c r="D612" s="19"/>
      <c r="E612" s="19"/>
      <c r="F612" s="19"/>
      <c r="G612" s="19"/>
      <c r="H612" s="19"/>
      <c r="I612" s="19"/>
      <c r="J612" s="19"/>
      <c r="K612" s="19"/>
    </row>
    <row r="613">
      <c r="A613" s="19"/>
      <c r="B613" s="19"/>
      <c r="C613" s="19"/>
      <c r="D613" s="19"/>
      <c r="E613" s="19"/>
      <c r="F613" s="19"/>
      <c r="G613" s="19"/>
      <c r="H613" s="19"/>
      <c r="I613" s="19"/>
      <c r="J613" s="19"/>
      <c r="K613" s="19"/>
    </row>
    <row r="614">
      <c r="A614" s="19"/>
      <c r="B614" s="19"/>
      <c r="C614" s="19"/>
      <c r="D614" s="19"/>
      <c r="E614" s="19"/>
      <c r="F614" s="19"/>
      <c r="G614" s="19"/>
      <c r="H614" s="19"/>
      <c r="I614" s="19"/>
      <c r="J614" s="19"/>
      <c r="K614" s="19"/>
    </row>
    <row r="615">
      <c r="A615" s="19"/>
      <c r="B615" s="19"/>
      <c r="C615" s="19"/>
      <c r="D615" s="19"/>
      <c r="E615" s="19"/>
      <c r="F615" s="19"/>
      <c r="G615" s="19"/>
      <c r="H615" s="19"/>
      <c r="I615" s="19"/>
      <c r="J615" s="19"/>
      <c r="K615" s="19"/>
    </row>
    <row r="616">
      <c r="A616" s="19"/>
      <c r="B616" s="19"/>
      <c r="C616" s="19"/>
      <c r="D616" s="19"/>
      <c r="E616" s="19"/>
      <c r="F616" s="19"/>
      <c r="G616" s="19"/>
      <c r="H616" s="19"/>
      <c r="I616" s="19"/>
      <c r="J616" s="19"/>
      <c r="K616" s="19"/>
    </row>
    <row r="617">
      <c r="A617" s="19"/>
      <c r="B617" s="19"/>
      <c r="C617" s="19"/>
      <c r="D617" s="19"/>
      <c r="E617" s="19"/>
      <c r="F617" s="19"/>
      <c r="G617" s="19"/>
      <c r="H617" s="19"/>
      <c r="I617" s="19"/>
      <c r="J617" s="19"/>
      <c r="K617" s="19"/>
    </row>
    <row r="618">
      <c r="A618" s="19"/>
      <c r="B618" s="19"/>
      <c r="C618" s="19"/>
      <c r="D618" s="19"/>
      <c r="E618" s="19"/>
      <c r="F618" s="19"/>
      <c r="G618" s="19"/>
      <c r="H618" s="19"/>
      <c r="I618" s="19"/>
      <c r="J618" s="19"/>
      <c r="K618" s="19"/>
    </row>
    <row r="619">
      <c r="A619" s="19"/>
      <c r="B619" s="19"/>
      <c r="C619" s="19"/>
      <c r="D619" s="19"/>
      <c r="E619" s="19"/>
      <c r="F619" s="19"/>
      <c r="G619" s="19"/>
      <c r="H619" s="19"/>
      <c r="I619" s="19"/>
      <c r="J619" s="19"/>
      <c r="K619" s="19"/>
    </row>
    <row r="620">
      <c r="A620" s="19"/>
      <c r="B620" s="19"/>
      <c r="C620" s="19"/>
      <c r="D620" s="19"/>
      <c r="E620" s="19"/>
      <c r="F620" s="19"/>
      <c r="G620" s="19"/>
      <c r="H620" s="19"/>
      <c r="I620" s="19"/>
      <c r="J620" s="19"/>
      <c r="K620" s="19"/>
    </row>
    <row r="621">
      <c r="A621" s="19"/>
      <c r="B621" s="19"/>
      <c r="C621" s="19"/>
      <c r="D621" s="19"/>
      <c r="E621" s="19"/>
      <c r="F621" s="19"/>
      <c r="G621" s="19"/>
      <c r="H621" s="19"/>
      <c r="I621" s="19"/>
      <c r="J621" s="19"/>
      <c r="K621" s="19"/>
    </row>
    <row r="622">
      <c r="A622" s="19"/>
      <c r="B622" s="19"/>
      <c r="C622" s="19"/>
      <c r="D622" s="19"/>
      <c r="E622" s="19"/>
      <c r="F622" s="19"/>
      <c r="G622" s="19"/>
      <c r="H622" s="19"/>
      <c r="I622" s="19"/>
      <c r="J622" s="19"/>
      <c r="K622" s="19"/>
    </row>
    <row r="623">
      <c r="A623" s="19"/>
      <c r="B623" s="19"/>
      <c r="C623" s="19"/>
      <c r="D623" s="19"/>
      <c r="E623" s="19"/>
      <c r="F623" s="19"/>
      <c r="G623" s="19"/>
      <c r="H623" s="19"/>
      <c r="I623" s="19"/>
      <c r="J623" s="19"/>
      <c r="K623" s="19"/>
    </row>
    <row r="624">
      <c r="A624" s="19"/>
      <c r="B624" s="19"/>
      <c r="C624" s="19"/>
      <c r="D624" s="19"/>
      <c r="E624" s="19"/>
      <c r="F624" s="19"/>
      <c r="G624" s="19"/>
      <c r="H624" s="19"/>
      <c r="I624" s="19"/>
      <c r="J624" s="19"/>
      <c r="K624" s="19"/>
    </row>
    <row r="625">
      <c r="A625" s="19"/>
      <c r="B625" s="19"/>
      <c r="C625" s="19"/>
      <c r="D625" s="19"/>
      <c r="E625" s="19"/>
      <c r="F625" s="19"/>
      <c r="G625" s="19"/>
      <c r="H625" s="19"/>
      <c r="I625" s="19"/>
      <c r="J625" s="19"/>
      <c r="K625" s="19"/>
    </row>
    <row r="626">
      <c r="A626" s="19"/>
      <c r="B626" s="19"/>
      <c r="C626" s="19"/>
      <c r="D626" s="19"/>
      <c r="E626" s="19"/>
      <c r="F626" s="19"/>
      <c r="G626" s="19"/>
      <c r="H626" s="19"/>
      <c r="I626" s="19"/>
      <c r="J626" s="19"/>
      <c r="K626" s="19"/>
    </row>
    <row r="627">
      <c r="A627" s="19"/>
      <c r="B627" s="19"/>
      <c r="C627" s="19"/>
      <c r="D627" s="19"/>
      <c r="E627" s="19"/>
      <c r="F627" s="19"/>
      <c r="G627" s="19"/>
      <c r="H627" s="19"/>
      <c r="I627" s="19"/>
      <c r="J627" s="19"/>
      <c r="K627" s="19"/>
    </row>
    <row r="628">
      <c r="A628" s="19"/>
      <c r="B628" s="19"/>
      <c r="C628" s="19"/>
      <c r="D628" s="19"/>
      <c r="E628" s="19"/>
      <c r="F628" s="19"/>
      <c r="G628" s="19"/>
      <c r="H628" s="19"/>
      <c r="I628" s="19"/>
      <c r="J628" s="19"/>
      <c r="K628" s="19"/>
    </row>
    <row r="629">
      <c r="A629" s="19"/>
      <c r="B629" s="19"/>
      <c r="C629" s="19"/>
      <c r="D629" s="19"/>
      <c r="E629" s="19"/>
      <c r="F629" s="19"/>
      <c r="G629" s="19"/>
      <c r="H629" s="19"/>
      <c r="I629" s="19"/>
      <c r="J629" s="19"/>
      <c r="K629" s="19"/>
    </row>
    <row r="630">
      <c r="A630" s="19"/>
      <c r="B630" s="19"/>
      <c r="C630" s="19"/>
      <c r="D630" s="19"/>
      <c r="E630" s="19"/>
      <c r="F630" s="19"/>
      <c r="G630" s="19"/>
      <c r="H630" s="19"/>
      <c r="I630" s="19"/>
      <c r="J630" s="19"/>
      <c r="K630" s="19"/>
    </row>
    <row r="631">
      <c r="A631" s="19"/>
      <c r="B631" s="19"/>
      <c r="C631" s="19"/>
      <c r="D631" s="19"/>
      <c r="E631" s="19"/>
      <c r="F631" s="19"/>
      <c r="G631" s="19"/>
      <c r="H631" s="19"/>
      <c r="I631" s="19"/>
      <c r="J631" s="19"/>
      <c r="K631" s="19"/>
    </row>
    <row r="632">
      <c r="A632" s="19"/>
      <c r="B632" s="19"/>
      <c r="C632" s="19"/>
      <c r="D632" s="19"/>
      <c r="E632" s="19"/>
      <c r="F632" s="19"/>
      <c r="G632" s="19"/>
      <c r="H632" s="19"/>
      <c r="I632" s="19"/>
      <c r="J632" s="19"/>
      <c r="K632" s="19"/>
    </row>
    <row r="633">
      <c r="A633" s="19"/>
      <c r="B633" s="19"/>
      <c r="C633" s="19"/>
      <c r="D633" s="19"/>
      <c r="E633" s="19"/>
      <c r="F633" s="19"/>
      <c r="G633" s="19"/>
      <c r="H633" s="19"/>
      <c r="I633" s="19"/>
      <c r="J633" s="19"/>
      <c r="K633" s="19"/>
    </row>
    <row r="634">
      <c r="A634" s="19"/>
      <c r="B634" s="19"/>
      <c r="C634" s="19"/>
      <c r="D634" s="19"/>
      <c r="E634" s="19"/>
      <c r="F634" s="19"/>
      <c r="G634" s="19"/>
      <c r="H634" s="19"/>
      <c r="I634" s="19"/>
      <c r="J634" s="19"/>
      <c r="K634" s="19"/>
    </row>
    <row r="635">
      <c r="A635" s="19"/>
      <c r="B635" s="19"/>
      <c r="C635" s="19"/>
      <c r="D635" s="19"/>
      <c r="E635" s="19"/>
      <c r="F635" s="19"/>
      <c r="G635" s="19"/>
      <c r="H635" s="19"/>
      <c r="I635" s="19"/>
      <c r="J635" s="19"/>
      <c r="K635" s="19"/>
    </row>
    <row r="636">
      <c r="A636" s="19"/>
      <c r="B636" s="19"/>
      <c r="C636" s="19"/>
      <c r="D636" s="19"/>
      <c r="E636" s="19"/>
      <c r="F636" s="19"/>
      <c r="G636" s="19"/>
      <c r="H636" s="19"/>
      <c r="I636" s="19"/>
      <c r="J636" s="19"/>
      <c r="K636" s="19"/>
    </row>
    <row r="637">
      <c r="A637" s="19"/>
      <c r="B637" s="19"/>
      <c r="C637" s="19"/>
      <c r="D637" s="19"/>
      <c r="E637" s="19"/>
      <c r="F637" s="19"/>
      <c r="G637" s="19"/>
      <c r="H637" s="19"/>
      <c r="I637" s="19"/>
      <c r="J637" s="19"/>
      <c r="K637" s="19"/>
    </row>
    <row r="638">
      <c r="A638" s="19"/>
      <c r="B638" s="19"/>
      <c r="C638" s="19"/>
      <c r="D638" s="19"/>
      <c r="E638" s="19"/>
      <c r="F638" s="19"/>
      <c r="G638" s="19"/>
      <c r="H638" s="19"/>
      <c r="I638" s="19"/>
      <c r="J638" s="19"/>
      <c r="K638" s="19"/>
    </row>
    <row r="639">
      <c r="A639" s="19"/>
      <c r="B639" s="19"/>
      <c r="C639" s="19"/>
      <c r="D639" s="19"/>
      <c r="E639" s="19"/>
      <c r="F639" s="19"/>
      <c r="G639" s="19"/>
      <c r="H639" s="19"/>
      <c r="I639" s="19"/>
      <c r="J639" s="19"/>
      <c r="K639" s="19"/>
    </row>
    <row r="640">
      <c r="A640" s="19"/>
      <c r="B640" s="19"/>
      <c r="C640" s="19"/>
      <c r="D640" s="19"/>
      <c r="E640" s="19"/>
      <c r="F640" s="19"/>
      <c r="G640" s="19"/>
      <c r="H640" s="19"/>
      <c r="I640" s="19"/>
      <c r="J640" s="19"/>
      <c r="K640" s="19"/>
    </row>
    <row r="641">
      <c r="A641" s="19"/>
      <c r="B641" s="19"/>
      <c r="C641" s="19"/>
      <c r="D641" s="19"/>
      <c r="E641" s="19"/>
      <c r="F641" s="19"/>
      <c r="G641" s="19"/>
      <c r="H641" s="19"/>
      <c r="I641" s="19"/>
      <c r="J641" s="19"/>
      <c r="K641" s="19"/>
    </row>
    <row r="642">
      <c r="A642" s="19"/>
      <c r="B642" s="19"/>
      <c r="C642" s="19"/>
      <c r="D642" s="19"/>
      <c r="E642" s="19"/>
      <c r="F642" s="19"/>
      <c r="G642" s="19"/>
      <c r="H642" s="19"/>
      <c r="I642" s="19"/>
      <c r="J642" s="19"/>
      <c r="K642" s="19"/>
    </row>
    <row r="643">
      <c r="A643" s="19"/>
      <c r="B643" s="19"/>
      <c r="C643" s="19"/>
      <c r="D643" s="19"/>
      <c r="E643" s="19"/>
      <c r="F643" s="19"/>
      <c r="G643" s="19"/>
      <c r="H643" s="19"/>
      <c r="I643" s="19"/>
      <c r="J643" s="19"/>
      <c r="K643" s="19"/>
    </row>
    <row r="644">
      <c r="A644" s="19"/>
      <c r="B644" s="19"/>
      <c r="C644" s="19"/>
      <c r="D644" s="19"/>
      <c r="E644" s="19"/>
      <c r="F644" s="19"/>
      <c r="G644" s="19"/>
      <c r="H644" s="19"/>
      <c r="I644" s="19"/>
      <c r="J644" s="19"/>
      <c r="K644" s="19"/>
    </row>
    <row r="645">
      <c r="A645" s="19"/>
      <c r="B645" s="19"/>
      <c r="C645" s="19"/>
      <c r="D645" s="19"/>
      <c r="E645" s="19"/>
      <c r="F645" s="19"/>
      <c r="G645" s="19"/>
      <c r="H645" s="19"/>
      <c r="I645" s="19"/>
      <c r="J645" s="19"/>
      <c r="K645" s="19"/>
    </row>
    <row r="646">
      <c r="A646" s="19"/>
      <c r="B646" s="19"/>
      <c r="C646" s="19"/>
      <c r="D646" s="19"/>
      <c r="E646" s="19"/>
      <c r="F646" s="19"/>
      <c r="G646" s="19"/>
      <c r="H646" s="19"/>
      <c r="I646" s="19"/>
      <c r="J646" s="19"/>
      <c r="K646" s="19"/>
    </row>
    <row r="647">
      <c r="A647" s="19"/>
      <c r="B647" s="19"/>
      <c r="C647" s="19"/>
      <c r="D647" s="19"/>
      <c r="E647" s="19"/>
      <c r="F647" s="19"/>
      <c r="G647" s="19"/>
      <c r="H647" s="19"/>
      <c r="I647" s="19"/>
      <c r="J647" s="19"/>
      <c r="K647" s="19"/>
    </row>
    <row r="648">
      <c r="A648" s="19"/>
      <c r="B648" s="19"/>
      <c r="C648" s="19"/>
      <c r="D648" s="19"/>
      <c r="E648" s="19"/>
      <c r="F648" s="19"/>
      <c r="G648" s="19"/>
      <c r="H648" s="19"/>
      <c r="I648" s="19"/>
      <c r="J648" s="19"/>
      <c r="K648" s="19"/>
    </row>
    <row r="649">
      <c r="A649" s="19"/>
      <c r="B649" s="19"/>
      <c r="C649" s="19"/>
      <c r="D649" s="19"/>
      <c r="E649" s="19"/>
      <c r="F649" s="19"/>
      <c r="G649" s="19"/>
      <c r="H649" s="19"/>
      <c r="I649" s="19"/>
      <c r="J649" s="19"/>
      <c r="K649" s="19"/>
    </row>
    <row r="650">
      <c r="A650" s="19"/>
      <c r="B650" s="19"/>
      <c r="C650" s="19"/>
      <c r="D650" s="19"/>
      <c r="E650" s="19"/>
      <c r="F650" s="19"/>
      <c r="G650" s="19"/>
      <c r="H650" s="19"/>
      <c r="I650" s="19"/>
      <c r="J650" s="19"/>
      <c r="K650" s="19"/>
    </row>
    <row r="651">
      <c r="A651" s="19"/>
      <c r="B651" s="19"/>
      <c r="C651" s="19"/>
      <c r="D651" s="19"/>
      <c r="E651" s="19"/>
      <c r="F651" s="19"/>
      <c r="G651" s="19"/>
      <c r="H651" s="19"/>
      <c r="I651" s="19"/>
      <c r="J651" s="19"/>
      <c r="K651" s="19"/>
    </row>
    <row r="652">
      <c r="A652" s="19"/>
      <c r="B652" s="19"/>
      <c r="C652" s="19"/>
      <c r="D652" s="19"/>
      <c r="E652" s="19"/>
      <c r="F652" s="19"/>
      <c r="G652" s="19"/>
      <c r="H652" s="19"/>
      <c r="I652" s="19"/>
      <c r="J652" s="19"/>
      <c r="K652" s="19"/>
    </row>
    <row r="653">
      <c r="A653" s="19"/>
      <c r="B653" s="19"/>
      <c r="C653" s="19"/>
      <c r="D653" s="19"/>
      <c r="E653" s="19"/>
      <c r="F653" s="19"/>
      <c r="G653" s="19"/>
      <c r="H653" s="19"/>
      <c r="I653" s="19"/>
      <c r="J653" s="19"/>
      <c r="K653" s="19"/>
    </row>
    <row r="654">
      <c r="A654" s="19"/>
      <c r="B654" s="19"/>
      <c r="C654" s="19"/>
      <c r="D654" s="19"/>
      <c r="E654" s="19"/>
      <c r="F654" s="19"/>
      <c r="G654" s="19"/>
      <c r="H654" s="19"/>
      <c r="I654" s="19"/>
      <c r="J654" s="19"/>
      <c r="K654" s="19"/>
    </row>
    <row r="655">
      <c r="A655" s="19"/>
      <c r="B655" s="19"/>
      <c r="C655" s="19"/>
      <c r="D655" s="19"/>
      <c r="E655" s="19"/>
      <c r="F655" s="19"/>
      <c r="G655" s="19"/>
      <c r="H655" s="19"/>
      <c r="I655" s="19"/>
      <c r="J655" s="19"/>
      <c r="K655" s="19"/>
    </row>
    <row r="656">
      <c r="A656" s="19"/>
      <c r="B656" s="19"/>
      <c r="C656" s="19"/>
      <c r="D656" s="19"/>
      <c r="E656" s="19"/>
      <c r="F656" s="19"/>
      <c r="G656" s="19"/>
      <c r="H656" s="19"/>
      <c r="I656" s="19"/>
      <c r="J656" s="19"/>
      <c r="K656" s="19"/>
    </row>
    <row r="657">
      <c r="A657" s="19"/>
      <c r="B657" s="19"/>
      <c r="C657" s="19"/>
      <c r="D657" s="19"/>
      <c r="E657" s="19"/>
      <c r="F657" s="19"/>
      <c r="G657" s="19"/>
      <c r="H657" s="19"/>
      <c r="I657" s="19"/>
      <c r="J657" s="19"/>
      <c r="K657" s="19"/>
    </row>
    <row r="658">
      <c r="A658" s="19"/>
      <c r="B658" s="19"/>
      <c r="C658" s="19"/>
      <c r="D658" s="19"/>
      <c r="E658" s="19"/>
      <c r="F658" s="19"/>
      <c r="G658" s="19"/>
      <c r="H658" s="19"/>
      <c r="I658" s="19"/>
      <c r="J658" s="19"/>
      <c r="K658" s="19"/>
    </row>
    <row r="659">
      <c r="A659" s="19"/>
      <c r="B659" s="19"/>
      <c r="C659" s="19"/>
      <c r="D659" s="19"/>
      <c r="E659" s="19"/>
      <c r="F659" s="19"/>
      <c r="G659" s="19"/>
      <c r="H659" s="19"/>
      <c r="I659" s="19"/>
      <c r="J659" s="19"/>
      <c r="K659" s="19"/>
    </row>
    <row r="660">
      <c r="A660" s="19"/>
      <c r="B660" s="19"/>
      <c r="C660" s="19"/>
      <c r="D660" s="19"/>
      <c r="E660" s="19"/>
      <c r="F660" s="19"/>
      <c r="G660" s="19"/>
      <c r="H660" s="19"/>
      <c r="I660" s="19"/>
      <c r="J660" s="19"/>
      <c r="K660" s="19"/>
    </row>
    <row r="661">
      <c r="A661" s="19"/>
      <c r="B661" s="19"/>
      <c r="C661" s="19"/>
      <c r="D661" s="19"/>
      <c r="E661" s="19"/>
      <c r="F661" s="19"/>
      <c r="G661" s="19"/>
      <c r="H661" s="19"/>
      <c r="I661" s="19"/>
      <c r="J661" s="19"/>
      <c r="K661" s="19"/>
    </row>
    <row r="662">
      <c r="A662" s="19"/>
      <c r="B662" s="19"/>
      <c r="C662" s="19"/>
      <c r="D662" s="19"/>
      <c r="E662" s="19"/>
      <c r="F662" s="19"/>
      <c r="G662" s="19"/>
      <c r="H662" s="19"/>
      <c r="I662" s="19"/>
      <c r="J662" s="19"/>
      <c r="K662" s="19"/>
    </row>
    <row r="663">
      <c r="A663" s="19"/>
      <c r="B663" s="19"/>
      <c r="C663" s="19"/>
      <c r="D663" s="19"/>
      <c r="E663" s="19"/>
      <c r="F663" s="19"/>
      <c r="G663" s="19"/>
      <c r="H663" s="19"/>
      <c r="I663" s="19"/>
      <c r="J663" s="19"/>
      <c r="K663" s="19"/>
    </row>
    <row r="664">
      <c r="A664" s="19"/>
      <c r="B664" s="19"/>
      <c r="C664" s="19"/>
      <c r="D664" s="19"/>
      <c r="E664" s="19"/>
      <c r="F664" s="19"/>
      <c r="G664" s="19"/>
      <c r="H664" s="19"/>
      <c r="I664" s="19"/>
      <c r="J664" s="19"/>
      <c r="K664" s="19"/>
    </row>
    <row r="665">
      <c r="A665" s="19"/>
      <c r="B665" s="19"/>
      <c r="C665" s="19"/>
      <c r="D665" s="19"/>
      <c r="E665" s="19"/>
      <c r="F665" s="19"/>
      <c r="G665" s="19"/>
      <c r="H665" s="19"/>
      <c r="I665" s="19"/>
      <c r="J665" s="19"/>
      <c r="K665" s="19"/>
    </row>
    <row r="666">
      <c r="A666" s="19"/>
      <c r="B666" s="19"/>
      <c r="C666" s="19"/>
      <c r="D666" s="19"/>
      <c r="E666" s="19"/>
      <c r="F666" s="19"/>
      <c r="G666" s="19"/>
      <c r="H666" s="19"/>
      <c r="I666" s="19"/>
      <c r="J666" s="19"/>
      <c r="K666" s="19"/>
    </row>
    <row r="667">
      <c r="A667" s="19"/>
      <c r="B667" s="19"/>
      <c r="C667" s="19"/>
      <c r="D667" s="19"/>
      <c r="E667" s="19"/>
      <c r="F667" s="19"/>
      <c r="G667" s="19"/>
      <c r="H667" s="19"/>
      <c r="I667" s="19"/>
      <c r="J667" s="19"/>
      <c r="K667" s="19"/>
    </row>
    <row r="668">
      <c r="A668" s="19"/>
      <c r="B668" s="19"/>
      <c r="C668" s="19"/>
      <c r="D668" s="19"/>
      <c r="E668" s="19"/>
      <c r="F668" s="19"/>
      <c r="G668" s="19"/>
      <c r="H668" s="19"/>
      <c r="I668" s="19"/>
      <c r="J668" s="19"/>
      <c r="K668" s="19"/>
    </row>
    <row r="669">
      <c r="A669" s="19"/>
      <c r="B669" s="19"/>
      <c r="C669" s="19"/>
      <c r="D669" s="19"/>
      <c r="E669" s="19"/>
      <c r="F669" s="19"/>
      <c r="G669" s="19"/>
      <c r="H669" s="19"/>
      <c r="I669" s="19"/>
      <c r="J669" s="19"/>
      <c r="K669" s="19"/>
    </row>
    <row r="670">
      <c r="A670" s="19"/>
      <c r="B670" s="19"/>
      <c r="C670" s="19"/>
      <c r="D670" s="19"/>
      <c r="E670" s="19"/>
      <c r="F670" s="19"/>
      <c r="G670" s="19"/>
      <c r="H670" s="19"/>
      <c r="I670" s="19"/>
      <c r="J670" s="19"/>
      <c r="K670" s="19"/>
    </row>
    <row r="671">
      <c r="A671" s="19"/>
      <c r="B671" s="19"/>
      <c r="C671" s="19"/>
      <c r="D671" s="19"/>
      <c r="E671" s="19"/>
      <c r="F671" s="19"/>
      <c r="G671" s="19"/>
      <c r="H671" s="19"/>
      <c r="I671" s="19"/>
      <c r="J671" s="19"/>
      <c r="K671" s="19"/>
    </row>
    <row r="672">
      <c r="A672" s="19"/>
      <c r="B672" s="19"/>
      <c r="C672" s="19"/>
      <c r="D672" s="19"/>
      <c r="E672" s="19"/>
      <c r="F672" s="19"/>
      <c r="G672" s="19"/>
      <c r="H672" s="19"/>
      <c r="I672" s="19"/>
      <c r="J672" s="19"/>
      <c r="K672" s="19"/>
    </row>
    <row r="673">
      <c r="A673" s="19"/>
      <c r="B673" s="19"/>
      <c r="C673" s="19"/>
      <c r="D673" s="19"/>
      <c r="E673" s="19"/>
      <c r="F673" s="19"/>
      <c r="G673" s="19"/>
      <c r="H673" s="19"/>
      <c r="I673" s="19"/>
      <c r="J673" s="19"/>
      <c r="K673" s="19"/>
    </row>
    <row r="674">
      <c r="A674" s="19"/>
      <c r="B674" s="19"/>
      <c r="C674" s="19"/>
      <c r="D674" s="19"/>
      <c r="E674" s="19"/>
      <c r="F674" s="19"/>
      <c r="G674" s="19"/>
      <c r="H674" s="19"/>
      <c r="I674" s="19"/>
      <c r="J674" s="19"/>
      <c r="K674" s="19"/>
    </row>
    <row r="675">
      <c r="A675" s="19"/>
      <c r="B675" s="19"/>
      <c r="C675" s="19"/>
      <c r="D675" s="19"/>
      <c r="E675" s="19"/>
      <c r="F675" s="19"/>
      <c r="G675" s="19"/>
      <c r="H675" s="19"/>
      <c r="I675" s="19"/>
      <c r="J675" s="19"/>
      <c r="K675" s="19"/>
    </row>
    <row r="676">
      <c r="A676" s="19"/>
      <c r="B676" s="19"/>
      <c r="C676" s="19"/>
      <c r="D676" s="19"/>
      <c r="E676" s="19"/>
      <c r="F676" s="19"/>
      <c r="G676" s="19"/>
      <c r="H676" s="19"/>
      <c r="I676" s="19"/>
      <c r="J676" s="19"/>
      <c r="K676" s="19"/>
    </row>
    <row r="677">
      <c r="A677" s="19"/>
      <c r="B677" s="19"/>
      <c r="C677" s="19"/>
      <c r="D677" s="19"/>
      <c r="E677" s="19"/>
      <c r="F677" s="19"/>
      <c r="G677" s="19"/>
      <c r="H677" s="19"/>
      <c r="I677" s="19"/>
      <c r="J677" s="19"/>
      <c r="K677" s="19"/>
    </row>
    <row r="678">
      <c r="A678" s="19"/>
      <c r="B678" s="19"/>
      <c r="C678" s="19"/>
      <c r="D678" s="19"/>
      <c r="E678" s="19"/>
      <c r="F678" s="19"/>
      <c r="G678" s="19"/>
      <c r="H678" s="19"/>
      <c r="I678" s="19"/>
      <c r="J678" s="19"/>
      <c r="K678" s="19"/>
    </row>
    <row r="679">
      <c r="A679" s="19"/>
      <c r="B679" s="19"/>
      <c r="C679" s="19"/>
      <c r="D679" s="19"/>
      <c r="E679" s="19"/>
      <c r="F679" s="19"/>
      <c r="G679" s="19"/>
      <c r="H679" s="19"/>
      <c r="I679" s="19"/>
      <c r="J679" s="19"/>
      <c r="K679" s="19"/>
    </row>
    <row r="680">
      <c r="A680" s="19"/>
      <c r="B680" s="19"/>
      <c r="C680" s="19"/>
      <c r="D680" s="19"/>
      <c r="E680" s="19"/>
      <c r="F680" s="19"/>
      <c r="G680" s="19"/>
      <c r="H680" s="19"/>
      <c r="I680" s="19"/>
      <c r="J680" s="19"/>
      <c r="K680" s="19"/>
    </row>
    <row r="681">
      <c r="A681" s="19"/>
      <c r="B681" s="19"/>
      <c r="C681" s="19"/>
      <c r="D681" s="19"/>
      <c r="E681" s="19"/>
      <c r="F681" s="19"/>
      <c r="G681" s="19"/>
      <c r="H681" s="19"/>
      <c r="I681" s="19"/>
      <c r="J681" s="19"/>
      <c r="K681" s="19"/>
    </row>
    <row r="682">
      <c r="A682" s="19"/>
      <c r="B682" s="19"/>
      <c r="C682" s="19"/>
      <c r="D682" s="19"/>
      <c r="E682" s="19"/>
      <c r="F682" s="19"/>
      <c r="G682" s="19"/>
      <c r="H682" s="19"/>
      <c r="I682" s="19"/>
      <c r="J682" s="19"/>
      <c r="K682" s="19"/>
    </row>
    <row r="683">
      <c r="A683" s="19"/>
      <c r="B683" s="19"/>
      <c r="C683" s="19"/>
      <c r="D683" s="19"/>
      <c r="E683" s="19"/>
      <c r="F683" s="19"/>
      <c r="G683" s="19"/>
      <c r="H683" s="19"/>
      <c r="I683" s="19"/>
      <c r="J683" s="19"/>
      <c r="K683" s="19"/>
    </row>
    <row r="684">
      <c r="A684" s="19"/>
      <c r="B684" s="19"/>
      <c r="C684" s="19"/>
      <c r="D684" s="19"/>
      <c r="E684" s="19"/>
      <c r="F684" s="19"/>
      <c r="G684" s="19"/>
      <c r="H684" s="19"/>
      <c r="I684" s="19"/>
      <c r="J684" s="19"/>
      <c r="K684" s="19"/>
    </row>
    <row r="685">
      <c r="A685" s="19"/>
      <c r="B685" s="19"/>
      <c r="C685" s="19"/>
      <c r="D685" s="19"/>
      <c r="E685" s="19"/>
      <c r="F685" s="19"/>
      <c r="G685" s="19"/>
      <c r="H685" s="19"/>
      <c r="I685" s="19"/>
      <c r="J685" s="19"/>
      <c r="K685" s="19"/>
    </row>
    <row r="686">
      <c r="A686" s="19"/>
      <c r="B686" s="19"/>
      <c r="C686" s="19"/>
      <c r="D686" s="19"/>
      <c r="E686" s="19"/>
      <c r="F686" s="19"/>
      <c r="G686" s="19"/>
      <c r="H686" s="19"/>
      <c r="I686" s="19"/>
      <c r="J686" s="19"/>
      <c r="K686" s="19"/>
    </row>
    <row r="687">
      <c r="A687" s="19"/>
      <c r="B687" s="19"/>
      <c r="C687" s="19"/>
      <c r="D687" s="19"/>
      <c r="E687" s="19"/>
      <c r="F687" s="19"/>
      <c r="G687" s="19"/>
      <c r="H687" s="19"/>
      <c r="I687" s="19"/>
      <c r="J687" s="19"/>
      <c r="K687" s="19"/>
    </row>
    <row r="688">
      <c r="A688" s="19"/>
      <c r="B688" s="19"/>
      <c r="C688" s="19"/>
      <c r="D688" s="19"/>
      <c r="E688" s="19"/>
      <c r="F688" s="19"/>
      <c r="G688" s="19"/>
      <c r="H688" s="19"/>
      <c r="I688" s="19"/>
      <c r="J688" s="19"/>
      <c r="K688" s="19"/>
    </row>
    <row r="689">
      <c r="A689" s="19"/>
      <c r="B689" s="19"/>
      <c r="C689" s="19"/>
      <c r="D689" s="19"/>
      <c r="E689" s="19"/>
      <c r="F689" s="19"/>
      <c r="G689" s="19"/>
      <c r="H689" s="19"/>
      <c r="I689" s="19"/>
      <c r="J689" s="19"/>
      <c r="K689" s="19"/>
    </row>
    <row r="690">
      <c r="A690" s="19"/>
      <c r="B690" s="19"/>
      <c r="C690" s="19"/>
      <c r="D690" s="19"/>
      <c r="E690" s="19"/>
      <c r="F690" s="19"/>
      <c r="G690" s="19"/>
      <c r="H690" s="19"/>
      <c r="I690" s="19"/>
      <c r="J690" s="19"/>
      <c r="K690" s="19"/>
    </row>
    <row r="691">
      <c r="A691" s="19"/>
      <c r="B691" s="19"/>
      <c r="C691" s="19"/>
      <c r="D691" s="19"/>
      <c r="E691" s="19"/>
      <c r="F691" s="19"/>
      <c r="G691" s="19"/>
      <c r="H691" s="19"/>
      <c r="I691" s="19"/>
      <c r="J691" s="19"/>
      <c r="K691" s="19"/>
    </row>
    <row r="692">
      <c r="A692" s="19"/>
      <c r="B692" s="19"/>
      <c r="C692" s="19"/>
      <c r="D692" s="19"/>
      <c r="E692" s="19"/>
      <c r="F692" s="19"/>
      <c r="G692" s="19"/>
      <c r="H692" s="19"/>
      <c r="I692" s="19"/>
      <c r="J692" s="19"/>
      <c r="K692" s="19"/>
    </row>
    <row r="693">
      <c r="A693" s="19"/>
      <c r="B693" s="19"/>
      <c r="C693" s="19"/>
      <c r="D693" s="19"/>
      <c r="E693" s="19"/>
      <c r="F693" s="19"/>
      <c r="G693" s="19"/>
      <c r="H693" s="19"/>
      <c r="I693" s="19"/>
      <c r="J693" s="19"/>
      <c r="K693" s="19"/>
    </row>
    <row r="694">
      <c r="A694" s="19"/>
      <c r="B694" s="19"/>
      <c r="C694" s="19"/>
      <c r="D694" s="19"/>
      <c r="E694" s="19"/>
      <c r="F694" s="19"/>
      <c r="G694" s="19"/>
      <c r="H694" s="19"/>
      <c r="I694" s="19"/>
      <c r="J694" s="19"/>
      <c r="K694" s="19"/>
    </row>
    <row r="695">
      <c r="A695" s="19"/>
      <c r="B695" s="19"/>
      <c r="C695" s="19"/>
      <c r="D695" s="19"/>
      <c r="E695" s="19"/>
      <c r="F695" s="19"/>
      <c r="G695" s="19"/>
      <c r="H695" s="19"/>
      <c r="I695" s="19"/>
      <c r="J695" s="19"/>
      <c r="K695" s="19"/>
    </row>
    <row r="696">
      <c r="A696" s="19"/>
      <c r="B696" s="19"/>
      <c r="C696" s="19"/>
      <c r="D696" s="19"/>
      <c r="E696" s="19"/>
      <c r="F696" s="19"/>
      <c r="G696" s="19"/>
      <c r="H696" s="19"/>
      <c r="I696" s="19"/>
      <c r="J696" s="19"/>
      <c r="K696" s="19"/>
    </row>
    <row r="697">
      <c r="A697" s="19"/>
      <c r="B697" s="19"/>
      <c r="C697" s="19"/>
      <c r="D697" s="19"/>
      <c r="E697" s="19"/>
      <c r="F697" s="19"/>
      <c r="G697" s="19"/>
      <c r="H697" s="19"/>
      <c r="I697" s="19"/>
      <c r="J697" s="19"/>
      <c r="K697" s="19"/>
    </row>
    <row r="698">
      <c r="A698" s="19"/>
      <c r="B698" s="19"/>
      <c r="C698" s="19"/>
      <c r="D698" s="19"/>
      <c r="E698" s="19"/>
      <c r="F698" s="19"/>
      <c r="G698" s="19"/>
      <c r="H698" s="19"/>
      <c r="I698" s="19"/>
      <c r="J698" s="19"/>
      <c r="K698" s="19"/>
    </row>
    <row r="699">
      <c r="A699" s="19"/>
      <c r="B699" s="19"/>
      <c r="C699" s="19"/>
      <c r="D699" s="19"/>
      <c r="E699" s="19"/>
      <c r="F699" s="19"/>
      <c r="G699" s="19"/>
      <c r="H699" s="19"/>
      <c r="I699" s="19"/>
      <c r="J699" s="19"/>
      <c r="K699" s="19"/>
    </row>
    <row r="700">
      <c r="A700" s="19"/>
      <c r="B700" s="19"/>
      <c r="C700" s="19"/>
      <c r="D700" s="19"/>
      <c r="E700" s="19"/>
      <c r="F700" s="19"/>
      <c r="G700" s="19"/>
      <c r="H700" s="19"/>
      <c r="I700" s="19"/>
      <c r="J700" s="19"/>
      <c r="K700" s="19"/>
    </row>
    <row r="701">
      <c r="A701" s="19"/>
      <c r="B701" s="19"/>
      <c r="C701" s="19"/>
      <c r="D701" s="19"/>
      <c r="E701" s="19"/>
      <c r="F701" s="19"/>
      <c r="G701" s="19"/>
      <c r="H701" s="19"/>
      <c r="I701" s="19"/>
      <c r="J701" s="19"/>
      <c r="K701" s="19"/>
    </row>
    <row r="702">
      <c r="A702" s="19"/>
      <c r="B702" s="19"/>
      <c r="C702" s="19"/>
      <c r="D702" s="19"/>
      <c r="E702" s="19"/>
      <c r="F702" s="19"/>
      <c r="G702" s="19"/>
      <c r="H702" s="19"/>
      <c r="I702" s="19"/>
      <c r="J702" s="19"/>
      <c r="K702" s="19"/>
    </row>
    <row r="703">
      <c r="A703" s="19"/>
      <c r="B703" s="19"/>
      <c r="C703" s="19"/>
      <c r="D703" s="19"/>
      <c r="E703" s="19"/>
      <c r="F703" s="19"/>
      <c r="G703" s="19"/>
      <c r="H703" s="19"/>
      <c r="I703" s="19"/>
      <c r="J703" s="19"/>
      <c r="K703" s="19"/>
    </row>
    <row r="704">
      <c r="A704" s="19"/>
      <c r="B704" s="19"/>
      <c r="C704" s="19"/>
      <c r="D704" s="19"/>
      <c r="E704" s="19"/>
      <c r="F704" s="19"/>
      <c r="G704" s="19"/>
      <c r="H704" s="19"/>
      <c r="I704" s="19"/>
      <c r="J704" s="19"/>
      <c r="K704" s="19"/>
    </row>
    <row r="705">
      <c r="A705" s="19"/>
      <c r="B705" s="19"/>
      <c r="C705" s="19"/>
      <c r="D705" s="19"/>
      <c r="E705" s="19"/>
      <c r="F705" s="19"/>
      <c r="G705" s="19"/>
      <c r="H705" s="19"/>
      <c r="I705" s="19"/>
      <c r="J705" s="19"/>
      <c r="K705" s="19"/>
    </row>
    <row r="706">
      <c r="A706" s="19"/>
      <c r="B706" s="19"/>
      <c r="C706" s="19"/>
      <c r="D706" s="19"/>
      <c r="E706" s="19"/>
      <c r="F706" s="19"/>
      <c r="G706" s="19"/>
      <c r="H706" s="19"/>
      <c r="I706" s="19"/>
      <c r="J706" s="19"/>
      <c r="K706" s="19"/>
    </row>
    <row r="707">
      <c r="A707" s="19"/>
      <c r="B707" s="19"/>
      <c r="C707" s="19"/>
      <c r="D707" s="19"/>
      <c r="E707" s="19"/>
      <c r="F707" s="19"/>
      <c r="G707" s="19"/>
      <c r="H707" s="19"/>
      <c r="I707" s="19"/>
      <c r="J707" s="19"/>
      <c r="K707" s="19"/>
    </row>
    <row r="708">
      <c r="A708" s="19"/>
      <c r="B708" s="19"/>
      <c r="C708" s="19"/>
      <c r="D708" s="19"/>
      <c r="E708" s="19"/>
      <c r="F708" s="19"/>
      <c r="G708" s="19"/>
      <c r="H708" s="19"/>
      <c r="I708" s="19"/>
      <c r="J708" s="19"/>
      <c r="K708" s="19"/>
    </row>
    <row r="709">
      <c r="A709" s="19"/>
      <c r="B709" s="19"/>
      <c r="C709" s="19"/>
      <c r="D709" s="19"/>
      <c r="E709" s="19"/>
      <c r="F709" s="19"/>
      <c r="G709" s="19"/>
      <c r="H709" s="19"/>
      <c r="I709" s="19"/>
      <c r="J709" s="19"/>
      <c r="K709" s="19"/>
    </row>
    <row r="710">
      <c r="A710" s="19"/>
      <c r="B710" s="19"/>
      <c r="C710" s="19"/>
      <c r="D710" s="19"/>
      <c r="E710" s="19"/>
      <c r="F710" s="19"/>
      <c r="G710" s="19"/>
      <c r="H710" s="19"/>
      <c r="I710" s="19"/>
      <c r="J710" s="19"/>
      <c r="K710" s="19"/>
    </row>
    <row r="711">
      <c r="A711" s="19"/>
      <c r="B711" s="19"/>
      <c r="C711" s="19"/>
      <c r="D711" s="19"/>
      <c r="E711" s="19"/>
      <c r="F711" s="19"/>
      <c r="G711" s="19"/>
      <c r="H711" s="19"/>
      <c r="I711" s="19"/>
      <c r="J711" s="19"/>
      <c r="K711" s="19"/>
    </row>
    <row r="712">
      <c r="A712" s="19"/>
      <c r="B712" s="19"/>
      <c r="C712" s="19"/>
      <c r="D712" s="19"/>
      <c r="E712" s="19"/>
      <c r="F712" s="19"/>
      <c r="G712" s="19"/>
      <c r="H712" s="19"/>
      <c r="I712" s="19"/>
      <c r="J712" s="19"/>
      <c r="K712" s="19"/>
    </row>
    <row r="713">
      <c r="A713" s="19"/>
      <c r="B713" s="19"/>
      <c r="C713" s="19"/>
      <c r="D713" s="19"/>
      <c r="E713" s="19"/>
      <c r="F713" s="19"/>
      <c r="G713" s="19"/>
      <c r="H713" s="19"/>
      <c r="I713" s="19"/>
      <c r="J713" s="19"/>
      <c r="K713" s="19"/>
    </row>
    <row r="714">
      <c r="A714" s="19"/>
      <c r="B714" s="19"/>
      <c r="C714" s="19"/>
      <c r="D714" s="19"/>
      <c r="E714" s="19"/>
      <c r="F714" s="19"/>
      <c r="G714" s="19"/>
      <c r="H714" s="19"/>
      <c r="I714" s="19"/>
      <c r="J714" s="19"/>
      <c r="K714" s="19"/>
    </row>
    <row r="715">
      <c r="A715" s="19"/>
      <c r="B715" s="19"/>
      <c r="C715" s="19"/>
      <c r="D715" s="19"/>
      <c r="E715" s="19"/>
      <c r="F715" s="19"/>
      <c r="G715" s="19"/>
      <c r="H715" s="19"/>
      <c r="I715" s="19"/>
      <c r="J715" s="19"/>
      <c r="K715" s="19"/>
    </row>
    <row r="716">
      <c r="A716" s="19"/>
      <c r="B716" s="19"/>
      <c r="C716" s="19"/>
      <c r="D716" s="19"/>
      <c r="E716" s="19"/>
      <c r="F716" s="19"/>
      <c r="G716" s="19"/>
      <c r="H716" s="19"/>
      <c r="I716" s="19"/>
      <c r="J716" s="19"/>
      <c r="K716" s="19"/>
    </row>
    <row r="717">
      <c r="A717" s="19"/>
      <c r="B717" s="19"/>
      <c r="C717" s="19"/>
      <c r="D717" s="19"/>
      <c r="E717" s="19"/>
      <c r="F717" s="19"/>
      <c r="G717" s="19"/>
      <c r="H717" s="19"/>
      <c r="I717" s="19"/>
      <c r="J717" s="19"/>
      <c r="K717" s="19"/>
    </row>
    <row r="718">
      <c r="A718" s="19"/>
      <c r="B718" s="19"/>
      <c r="C718" s="19"/>
      <c r="D718" s="19"/>
      <c r="E718" s="19"/>
      <c r="F718" s="19"/>
      <c r="G718" s="19"/>
      <c r="H718" s="19"/>
      <c r="I718" s="19"/>
      <c r="J718" s="19"/>
      <c r="K718" s="19"/>
    </row>
    <row r="719">
      <c r="A719" s="19"/>
      <c r="B719" s="19"/>
      <c r="C719" s="19"/>
      <c r="D719" s="19"/>
      <c r="E719" s="19"/>
      <c r="F719" s="19"/>
      <c r="G719" s="19"/>
      <c r="H719" s="19"/>
      <c r="I719" s="19"/>
      <c r="J719" s="19"/>
      <c r="K719" s="19"/>
    </row>
    <row r="720">
      <c r="A720" s="19"/>
      <c r="B720" s="19"/>
      <c r="C720" s="19"/>
      <c r="D720" s="19"/>
      <c r="E720" s="19"/>
      <c r="F720" s="19"/>
      <c r="G720" s="19"/>
      <c r="H720" s="19"/>
      <c r="I720" s="19"/>
      <c r="J720" s="19"/>
      <c r="K720" s="19"/>
    </row>
    <row r="721">
      <c r="A721" s="19"/>
      <c r="B721" s="19"/>
      <c r="C721" s="19"/>
      <c r="D721" s="19"/>
      <c r="E721" s="19"/>
      <c r="F721" s="19"/>
      <c r="G721" s="19"/>
      <c r="H721" s="19"/>
      <c r="I721" s="19"/>
      <c r="J721" s="19"/>
      <c r="K721" s="19"/>
    </row>
    <row r="722">
      <c r="A722" s="19"/>
      <c r="B722" s="19"/>
      <c r="C722" s="19"/>
      <c r="D722" s="19"/>
      <c r="E722" s="19"/>
      <c r="F722" s="19"/>
      <c r="G722" s="19"/>
      <c r="H722" s="19"/>
      <c r="I722" s="19"/>
      <c r="J722" s="19"/>
      <c r="K722" s="19"/>
    </row>
    <row r="723">
      <c r="A723" s="19"/>
      <c r="B723" s="19"/>
      <c r="C723" s="19"/>
      <c r="D723" s="19"/>
      <c r="E723" s="19"/>
      <c r="F723" s="19"/>
      <c r="G723" s="19"/>
      <c r="H723" s="19"/>
      <c r="I723" s="19"/>
      <c r="J723" s="19"/>
      <c r="K723" s="19"/>
    </row>
    <row r="724">
      <c r="A724" s="19"/>
      <c r="B724" s="19"/>
      <c r="C724" s="19"/>
      <c r="D724" s="19"/>
      <c r="E724" s="19"/>
      <c r="F724" s="19"/>
      <c r="G724" s="19"/>
      <c r="H724" s="19"/>
      <c r="I724" s="19"/>
      <c r="J724" s="19"/>
      <c r="K724" s="19"/>
    </row>
    <row r="725">
      <c r="A725" s="19"/>
      <c r="B725" s="19"/>
      <c r="C725" s="19"/>
      <c r="D725" s="19"/>
      <c r="E725" s="19"/>
      <c r="F725" s="19"/>
      <c r="G725" s="19"/>
      <c r="H725" s="19"/>
      <c r="I725" s="19"/>
      <c r="J725" s="19"/>
      <c r="K725" s="19"/>
    </row>
    <row r="726">
      <c r="A726" s="19"/>
      <c r="B726" s="19"/>
      <c r="C726" s="19"/>
      <c r="D726" s="19"/>
      <c r="E726" s="19"/>
      <c r="F726" s="19"/>
      <c r="G726" s="19"/>
      <c r="H726" s="19"/>
      <c r="I726" s="19"/>
      <c r="J726" s="19"/>
      <c r="K726" s="19"/>
    </row>
    <row r="727">
      <c r="A727" s="19"/>
      <c r="B727" s="19"/>
      <c r="C727" s="19"/>
      <c r="D727" s="19"/>
      <c r="E727" s="19"/>
      <c r="F727" s="19"/>
      <c r="G727" s="19"/>
      <c r="H727" s="19"/>
      <c r="I727" s="19"/>
      <c r="J727" s="19"/>
      <c r="K727" s="19"/>
    </row>
    <row r="728">
      <c r="A728" s="19"/>
      <c r="B728" s="19"/>
      <c r="C728" s="19"/>
      <c r="D728" s="19"/>
      <c r="E728" s="19"/>
      <c r="F728" s="19"/>
      <c r="G728" s="19"/>
      <c r="H728" s="19"/>
      <c r="I728" s="19"/>
      <c r="J728" s="19"/>
      <c r="K728" s="19"/>
    </row>
    <row r="729">
      <c r="A729" s="19"/>
      <c r="B729" s="19"/>
      <c r="C729" s="19"/>
      <c r="D729" s="19"/>
      <c r="E729" s="19"/>
      <c r="F729" s="19"/>
      <c r="G729" s="19"/>
      <c r="H729" s="19"/>
      <c r="I729" s="19"/>
      <c r="J729" s="19"/>
      <c r="K729" s="19"/>
    </row>
    <row r="730">
      <c r="A730" s="19"/>
      <c r="B730" s="19"/>
      <c r="C730" s="19"/>
      <c r="D730" s="19"/>
      <c r="E730" s="19"/>
      <c r="F730" s="19"/>
      <c r="G730" s="19"/>
      <c r="H730" s="19"/>
      <c r="I730" s="19"/>
      <c r="J730" s="19"/>
      <c r="K730" s="19"/>
    </row>
    <row r="731">
      <c r="A731" s="19"/>
      <c r="B731" s="19"/>
      <c r="C731" s="19"/>
      <c r="D731" s="19"/>
      <c r="E731" s="19"/>
      <c r="F731" s="19"/>
      <c r="G731" s="19"/>
      <c r="H731" s="19"/>
      <c r="I731" s="19"/>
      <c r="J731" s="19"/>
      <c r="K731" s="19"/>
    </row>
    <row r="732">
      <c r="A732" s="19"/>
      <c r="B732" s="19"/>
      <c r="C732" s="19"/>
      <c r="D732" s="19"/>
      <c r="E732" s="19"/>
      <c r="F732" s="19"/>
      <c r="G732" s="19"/>
      <c r="H732" s="19"/>
      <c r="I732" s="19"/>
      <c r="J732" s="19"/>
      <c r="K732" s="19"/>
    </row>
    <row r="733">
      <c r="A733" s="19"/>
      <c r="B733" s="19"/>
      <c r="C733" s="19"/>
      <c r="D733" s="19"/>
      <c r="E733" s="19"/>
      <c r="F733" s="19"/>
      <c r="G733" s="19"/>
      <c r="H733" s="19"/>
      <c r="I733" s="19"/>
      <c r="J733" s="19"/>
      <c r="K733" s="19"/>
    </row>
    <row r="734">
      <c r="A734" s="19"/>
      <c r="B734" s="19"/>
      <c r="C734" s="19"/>
      <c r="D734" s="19"/>
      <c r="E734" s="19"/>
      <c r="F734" s="19"/>
      <c r="G734" s="19"/>
      <c r="H734" s="19"/>
      <c r="I734" s="19"/>
      <c r="J734" s="19"/>
      <c r="K734" s="19"/>
    </row>
    <row r="735">
      <c r="A735" s="19"/>
      <c r="B735" s="19"/>
      <c r="C735" s="19"/>
      <c r="D735" s="19"/>
      <c r="E735" s="19"/>
      <c r="F735" s="19"/>
      <c r="G735" s="19"/>
      <c r="H735" s="19"/>
      <c r="I735" s="19"/>
      <c r="J735" s="19"/>
      <c r="K735" s="19"/>
    </row>
    <row r="736">
      <c r="A736" s="19"/>
      <c r="B736" s="19"/>
      <c r="C736" s="19"/>
      <c r="D736" s="19"/>
      <c r="E736" s="19"/>
      <c r="F736" s="19"/>
      <c r="G736" s="19"/>
      <c r="H736" s="19"/>
      <c r="I736" s="19"/>
      <c r="J736" s="19"/>
      <c r="K736" s="19"/>
    </row>
    <row r="737">
      <c r="A737" s="19"/>
      <c r="B737" s="19"/>
      <c r="C737" s="19"/>
      <c r="D737" s="19"/>
      <c r="E737" s="19"/>
      <c r="F737" s="19"/>
      <c r="G737" s="19"/>
      <c r="H737" s="19"/>
      <c r="I737" s="19"/>
      <c r="J737" s="19"/>
      <c r="K737" s="19"/>
    </row>
    <row r="738">
      <c r="A738" s="19"/>
      <c r="B738" s="19"/>
      <c r="C738" s="19"/>
      <c r="D738" s="19"/>
      <c r="E738" s="19"/>
      <c r="F738" s="19"/>
      <c r="G738" s="19"/>
      <c r="H738" s="19"/>
      <c r="I738" s="19"/>
      <c r="J738" s="19"/>
      <c r="K738" s="19"/>
    </row>
    <row r="739">
      <c r="A739" s="19"/>
      <c r="B739" s="19"/>
      <c r="C739" s="19"/>
      <c r="D739" s="19"/>
      <c r="E739" s="19"/>
      <c r="F739" s="19"/>
      <c r="G739" s="19"/>
      <c r="H739" s="19"/>
      <c r="I739" s="19"/>
      <c r="J739" s="19"/>
      <c r="K739" s="19"/>
    </row>
    <row r="740">
      <c r="A740" s="19"/>
      <c r="B740" s="19"/>
      <c r="C740" s="19"/>
      <c r="D740" s="19"/>
      <c r="E740" s="19"/>
      <c r="F740" s="19"/>
      <c r="G740" s="19"/>
      <c r="H740" s="19"/>
      <c r="I740" s="19"/>
      <c r="J740" s="19"/>
      <c r="K740" s="19"/>
    </row>
    <row r="741">
      <c r="A741" s="19"/>
      <c r="B741" s="19"/>
      <c r="C741" s="19"/>
      <c r="D741" s="19"/>
      <c r="E741" s="19"/>
      <c r="F741" s="19"/>
      <c r="G741" s="19"/>
      <c r="H741" s="19"/>
      <c r="I741" s="19"/>
      <c r="J741" s="19"/>
      <c r="K741" s="19"/>
    </row>
    <row r="742">
      <c r="A742" s="19"/>
      <c r="B742" s="19"/>
      <c r="C742" s="19"/>
      <c r="D742" s="19"/>
      <c r="E742" s="19"/>
      <c r="F742" s="19"/>
      <c r="G742" s="19"/>
      <c r="H742" s="19"/>
      <c r="I742" s="19"/>
      <c r="J742" s="19"/>
      <c r="K742" s="19"/>
    </row>
    <row r="743">
      <c r="A743" s="19"/>
      <c r="B743" s="19"/>
      <c r="C743" s="19"/>
      <c r="D743" s="19"/>
      <c r="E743" s="19"/>
      <c r="F743" s="19"/>
      <c r="G743" s="19"/>
      <c r="H743" s="19"/>
      <c r="I743" s="19"/>
      <c r="J743" s="19"/>
      <c r="K743" s="19"/>
    </row>
    <row r="744">
      <c r="A744" s="19"/>
      <c r="B744" s="19"/>
      <c r="C744" s="19"/>
      <c r="D744" s="19"/>
      <c r="E744" s="19"/>
      <c r="F744" s="19"/>
      <c r="G744" s="19"/>
      <c r="H744" s="19"/>
      <c r="I744" s="19"/>
      <c r="J744" s="19"/>
      <c r="K744" s="19"/>
    </row>
    <row r="745">
      <c r="A745" s="19"/>
      <c r="B745" s="19"/>
      <c r="C745" s="19"/>
      <c r="D745" s="19"/>
      <c r="E745" s="19"/>
      <c r="F745" s="19"/>
      <c r="G745" s="19"/>
      <c r="H745" s="19"/>
      <c r="I745" s="19"/>
      <c r="J745" s="19"/>
      <c r="K745" s="19"/>
    </row>
    <row r="746">
      <c r="A746" s="19"/>
      <c r="B746" s="19"/>
      <c r="C746" s="19"/>
      <c r="D746" s="19"/>
      <c r="E746" s="19"/>
      <c r="F746" s="19"/>
      <c r="G746" s="19"/>
      <c r="H746" s="19"/>
      <c r="I746" s="19"/>
      <c r="J746" s="19"/>
      <c r="K746" s="19"/>
    </row>
    <row r="747">
      <c r="A747" s="19"/>
      <c r="B747" s="19"/>
      <c r="C747" s="19"/>
      <c r="D747" s="19"/>
      <c r="E747" s="19"/>
      <c r="F747" s="19"/>
      <c r="G747" s="19"/>
      <c r="H747" s="19"/>
      <c r="I747" s="19"/>
      <c r="J747" s="19"/>
      <c r="K747" s="19"/>
    </row>
    <row r="748">
      <c r="A748" s="19"/>
      <c r="B748" s="19"/>
      <c r="C748" s="19"/>
      <c r="D748" s="19"/>
      <c r="E748" s="19"/>
      <c r="F748" s="19"/>
      <c r="G748" s="19"/>
      <c r="H748" s="19"/>
      <c r="I748" s="19"/>
      <c r="J748" s="19"/>
      <c r="K748" s="19"/>
    </row>
    <row r="749">
      <c r="A749" s="19"/>
      <c r="B749" s="19"/>
      <c r="C749" s="19"/>
      <c r="D749" s="19"/>
      <c r="E749" s="19"/>
      <c r="F749" s="19"/>
      <c r="G749" s="19"/>
      <c r="H749" s="19"/>
      <c r="I749" s="19"/>
      <c r="J749" s="19"/>
      <c r="K749" s="19"/>
    </row>
    <row r="750">
      <c r="A750" s="19"/>
      <c r="B750" s="19"/>
      <c r="C750" s="19"/>
      <c r="D750" s="19"/>
      <c r="E750" s="19"/>
      <c r="F750" s="19"/>
      <c r="G750" s="19"/>
      <c r="H750" s="19"/>
      <c r="I750" s="19"/>
      <c r="J750" s="19"/>
      <c r="K750" s="19"/>
    </row>
    <row r="751">
      <c r="A751" s="19"/>
      <c r="B751" s="19"/>
      <c r="C751" s="19"/>
      <c r="D751" s="19"/>
      <c r="E751" s="19"/>
      <c r="F751" s="19"/>
      <c r="G751" s="19"/>
      <c r="H751" s="19"/>
      <c r="I751" s="19"/>
      <c r="J751" s="19"/>
      <c r="K751" s="19"/>
    </row>
    <row r="752">
      <c r="A752" s="19"/>
      <c r="B752" s="19"/>
      <c r="C752" s="19"/>
      <c r="D752" s="19"/>
      <c r="E752" s="19"/>
      <c r="F752" s="19"/>
      <c r="G752" s="19"/>
      <c r="H752" s="19"/>
      <c r="I752" s="19"/>
      <c r="J752" s="19"/>
      <c r="K752" s="19"/>
    </row>
    <row r="753">
      <c r="A753" s="19"/>
      <c r="B753" s="19"/>
      <c r="C753" s="19"/>
      <c r="D753" s="19"/>
      <c r="E753" s="19"/>
      <c r="F753" s="19"/>
      <c r="G753" s="19"/>
      <c r="H753" s="19"/>
      <c r="I753" s="19"/>
      <c r="J753" s="19"/>
      <c r="K753" s="19"/>
    </row>
    <row r="754">
      <c r="A754" s="19"/>
      <c r="B754" s="19"/>
      <c r="C754" s="19"/>
      <c r="D754" s="19"/>
      <c r="E754" s="19"/>
      <c r="F754" s="19"/>
      <c r="G754" s="19"/>
      <c r="H754" s="19"/>
      <c r="I754" s="19"/>
      <c r="J754" s="19"/>
      <c r="K754" s="19"/>
    </row>
    <row r="755">
      <c r="A755" s="19"/>
      <c r="B755" s="19"/>
      <c r="C755" s="19"/>
      <c r="D755" s="19"/>
      <c r="E755" s="19"/>
      <c r="F755" s="19"/>
      <c r="G755" s="19"/>
      <c r="H755" s="19"/>
      <c r="I755" s="19"/>
      <c r="J755" s="19"/>
      <c r="K755" s="19"/>
    </row>
    <row r="756">
      <c r="A756" s="19"/>
      <c r="B756" s="19"/>
      <c r="C756" s="19"/>
      <c r="D756" s="19"/>
      <c r="E756" s="19"/>
      <c r="F756" s="19"/>
      <c r="G756" s="19"/>
      <c r="H756" s="19"/>
      <c r="I756" s="19"/>
      <c r="J756" s="19"/>
      <c r="K756" s="19"/>
    </row>
    <row r="757">
      <c r="A757" s="19"/>
      <c r="B757" s="19"/>
      <c r="C757" s="19"/>
      <c r="D757" s="19"/>
      <c r="E757" s="19"/>
      <c r="F757" s="19"/>
      <c r="G757" s="19"/>
      <c r="H757" s="19"/>
      <c r="I757" s="19"/>
      <c r="J757" s="19"/>
      <c r="K757" s="19"/>
    </row>
    <row r="758">
      <c r="A758" s="19"/>
      <c r="B758" s="19"/>
      <c r="C758" s="19"/>
      <c r="D758" s="19"/>
      <c r="E758" s="19"/>
      <c r="F758" s="19"/>
      <c r="G758" s="19"/>
      <c r="H758" s="19"/>
      <c r="I758" s="19"/>
      <c r="J758" s="19"/>
      <c r="K758" s="19"/>
    </row>
    <row r="759">
      <c r="A759" s="19"/>
      <c r="B759" s="19"/>
      <c r="C759" s="19"/>
      <c r="D759" s="19"/>
      <c r="E759" s="19"/>
      <c r="F759" s="19"/>
      <c r="G759" s="19"/>
      <c r="H759" s="19"/>
      <c r="I759" s="19"/>
      <c r="J759" s="19"/>
      <c r="K759" s="19"/>
    </row>
    <row r="760">
      <c r="A760" s="19"/>
      <c r="B760" s="19"/>
      <c r="C760" s="19"/>
      <c r="D760" s="19"/>
      <c r="E760" s="19"/>
      <c r="F760" s="19"/>
      <c r="G760" s="19"/>
      <c r="H760" s="19"/>
      <c r="I760" s="19"/>
      <c r="J760" s="19"/>
      <c r="K760" s="19"/>
    </row>
    <row r="761">
      <c r="A761" s="19"/>
      <c r="B761" s="19"/>
      <c r="C761" s="19"/>
      <c r="D761" s="19"/>
      <c r="E761" s="19"/>
      <c r="F761" s="19"/>
      <c r="G761" s="19"/>
      <c r="H761" s="19"/>
      <c r="I761" s="19"/>
      <c r="J761" s="19"/>
      <c r="K761" s="19"/>
    </row>
    <row r="762">
      <c r="A762" s="19"/>
      <c r="B762" s="19"/>
      <c r="C762" s="19"/>
      <c r="D762" s="19"/>
      <c r="E762" s="19"/>
      <c r="F762" s="19"/>
      <c r="G762" s="19"/>
      <c r="H762" s="19"/>
      <c r="I762" s="19"/>
      <c r="J762" s="19"/>
      <c r="K762" s="19"/>
    </row>
    <row r="763">
      <c r="A763" s="19"/>
      <c r="B763" s="19"/>
      <c r="C763" s="19"/>
      <c r="D763" s="19"/>
      <c r="E763" s="19"/>
      <c r="F763" s="19"/>
      <c r="G763" s="19"/>
      <c r="H763" s="19"/>
      <c r="I763" s="19"/>
      <c r="J763" s="19"/>
      <c r="K763" s="19"/>
    </row>
    <row r="764">
      <c r="A764" s="19"/>
      <c r="B764" s="19"/>
      <c r="C764" s="19"/>
      <c r="D764" s="19"/>
      <c r="E764" s="19"/>
      <c r="F764" s="19"/>
      <c r="G764" s="19"/>
      <c r="H764" s="19"/>
      <c r="I764" s="19"/>
      <c r="J764" s="19"/>
      <c r="K764" s="19"/>
    </row>
    <row r="765">
      <c r="A765" s="19"/>
      <c r="B765" s="19"/>
      <c r="C765" s="19"/>
      <c r="D765" s="19"/>
      <c r="E765" s="19"/>
      <c r="F765" s="19"/>
      <c r="G765" s="19"/>
      <c r="H765" s="19"/>
      <c r="I765" s="19"/>
      <c r="J765" s="19"/>
      <c r="K765" s="19"/>
    </row>
    <row r="766">
      <c r="A766" s="19"/>
      <c r="B766" s="19"/>
      <c r="C766" s="19"/>
      <c r="D766" s="19"/>
      <c r="E766" s="19"/>
      <c r="F766" s="19"/>
      <c r="G766" s="19"/>
      <c r="H766" s="19"/>
      <c r="I766" s="19"/>
      <c r="J766" s="19"/>
      <c r="K766" s="19"/>
    </row>
    <row r="767">
      <c r="A767" s="19"/>
      <c r="B767" s="19"/>
      <c r="C767" s="19"/>
      <c r="D767" s="19"/>
      <c r="E767" s="19"/>
      <c r="F767" s="19"/>
      <c r="G767" s="19"/>
      <c r="H767" s="19"/>
      <c r="I767" s="19"/>
      <c r="J767" s="19"/>
      <c r="K767" s="19"/>
    </row>
    <row r="768">
      <c r="A768" s="19"/>
      <c r="B768" s="19"/>
      <c r="C768" s="19"/>
      <c r="D768" s="19"/>
      <c r="E768" s="19"/>
      <c r="F768" s="19"/>
      <c r="G768" s="19"/>
      <c r="H768" s="19"/>
      <c r="I768" s="19"/>
      <c r="J768" s="19"/>
      <c r="K768" s="19"/>
    </row>
    <row r="769">
      <c r="A769" s="19"/>
      <c r="B769" s="19"/>
      <c r="C769" s="19"/>
      <c r="D769" s="19"/>
      <c r="E769" s="19"/>
      <c r="F769" s="19"/>
      <c r="G769" s="19"/>
      <c r="H769" s="19"/>
      <c r="I769" s="19"/>
      <c r="J769" s="19"/>
      <c r="K769" s="19"/>
    </row>
    <row r="770">
      <c r="A770" s="19"/>
      <c r="B770" s="19"/>
      <c r="C770" s="19"/>
      <c r="D770" s="19"/>
      <c r="E770" s="19"/>
      <c r="F770" s="19"/>
      <c r="G770" s="19"/>
      <c r="H770" s="19"/>
      <c r="I770" s="19"/>
      <c r="J770" s="19"/>
      <c r="K770" s="19"/>
    </row>
    <row r="771">
      <c r="A771" s="19"/>
      <c r="B771" s="19"/>
      <c r="C771" s="19"/>
      <c r="D771" s="19"/>
      <c r="E771" s="19"/>
      <c r="F771" s="19"/>
      <c r="G771" s="19"/>
      <c r="H771" s="19"/>
      <c r="I771" s="19"/>
      <c r="J771" s="19"/>
      <c r="K771" s="19"/>
    </row>
    <row r="772">
      <c r="A772" s="19"/>
      <c r="B772" s="19"/>
      <c r="C772" s="19"/>
      <c r="D772" s="19"/>
      <c r="E772" s="19"/>
      <c r="F772" s="19"/>
      <c r="G772" s="19"/>
      <c r="H772" s="19"/>
      <c r="I772" s="19"/>
      <c r="J772" s="19"/>
      <c r="K772" s="19"/>
    </row>
    <row r="773">
      <c r="A773" s="19"/>
      <c r="B773" s="19"/>
      <c r="C773" s="19"/>
      <c r="D773" s="19"/>
      <c r="E773" s="19"/>
      <c r="F773" s="19"/>
      <c r="G773" s="19"/>
      <c r="H773" s="19"/>
      <c r="I773" s="19"/>
      <c r="J773" s="19"/>
      <c r="K773" s="19"/>
    </row>
    <row r="774">
      <c r="A774" s="19"/>
      <c r="B774" s="19"/>
      <c r="C774" s="19"/>
      <c r="D774" s="19"/>
      <c r="E774" s="19"/>
      <c r="F774" s="19"/>
      <c r="G774" s="19"/>
      <c r="H774" s="19"/>
      <c r="I774" s="19"/>
      <c r="J774" s="19"/>
      <c r="K774" s="19"/>
    </row>
    <row r="775">
      <c r="A775" s="19"/>
      <c r="B775" s="19"/>
      <c r="C775" s="19"/>
      <c r="D775" s="19"/>
      <c r="E775" s="19"/>
      <c r="F775" s="19"/>
      <c r="G775" s="19"/>
      <c r="H775" s="19"/>
      <c r="I775" s="19"/>
      <c r="J775" s="19"/>
      <c r="K775" s="19"/>
    </row>
    <row r="776">
      <c r="A776" s="19"/>
      <c r="B776" s="19"/>
      <c r="C776" s="19"/>
      <c r="D776" s="19"/>
      <c r="E776" s="19"/>
      <c r="F776" s="19"/>
      <c r="G776" s="19"/>
      <c r="H776" s="19"/>
      <c r="I776" s="19"/>
      <c r="J776" s="19"/>
      <c r="K776" s="19"/>
    </row>
    <row r="777">
      <c r="A777" s="19"/>
      <c r="B777" s="19"/>
      <c r="C777" s="19"/>
      <c r="D777" s="19"/>
      <c r="E777" s="19"/>
      <c r="F777" s="19"/>
      <c r="G777" s="19"/>
      <c r="H777" s="19"/>
      <c r="I777" s="19"/>
      <c r="J777" s="19"/>
      <c r="K777" s="19"/>
    </row>
    <row r="778">
      <c r="A778" s="19"/>
      <c r="B778" s="19"/>
      <c r="C778" s="19"/>
      <c r="D778" s="19"/>
      <c r="E778" s="19"/>
      <c r="F778" s="19"/>
      <c r="G778" s="19"/>
      <c r="H778" s="19"/>
      <c r="I778" s="19"/>
      <c r="J778" s="19"/>
      <c r="K778" s="19"/>
    </row>
    <row r="779">
      <c r="A779" s="19"/>
      <c r="B779" s="19"/>
      <c r="C779" s="19"/>
      <c r="D779" s="19"/>
      <c r="E779" s="19"/>
      <c r="F779" s="19"/>
      <c r="G779" s="19"/>
      <c r="H779" s="19"/>
      <c r="I779" s="19"/>
      <c r="J779" s="19"/>
      <c r="K779" s="19"/>
    </row>
    <row r="780">
      <c r="A780" s="19"/>
      <c r="B780" s="19"/>
      <c r="C780" s="19"/>
      <c r="D780" s="19"/>
      <c r="E780" s="19"/>
      <c r="F780" s="19"/>
      <c r="G780" s="19"/>
      <c r="H780" s="19"/>
      <c r="I780" s="19"/>
      <c r="J780" s="19"/>
      <c r="K780" s="19"/>
    </row>
    <row r="781">
      <c r="A781" s="19"/>
      <c r="B781" s="19"/>
      <c r="C781" s="19"/>
      <c r="D781" s="19"/>
      <c r="E781" s="19"/>
      <c r="F781" s="19"/>
      <c r="G781" s="19"/>
      <c r="H781" s="19"/>
      <c r="I781" s="19"/>
      <c r="J781" s="19"/>
      <c r="K781" s="19"/>
    </row>
    <row r="782">
      <c r="A782" s="19"/>
      <c r="B782" s="19"/>
      <c r="C782" s="19"/>
      <c r="D782" s="19"/>
      <c r="E782" s="19"/>
      <c r="F782" s="19"/>
      <c r="G782" s="19"/>
      <c r="H782" s="19"/>
      <c r="I782" s="19"/>
      <c r="J782" s="19"/>
      <c r="K782" s="19"/>
    </row>
    <row r="783">
      <c r="A783" s="19"/>
      <c r="B783" s="19"/>
      <c r="C783" s="19"/>
      <c r="D783" s="19"/>
      <c r="E783" s="19"/>
      <c r="F783" s="19"/>
      <c r="G783" s="19"/>
      <c r="H783" s="19"/>
      <c r="I783" s="19"/>
      <c r="J783" s="19"/>
      <c r="K783" s="19"/>
    </row>
    <row r="784">
      <c r="A784" s="19"/>
      <c r="B784" s="19"/>
      <c r="C784" s="19"/>
      <c r="D784" s="19"/>
      <c r="E784" s="19"/>
      <c r="F784" s="19"/>
      <c r="G784" s="19"/>
      <c r="H784" s="19"/>
      <c r="I784" s="19"/>
      <c r="J784" s="19"/>
      <c r="K784" s="19"/>
    </row>
    <row r="785">
      <c r="A785" s="19"/>
      <c r="B785" s="19"/>
      <c r="C785" s="19"/>
      <c r="D785" s="19"/>
      <c r="E785" s="19"/>
      <c r="F785" s="19"/>
      <c r="G785" s="19"/>
      <c r="H785" s="19"/>
      <c r="I785" s="19"/>
      <c r="J785" s="19"/>
      <c r="K785" s="19"/>
    </row>
    <row r="786">
      <c r="A786" s="19"/>
      <c r="B786" s="19"/>
      <c r="C786" s="19"/>
      <c r="D786" s="19"/>
      <c r="E786" s="19"/>
      <c r="F786" s="19"/>
      <c r="G786" s="19"/>
      <c r="H786" s="19"/>
      <c r="I786" s="19"/>
      <c r="J786" s="19"/>
      <c r="K786" s="19"/>
    </row>
    <row r="787">
      <c r="A787" s="19"/>
      <c r="B787" s="19"/>
      <c r="C787" s="19"/>
      <c r="D787" s="19"/>
      <c r="E787" s="19"/>
      <c r="F787" s="19"/>
      <c r="G787" s="19"/>
      <c r="H787" s="19"/>
      <c r="I787" s="19"/>
      <c r="J787" s="19"/>
      <c r="K787" s="19"/>
    </row>
    <row r="788">
      <c r="A788" s="19"/>
      <c r="B788" s="19"/>
      <c r="C788" s="19"/>
      <c r="D788" s="19"/>
      <c r="E788" s="19"/>
      <c r="F788" s="19"/>
      <c r="G788" s="19"/>
      <c r="H788" s="19"/>
      <c r="I788" s="19"/>
      <c r="J788" s="19"/>
      <c r="K788" s="19"/>
    </row>
    <row r="789">
      <c r="A789" s="19"/>
      <c r="B789" s="19"/>
      <c r="C789" s="19"/>
      <c r="D789" s="19"/>
      <c r="E789" s="19"/>
      <c r="F789" s="19"/>
      <c r="G789" s="19"/>
      <c r="H789" s="19"/>
      <c r="I789" s="19"/>
      <c r="J789" s="19"/>
      <c r="K789" s="19"/>
    </row>
    <row r="790">
      <c r="A790" s="19"/>
      <c r="B790" s="19"/>
      <c r="C790" s="19"/>
      <c r="D790" s="19"/>
      <c r="E790" s="19"/>
      <c r="F790" s="19"/>
      <c r="G790" s="19"/>
      <c r="H790" s="19"/>
      <c r="I790" s="19"/>
      <c r="J790" s="19"/>
      <c r="K790" s="19"/>
    </row>
    <row r="791">
      <c r="A791" s="19"/>
      <c r="B791" s="19"/>
      <c r="C791" s="19"/>
      <c r="D791" s="19"/>
      <c r="E791" s="19"/>
      <c r="F791" s="19"/>
      <c r="G791" s="19"/>
      <c r="H791" s="19"/>
      <c r="I791" s="19"/>
      <c r="J791" s="19"/>
      <c r="K791" s="19"/>
    </row>
    <row r="792">
      <c r="A792" s="19"/>
      <c r="B792" s="19"/>
      <c r="C792" s="19"/>
      <c r="D792" s="19"/>
      <c r="E792" s="19"/>
      <c r="F792" s="19"/>
      <c r="G792" s="19"/>
      <c r="H792" s="19"/>
      <c r="I792" s="19"/>
      <c r="J792" s="19"/>
      <c r="K792" s="19"/>
    </row>
    <row r="793">
      <c r="A793" s="19"/>
      <c r="B793" s="19"/>
      <c r="C793" s="19"/>
      <c r="D793" s="19"/>
      <c r="E793" s="19"/>
      <c r="F793" s="19"/>
      <c r="G793" s="19"/>
      <c r="H793" s="19"/>
      <c r="I793" s="19"/>
      <c r="J793" s="19"/>
      <c r="K793" s="19"/>
    </row>
    <row r="794">
      <c r="A794" s="19"/>
      <c r="B794" s="19"/>
      <c r="C794" s="19"/>
      <c r="D794" s="19"/>
      <c r="E794" s="19"/>
      <c r="F794" s="19"/>
      <c r="G794" s="19"/>
      <c r="H794" s="19"/>
      <c r="I794" s="19"/>
      <c r="J794" s="19"/>
      <c r="K794" s="19"/>
    </row>
    <row r="795">
      <c r="A795" s="19"/>
      <c r="B795" s="19"/>
      <c r="C795" s="19"/>
      <c r="D795" s="19"/>
      <c r="E795" s="19"/>
      <c r="F795" s="19"/>
      <c r="G795" s="19"/>
      <c r="H795" s="19"/>
      <c r="I795" s="19"/>
      <c r="J795" s="19"/>
      <c r="K795" s="19"/>
    </row>
    <row r="796">
      <c r="A796" s="19"/>
      <c r="B796" s="19"/>
      <c r="C796" s="19"/>
      <c r="D796" s="19"/>
      <c r="E796" s="19"/>
      <c r="F796" s="19"/>
      <c r="G796" s="19"/>
      <c r="H796" s="19"/>
      <c r="I796" s="19"/>
      <c r="J796" s="19"/>
      <c r="K796" s="19"/>
    </row>
    <row r="797">
      <c r="A797" s="19"/>
      <c r="B797" s="19"/>
      <c r="C797" s="19"/>
      <c r="D797" s="19"/>
      <c r="E797" s="19"/>
      <c r="F797" s="19"/>
      <c r="G797" s="19"/>
      <c r="H797" s="19"/>
      <c r="I797" s="19"/>
      <c r="J797" s="19"/>
      <c r="K797" s="19"/>
    </row>
    <row r="798">
      <c r="A798" s="19"/>
      <c r="B798" s="19"/>
      <c r="C798" s="19"/>
      <c r="D798" s="19"/>
      <c r="E798" s="19"/>
      <c r="F798" s="19"/>
      <c r="G798" s="19"/>
      <c r="H798" s="19"/>
      <c r="I798" s="19"/>
      <c r="J798" s="19"/>
      <c r="K798" s="19"/>
    </row>
    <row r="799">
      <c r="A799" s="19"/>
      <c r="B799" s="19"/>
      <c r="C799" s="19"/>
      <c r="D799" s="19"/>
      <c r="E799" s="19"/>
      <c r="F799" s="19"/>
      <c r="G799" s="19"/>
      <c r="H799" s="19"/>
      <c r="I799" s="19"/>
      <c r="J799" s="19"/>
      <c r="K799" s="19"/>
    </row>
    <row r="800">
      <c r="A800" s="19"/>
      <c r="B800" s="19"/>
      <c r="C800" s="19"/>
      <c r="D800" s="19"/>
      <c r="E800" s="19"/>
      <c r="F800" s="19"/>
      <c r="G800" s="19"/>
      <c r="H800" s="19"/>
      <c r="I800" s="19"/>
      <c r="J800" s="19"/>
      <c r="K800" s="19"/>
    </row>
    <row r="801">
      <c r="A801" s="19"/>
      <c r="B801" s="19"/>
      <c r="C801" s="19"/>
      <c r="D801" s="19"/>
      <c r="E801" s="19"/>
      <c r="F801" s="19"/>
      <c r="G801" s="19"/>
      <c r="H801" s="19"/>
      <c r="I801" s="19"/>
      <c r="J801" s="19"/>
      <c r="K801" s="19"/>
    </row>
    <row r="802">
      <c r="A802" s="19"/>
      <c r="B802" s="19"/>
      <c r="C802" s="19"/>
      <c r="D802" s="19"/>
      <c r="E802" s="19"/>
      <c r="F802" s="19"/>
      <c r="G802" s="19"/>
      <c r="H802" s="19"/>
      <c r="I802" s="19"/>
      <c r="J802" s="19"/>
      <c r="K802" s="19"/>
    </row>
    <row r="803">
      <c r="A803" s="19"/>
      <c r="B803" s="19"/>
      <c r="C803" s="19"/>
      <c r="D803" s="19"/>
      <c r="E803" s="19"/>
      <c r="F803" s="19"/>
      <c r="G803" s="19"/>
      <c r="H803" s="19"/>
      <c r="I803" s="19"/>
      <c r="J803" s="19"/>
      <c r="K803" s="19"/>
    </row>
    <row r="804">
      <c r="A804" s="19"/>
      <c r="B804" s="19"/>
      <c r="C804" s="19"/>
      <c r="D804" s="19"/>
      <c r="E804" s="19"/>
      <c r="F804" s="19"/>
      <c r="G804" s="19"/>
      <c r="H804" s="19"/>
      <c r="I804" s="19"/>
      <c r="J804" s="19"/>
      <c r="K804" s="19"/>
    </row>
    <row r="805">
      <c r="A805" s="19"/>
      <c r="B805" s="19"/>
      <c r="C805" s="19"/>
      <c r="D805" s="19"/>
      <c r="E805" s="19"/>
      <c r="F805" s="19"/>
      <c r="G805" s="19"/>
      <c r="H805" s="19"/>
      <c r="I805" s="19"/>
      <c r="J805" s="19"/>
      <c r="K805" s="19"/>
    </row>
    <row r="806">
      <c r="A806" s="19"/>
      <c r="B806" s="19"/>
      <c r="C806" s="19"/>
      <c r="D806" s="19"/>
      <c r="E806" s="19"/>
      <c r="F806" s="19"/>
      <c r="G806" s="19"/>
      <c r="H806" s="19"/>
      <c r="I806" s="19"/>
      <c r="J806" s="19"/>
      <c r="K806" s="19"/>
    </row>
    <row r="807">
      <c r="A807" s="19"/>
      <c r="B807" s="19"/>
      <c r="C807" s="19"/>
      <c r="D807" s="19"/>
      <c r="E807" s="19"/>
      <c r="F807" s="19"/>
      <c r="G807" s="19"/>
      <c r="H807" s="19"/>
      <c r="I807" s="19"/>
      <c r="J807" s="19"/>
      <c r="K807" s="19"/>
    </row>
    <row r="808">
      <c r="A808" s="19"/>
      <c r="B808" s="19"/>
      <c r="C808" s="19"/>
      <c r="D808" s="19"/>
      <c r="E808" s="19"/>
      <c r="F808" s="19"/>
      <c r="G808" s="19"/>
      <c r="H808" s="19"/>
      <c r="I808" s="19"/>
      <c r="J808" s="19"/>
      <c r="K808" s="19"/>
    </row>
    <row r="809">
      <c r="A809" s="19"/>
      <c r="B809" s="19"/>
      <c r="C809" s="19"/>
      <c r="D809" s="19"/>
      <c r="E809" s="19"/>
      <c r="F809" s="19"/>
      <c r="G809" s="19"/>
      <c r="H809" s="19"/>
      <c r="I809" s="19"/>
      <c r="J809" s="19"/>
      <c r="K809" s="19"/>
    </row>
    <row r="810">
      <c r="A810" s="19"/>
      <c r="B810" s="19"/>
      <c r="C810" s="19"/>
      <c r="D810" s="19"/>
      <c r="E810" s="19"/>
      <c r="F810" s="19"/>
      <c r="G810" s="19"/>
      <c r="H810" s="19"/>
      <c r="I810" s="19"/>
      <c r="J810" s="19"/>
      <c r="K810" s="19"/>
    </row>
    <row r="811">
      <c r="A811" s="19"/>
      <c r="B811" s="19"/>
      <c r="C811" s="19"/>
      <c r="D811" s="19"/>
      <c r="E811" s="19"/>
      <c r="F811" s="19"/>
      <c r="G811" s="19"/>
      <c r="H811" s="19"/>
      <c r="I811" s="19"/>
      <c r="J811" s="19"/>
      <c r="K811" s="19"/>
    </row>
    <row r="812">
      <c r="A812" s="19"/>
      <c r="B812" s="19"/>
      <c r="C812" s="19"/>
      <c r="D812" s="19"/>
      <c r="E812" s="19"/>
      <c r="F812" s="19"/>
      <c r="G812" s="19"/>
      <c r="H812" s="19"/>
      <c r="I812" s="19"/>
      <c r="J812" s="19"/>
      <c r="K812" s="19"/>
    </row>
    <row r="813">
      <c r="A813" s="19"/>
      <c r="B813" s="19"/>
      <c r="C813" s="19"/>
      <c r="D813" s="19"/>
      <c r="E813" s="19"/>
      <c r="F813" s="19"/>
      <c r="G813" s="19"/>
      <c r="H813" s="19"/>
      <c r="I813" s="19"/>
      <c r="J813" s="19"/>
      <c r="K813" s="19"/>
    </row>
    <row r="814">
      <c r="A814" s="19"/>
      <c r="B814" s="19"/>
      <c r="C814" s="19"/>
      <c r="D814" s="19"/>
      <c r="E814" s="19"/>
      <c r="F814" s="19"/>
      <c r="G814" s="19"/>
      <c r="H814" s="19"/>
      <c r="I814" s="19"/>
      <c r="J814" s="19"/>
      <c r="K814" s="19"/>
    </row>
    <row r="815">
      <c r="A815" s="19"/>
      <c r="B815" s="19"/>
      <c r="C815" s="19"/>
      <c r="D815" s="19"/>
      <c r="E815" s="19"/>
      <c r="F815" s="19"/>
      <c r="G815" s="19"/>
      <c r="H815" s="19"/>
      <c r="I815" s="19"/>
      <c r="J815" s="19"/>
      <c r="K815" s="19"/>
    </row>
    <row r="816">
      <c r="A816" s="19"/>
      <c r="B816" s="19"/>
      <c r="C816" s="19"/>
      <c r="D816" s="19"/>
      <c r="E816" s="19"/>
      <c r="F816" s="19"/>
      <c r="G816" s="19"/>
      <c r="H816" s="19"/>
      <c r="I816" s="19"/>
      <c r="J816" s="19"/>
      <c r="K816" s="19"/>
    </row>
    <row r="817">
      <c r="A817" s="19"/>
      <c r="B817" s="19"/>
      <c r="C817" s="19"/>
      <c r="D817" s="19"/>
      <c r="E817" s="19"/>
      <c r="F817" s="19"/>
      <c r="G817" s="19"/>
      <c r="H817" s="19"/>
      <c r="I817" s="19"/>
      <c r="J817" s="19"/>
      <c r="K817" s="19"/>
    </row>
    <row r="818">
      <c r="A818" s="19"/>
      <c r="B818" s="19"/>
      <c r="C818" s="19"/>
      <c r="D818" s="19"/>
      <c r="E818" s="19"/>
      <c r="F818" s="19"/>
      <c r="G818" s="19"/>
      <c r="H818" s="19"/>
      <c r="I818" s="19"/>
      <c r="J818" s="19"/>
      <c r="K818" s="19"/>
    </row>
    <row r="819">
      <c r="A819" s="19"/>
      <c r="B819" s="19"/>
      <c r="C819" s="19"/>
      <c r="D819" s="19"/>
      <c r="E819" s="19"/>
      <c r="F819" s="19"/>
      <c r="G819" s="19"/>
      <c r="H819" s="19"/>
      <c r="I819" s="19"/>
      <c r="J819" s="19"/>
      <c r="K819" s="19"/>
    </row>
    <row r="820">
      <c r="A820" s="19"/>
      <c r="B820" s="19"/>
      <c r="C820" s="19"/>
      <c r="D820" s="19"/>
      <c r="E820" s="19"/>
      <c r="F820" s="19"/>
      <c r="G820" s="19"/>
      <c r="H820" s="19"/>
      <c r="I820" s="19"/>
      <c r="J820" s="19"/>
      <c r="K820" s="19"/>
    </row>
    <row r="821">
      <c r="A821" s="19"/>
      <c r="B821" s="19"/>
      <c r="C821" s="19"/>
      <c r="D821" s="19"/>
      <c r="E821" s="19"/>
      <c r="F821" s="19"/>
      <c r="G821" s="19"/>
      <c r="H821" s="19"/>
      <c r="I821" s="19"/>
      <c r="J821" s="19"/>
      <c r="K821" s="19"/>
    </row>
    <row r="822">
      <c r="A822" s="19"/>
      <c r="B822" s="19"/>
      <c r="C822" s="19"/>
      <c r="D822" s="19"/>
      <c r="E822" s="19"/>
      <c r="F822" s="19"/>
      <c r="G822" s="19"/>
      <c r="H822" s="19"/>
      <c r="I822" s="19"/>
      <c r="J822" s="19"/>
      <c r="K822" s="19"/>
    </row>
    <row r="823">
      <c r="A823" s="19"/>
      <c r="B823" s="19"/>
      <c r="C823" s="19"/>
      <c r="D823" s="19"/>
      <c r="E823" s="19"/>
      <c r="F823" s="19"/>
      <c r="G823" s="19"/>
      <c r="H823" s="19"/>
      <c r="I823" s="19"/>
      <c r="J823" s="19"/>
      <c r="K823" s="19"/>
    </row>
    <row r="824">
      <c r="A824" s="19"/>
      <c r="B824" s="19"/>
      <c r="C824" s="19"/>
      <c r="D824" s="19"/>
      <c r="E824" s="19"/>
      <c r="F824" s="19"/>
      <c r="G824" s="19"/>
      <c r="H824" s="19"/>
      <c r="I824" s="19"/>
      <c r="J824" s="19"/>
      <c r="K824" s="19"/>
    </row>
    <row r="825">
      <c r="A825" s="19"/>
      <c r="B825" s="19"/>
      <c r="C825" s="19"/>
      <c r="D825" s="19"/>
      <c r="E825" s="19"/>
      <c r="F825" s="19"/>
      <c r="G825" s="19"/>
      <c r="H825" s="19"/>
      <c r="I825" s="19"/>
      <c r="J825" s="19"/>
      <c r="K825" s="19"/>
    </row>
    <row r="826">
      <c r="A826" s="19"/>
      <c r="B826" s="19"/>
      <c r="C826" s="19"/>
      <c r="D826" s="19"/>
      <c r="E826" s="19"/>
      <c r="F826" s="19"/>
      <c r="G826" s="19"/>
      <c r="H826" s="19"/>
      <c r="I826" s="19"/>
      <c r="J826" s="19"/>
      <c r="K826" s="19"/>
    </row>
    <row r="827">
      <c r="A827" s="19"/>
      <c r="B827" s="19"/>
      <c r="C827" s="19"/>
      <c r="D827" s="19"/>
      <c r="E827" s="19"/>
      <c r="F827" s="19"/>
      <c r="G827" s="19"/>
      <c r="H827" s="19"/>
      <c r="I827" s="19"/>
      <c r="J827" s="19"/>
      <c r="K827" s="19"/>
    </row>
    <row r="828">
      <c r="A828" s="19"/>
      <c r="B828" s="19"/>
      <c r="C828" s="19"/>
      <c r="D828" s="19"/>
      <c r="E828" s="19"/>
      <c r="F828" s="19"/>
      <c r="G828" s="19"/>
      <c r="H828" s="19"/>
      <c r="I828" s="19"/>
      <c r="J828" s="19"/>
      <c r="K828" s="19"/>
    </row>
    <row r="829">
      <c r="A829" s="19"/>
      <c r="B829" s="19"/>
      <c r="C829" s="19"/>
      <c r="D829" s="19"/>
      <c r="E829" s="19"/>
      <c r="F829" s="19"/>
      <c r="G829" s="19"/>
      <c r="H829" s="19"/>
      <c r="I829" s="19"/>
      <c r="J829" s="19"/>
      <c r="K829" s="19"/>
    </row>
    <row r="830">
      <c r="A830" s="19"/>
      <c r="B830" s="19"/>
      <c r="C830" s="19"/>
      <c r="D830" s="19"/>
      <c r="E830" s="19"/>
      <c r="F830" s="19"/>
      <c r="G830" s="19"/>
      <c r="H830" s="19"/>
      <c r="I830" s="19"/>
      <c r="J830" s="19"/>
      <c r="K830" s="19"/>
    </row>
    <row r="831">
      <c r="A831" s="19"/>
      <c r="B831" s="19"/>
      <c r="C831" s="19"/>
      <c r="D831" s="19"/>
      <c r="E831" s="19"/>
      <c r="F831" s="19"/>
      <c r="G831" s="19"/>
      <c r="H831" s="19"/>
      <c r="I831" s="19"/>
      <c r="J831" s="19"/>
      <c r="K831" s="19"/>
    </row>
    <row r="832">
      <c r="A832" s="19"/>
      <c r="B832" s="19"/>
      <c r="C832" s="19"/>
      <c r="D832" s="19"/>
      <c r="E832" s="19"/>
      <c r="F832" s="19"/>
      <c r="G832" s="19"/>
      <c r="H832" s="19"/>
      <c r="I832" s="19"/>
      <c r="J832" s="19"/>
      <c r="K832" s="19"/>
    </row>
    <row r="833">
      <c r="A833" s="19"/>
      <c r="B833" s="19"/>
      <c r="C833" s="19"/>
      <c r="D833" s="19"/>
      <c r="E833" s="19"/>
      <c r="F833" s="19"/>
      <c r="G833" s="19"/>
      <c r="H833" s="19"/>
      <c r="I833" s="19"/>
      <c r="J833" s="19"/>
      <c r="K833" s="19"/>
    </row>
    <row r="834">
      <c r="A834" s="19"/>
      <c r="B834" s="19"/>
      <c r="C834" s="19"/>
      <c r="D834" s="19"/>
      <c r="E834" s="19"/>
      <c r="F834" s="19"/>
      <c r="G834" s="19"/>
      <c r="H834" s="19"/>
      <c r="I834" s="19"/>
      <c r="J834" s="19"/>
      <c r="K834" s="19"/>
    </row>
    <row r="835">
      <c r="A835" s="19"/>
      <c r="B835" s="19"/>
      <c r="C835" s="19"/>
      <c r="D835" s="19"/>
      <c r="E835" s="19"/>
      <c r="F835" s="19"/>
      <c r="G835" s="19"/>
      <c r="H835" s="19"/>
      <c r="I835" s="19"/>
      <c r="J835" s="19"/>
      <c r="K835" s="19"/>
    </row>
    <row r="836">
      <c r="A836" s="19"/>
      <c r="B836" s="19"/>
      <c r="C836" s="19"/>
      <c r="D836" s="19"/>
      <c r="E836" s="19"/>
      <c r="F836" s="19"/>
      <c r="G836" s="19"/>
      <c r="H836" s="19"/>
      <c r="I836" s="19"/>
      <c r="J836" s="19"/>
      <c r="K836" s="19"/>
    </row>
    <row r="837">
      <c r="A837" s="19"/>
      <c r="B837" s="19"/>
      <c r="C837" s="19"/>
      <c r="D837" s="19"/>
      <c r="E837" s="19"/>
      <c r="F837" s="19"/>
      <c r="G837" s="19"/>
      <c r="H837" s="19"/>
      <c r="I837" s="19"/>
      <c r="J837" s="19"/>
      <c r="K837" s="19"/>
    </row>
    <row r="838">
      <c r="A838" s="19"/>
      <c r="B838" s="19"/>
      <c r="C838" s="19"/>
      <c r="D838" s="19"/>
      <c r="E838" s="19"/>
      <c r="F838" s="19"/>
      <c r="G838" s="19"/>
      <c r="H838" s="19"/>
      <c r="I838" s="19"/>
      <c r="J838" s="19"/>
      <c r="K838" s="19"/>
    </row>
    <row r="839">
      <c r="A839" s="19"/>
      <c r="B839" s="19"/>
      <c r="C839" s="19"/>
      <c r="D839" s="19"/>
      <c r="E839" s="19"/>
      <c r="F839" s="19"/>
      <c r="G839" s="19"/>
      <c r="H839" s="19"/>
      <c r="I839" s="19"/>
      <c r="J839" s="19"/>
      <c r="K839" s="19"/>
    </row>
    <row r="840">
      <c r="A840" s="19"/>
      <c r="B840" s="19"/>
      <c r="C840" s="19"/>
      <c r="D840" s="19"/>
      <c r="E840" s="19"/>
      <c r="F840" s="19"/>
      <c r="G840" s="19"/>
      <c r="H840" s="19"/>
      <c r="I840" s="19"/>
      <c r="J840" s="19"/>
      <c r="K840" s="19"/>
    </row>
    <row r="841">
      <c r="A841" s="19"/>
      <c r="B841" s="19"/>
      <c r="C841" s="19"/>
      <c r="D841" s="19"/>
      <c r="E841" s="19"/>
      <c r="F841" s="19"/>
      <c r="G841" s="19"/>
      <c r="H841" s="19"/>
      <c r="I841" s="19"/>
      <c r="J841" s="19"/>
      <c r="K841" s="19"/>
    </row>
    <row r="842">
      <c r="A842" s="19"/>
      <c r="B842" s="19"/>
      <c r="C842" s="19"/>
      <c r="D842" s="19"/>
      <c r="E842" s="19"/>
      <c r="F842" s="19"/>
      <c r="G842" s="19"/>
      <c r="H842" s="19"/>
      <c r="I842" s="19"/>
      <c r="J842" s="19"/>
      <c r="K842" s="19"/>
    </row>
    <row r="843">
      <c r="A843" s="19"/>
      <c r="B843" s="19"/>
      <c r="C843" s="19"/>
      <c r="D843" s="19"/>
      <c r="E843" s="19"/>
      <c r="F843" s="19"/>
      <c r="G843" s="19"/>
      <c r="H843" s="19"/>
      <c r="I843" s="19"/>
      <c r="J843" s="19"/>
      <c r="K843" s="19"/>
    </row>
    <row r="844">
      <c r="A844" s="19"/>
      <c r="B844" s="19"/>
      <c r="C844" s="19"/>
      <c r="D844" s="19"/>
      <c r="E844" s="19"/>
      <c r="F844" s="19"/>
      <c r="G844" s="19"/>
      <c r="H844" s="19"/>
      <c r="I844" s="19"/>
      <c r="J844" s="19"/>
      <c r="K844" s="19"/>
    </row>
    <row r="845">
      <c r="A845" s="19"/>
      <c r="B845" s="19"/>
      <c r="C845" s="19"/>
      <c r="D845" s="19"/>
      <c r="E845" s="19"/>
      <c r="F845" s="19"/>
      <c r="G845" s="19"/>
      <c r="H845" s="19"/>
      <c r="I845" s="19"/>
      <c r="J845" s="19"/>
      <c r="K845" s="19"/>
    </row>
    <row r="846">
      <c r="A846" s="19"/>
      <c r="B846" s="19"/>
      <c r="C846" s="19"/>
      <c r="D846" s="19"/>
      <c r="E846" s="19"/>
      <c r="F846" s="19"/>
      <c r="G846" s="19"/>
      <c r="H846" s="19"/>
      <c r="I846" s="19"/>
      <c r="J846" s="19"/>
      <c r="K846" s="19"/>
    </row>
    <row r="847">
      <c r="A847" s="19"/>
      <c r="B847" s="19"/>
      <c r="C847" s="19"/>
      <c r="D847" s="19"/>
      <c r="E847" s="19"/>
      <c r="F847" s="19"/>
      <c r="G847" s="19"/>
      <c r="H847" s="19"/>
      <c r="I847" s="19"/>
      <c r="J847" s="19"/>
      <c r="K847" s="19"/>
    </row>
    <row r="848">
      <c r="A848" s="19"/>
      <c r="B848" s="19"/>
      <c r="C848" s="19"/>
      <c r="D848" s="19"/>
      <c r="E848" s="19"/>
      <c r="F848" s="19"/>
      <c r="G848" s="19"/>
      <c r="H848" s="19"/>
      <c r="I848" s="19"/>
      <c r="J848" s="19"/>
      <c r="K848" s="19"/>
    </row>
    <row r="849">
      <c r="A849" s="19"/>
      <c r="B849" s="19"/>
      <c r="C849" s="19"/>
      <c r="D849" s="19"/>
      <c r="E849" s="19"/>
      <c r="F849" s="19"/>
      <c r="G849" s="19"/>
      <c r="H849" s="19"/>
      <c r="I849" s="19"/>
      <c r="J849" s="19"/>
      <c r="K849" s="19"/>
    </row>
    <row r="850">
      <c r="A850" s="19"/>
      <c r="B850" s="19"/>
      <c r="C850" s="19"/>
      <c r="D850" s="19"/>
      <c r="E850" s="19"/>
      <c r="F850" s="19"/>
      <c r="G850" s="19"/>
      <c r="H850" s="19"/>
      <c r="I850" s="19"/>
      <c r="J850" s="19"/>
      <c r="K850" s="19"/>
    </row>
    <row r="851">
      <c r="A851" s="19"/>
      <c r="B851" s="19"/>
      <c r="C851" s="19"/>
      <c r="D851" s="19"/>
      <c r="E851" s="19"/>
      <c r="F851" s="19"/>
      <c r="G851" s="19"/>
      <c r="H851" s="19"/>
      <c r="I851" s="19"/>
      <c r="J851" s="19"/>
      <c r="K851" s="19"/>
    </row>
    <row r="852">
      <c r="A852" s="19"/>
      <c r="B852" s="19"/>
      <c r="C852" s="19"/>
      <c r="D852" s="19"/>
      <c r="E852" s="19"/>
      <c r="F852" s="19"/>
      <c r="G852" s="19"/>
      <c r="H852" s="19"/>
      <c r="I852" s="19"/>
      <c r="J852" s="19"/>
      <c r="K852" s="19"/>
    </row>
    <row r="853">
      <c r="A853" s="19"/>
      <c r="B853" s="19"/>
      <c r="C853" s="19"/>
      <c r="D853" s="19"/>
      <c r="E853" s="19"/>
      <c r="F853" s="19"/>
      <c r="G853" s="19"/>
      <c r="H853" s="19"/>
      <c r="I853" s="19"/>
      <c r="J853" s="19"/>
      <c r="K853" s="19"/>
    </row>
    <row r="854">
      <c r="A854" s="19"/>
      <c r="B854" s="19"/>
      <c r="C854" s="19"/>
      <c r="D854" s="19"/>
      <c r="E854" s="19"/>
      <c r="F854" s="19"/>
      <c r="G854" s="19"/>
      <c r="H854" s="19"/>
      <c r="I854" s="19"/>
      <c r="J854" s="19"/>
      <c r="K854" s="19"/>
    </row>
    <row r="855">
      <c r="A855" s="19"/>
      <c r="B855" s="19"/>
      <c r="C855" s="19"/>
      <c r="D855" s="19"/>
      <c r="E855" s="19"/>
      <c r="F855" s="19"/>
      <c r="G855" s="19"/>
      <c r="H855" s="19"/>
      <c r="I855" s="19"/>
      <c r="J855" s="19"/>
      <c r="K855" s="19"/>
    </row>
    <row r="856">
      <c r="A856" s="19"/>
      <c r="B856" s="19"/>
      <c r="C856" s="19"/>
      <c r="D856" s="19"/>
      <c r="E856" s="19"/>
      <c r="F856" s="19"/>
      <c r="G856" s="19"/>
      <c r="H856" s="19"/>
      <c r="I856" s="19"/>
      <c r="J856" s="19"/>
      <c r="K856" s="19"/>
    </row>
    <row r="857">
      <c r="A857" s="19"/>
      <c r="B857" s="19"/>
      <c r="C857" s="19"/>
      <c r="D857" s="19"/>
      <c r="E857" s="19"/>
      <c r="F857" s="19"/>
      <c r="G857" s="19"/>
      <c r="H857" s="19"/>
      <c r="I857" s="19"/>
      <c r="J857" s="19"/>
      <c r="K857" s="19"/>
    </row>
    <row r="858">
      <c r="A858" s="19"/>
      <c r="B858" s="19"/>
      <c r="C858" s="19"/>
      <c r="D858" s="19"/>
      <c r="E858" s="19"/>
      <c r="F858" s="19"/>
      <c r="G858" s="19"/>
      <c r="H858" s="19"/>
      <c r="I858" s="19"/>
      <c r="J858" s="19"/>
      <c r="K858" s="19"/>
    </row>
    <row r="859">
      <c r="A859" s="19"/>
      <c r="B859" s="19"/>
      <c r="C859" s="19"/>
      <c r="D859" s="19"/>
      <c r="E859" s="19"/>
      <c r="F859" s="19"/>
      <c r="G859" s="19"/>
      <c r="H859" s="19"/>
      <c r="I859" s="19"/>
      <c r="J859" s="19"/>
      <c r="K859" s="19"/>
    </row>
    <row r="860">
      <c r="A860" s="19"/>
      <c r="B860" s="19"/>
      <c r="C860" s="19"/>
      <c r="D860" s="19"/>
      <c r="E860" s="19"/>
      <c r="F860" s="19"/>
      <c r="G860" s="19"/>
      <c r="H860" s="19"/>
      <c r="I860" s="19"/>
      <c r="J860" s="19"/>
      <c r="K860" s="19"/>
    </row>
    <row r="861">
      <c r="A861" s="19"/>
      <c r="B861" s="19"/>
      <c r="C861" s="19"/>
      <c r="D861" s="19"/>
      <c r="E861" s="19"/>
      <c r="F861" s="19"/>
      <c r="G861" s="19"/>
      <c r="H861" s="19"/>
      <c r="I861" s="19"/>
      <c r="J861" s="19"/>
      <c r="K861" s="19"/>
    </row>
    <row r="862">
      <c r="A862" s="19"/>
      <c r="B862" s="19"/>
      <c r="C862" s="19"/>
      <c r="D862" s="19"/>
      <c r="E862" s="19"/>
      <c r="F862" s="19"/>
      <c r="G862" s="19"/>
      <c r="H862" s="19"/>
      <c r="I862" s="19"/>
      <c r="J862" s="19"/>
      <c r="K862" s="19"/>
    </row>
    <row r="863">
      <c r="A863" s="19"/>
      <c r="B863" s="19"/>
      <c r="C863" s="19"/>
      <c r="D863" s="19"/>
      <c r="E863" s="19"/>
      <c r="F863" s="19"/>
      <c r="G863" s="19"/>
      <c r="H863" s="19"/>
      <c r="I863" s="19"/>
      <c r="J863" s="19"/>
      <c r="K863" s="19"/>
    </row>
    <row r="864">
      <c r="A864" s="19"/>
      <c r="B864" s="19"/>
      <c r="C864" s="19"/>
      <c r="D864" s="19"/>
      <c r="E864" s="19"/>
      <c r="F864" s="19"/>
      <c r="G864" s="19"/>
      <c r="H864" s="19"/>
      <c r="I864" s="19"/>
      <c r="J864" s="19"/>
      <c r="K864" s="19"/>
    </row>
    <row r="865">
      <c r="A865" s="19"/>
      <c r="B865" s="19"/>
      <c r="C865" s="19"/>
      <c r="D865" s="19"/>
      <c r="E865" s="19"/>
      <c r="F865" s="19"/>
      <c r="G865" s="19"/>
      <c r="H865" s="19"/>
      <c r="I865" s="19"/>
      <c r="J865" s="19"/>
      <c r="K865" s="19"/>
    </row>
    <row r="866">
      <c r="A866" s="19"/>
      <c r="B866" s="19"/>
      <c r="C866" s="19"/>
      <c r="D866" s="19"/>
      <c r="E866" s="19"/>
      <c r="F866" s="19"/>
      <c r="G866" s="19"/>
      <c r="H866" s="19"/>
      <c r="I866" s="19"/>
      <c r="J866" s="19"/>
      <c r="K866" s="19"/>
    </row>
    <row r="867">
      <c r="A867" s="19"/>
      <c r="B867" s="19"/>
      <c r="C867" s="19"/>
      <c r="D867" s="19"/>
      <c r="E867" s="19"/>
      <c r="F867" s="19"/>
      <c r="G867" s="19"/>
      <c r="H867" s="19"/>
      <c r="I867" s="19"/>
      <c r="J867" s="19"/>
      <c r="K867" s="19"/>
    </row>
    <row r="868">
      <c r="A868" s="19"/>
      <c r="B868" s="19"/>
      <c r="C868" s="19"/>
      <c r="D868" s="19"/>
      <c r="E868" s="19"/>
      <c r="F868" s="19"/>
      <c r="G868" s="19"/>
      <c r="H868" s="19"/>
      <c r="I868" s="19"/>
      <c r="J868" s="19"/>
      <c r="K868" s="19"/>
    </row>
    <row r="869">
      <c r="A869" s="19"/>
      <c r="B869" s="19"/>
      <c r="C869" s="19"/>
      <c r="D869" s="19"/>
      <c r="E869" s="19"/>
      <c r="F869" s="19"/>
      <c r="G869" s="19"/>
      <c r="H869" s="19"/>
      <c r="I869" s="19"/>
      <c r="J869" s="19"/>
      <c r="K869" s="19"/>
    </row>
    <row r="870">
      <c r="A870" s="19"/>
      <c r="B870" s="19"/>
      <c r="C870" s="19"/>
      <c r="D870" s="19"/>
      <c r="E870" s="19"/>
      <c r="F870" s="19"/>
      <c r="G870" s="19"/>
      <c r="H870" s="19"/>
      <c r="I870" s="19"/>
      <c r="J870" s="19"/>
      <c r="K870" s="19"/>
    </row>
    <row r="871">
      <c r="A871" s="19"/>
      <c r="B871" s="19"/>
      <c r="C871" s="19"/>
      <c r="D871" s="19"/>
      <c r="E871" s="19"/>
      <c r="F871" s="19"/>
      <c r="G871" s="19"/>
      <c r="H871" s="19"/>
      <c r="I871" s="19"/>
      <c r="J871" s="19"/>
      <c r="K871" s="19"/>
    </row>
    <row r="872">
      <c r="A872" s="19"/>
      <c r="B872" s="19"/>
      <c r="C872" s="19"/>
      <c r="D872" s="19"/>
      <c r="E872" s="19"/>
      <c r="F872" s="19"/>
      <c r="G872" s="19"/>
      <c r="H872" s="19"/>
      <c r="I872" s="19"/>
      <c r="J872" s="19"/>
      <c r="K872" s="19"/>
    </row>
    <row r="873">
      <c r="A873" s="19"/>
      <c r="B873" s="19"/>
      <c r="C873" s="19"/>
      <c r="D873" s="19"/>
      <c r="E873" s="19"/>
      <c r="F873" s="19"/>
      <c r="G873" s="19"/>
      <c r="H873" s="19"/>
      <c r="I873" s="19"/>
      <c r="J873" s="19"/>
      <c r="K873" s="19"/>
    </row>
    <row r="874">
      <c r="A874" s="19"/>
      <c r="B874" s="19"/>
      <c r="C874" s="19"/>
      <c r="D874" s="19"/>
      <c r="E874" s="19"/>
      <c r="F874" s="19"/>
      <c r="G874" s="19"/>
      <c r="H874" s="19"/>
      <c r="I874" s="19"/>
      <c r="J874" s="19"/>
      <c r="K874" s="19"/>
    </row>
    <row r="875">
      <c r="A875" s="19"/>
      <c r="B875" s="19"/>
      <c r="C875" s="19"/>
      <c r="D875" s="19"/>
      <c r="E875" s="19"/>
      <c r="F875" s="19"/>
      <c r="G875" s="19"/>
      <c r="H875" s="19"/>
      <c r="I875" s="19"/>
      <c r="J875" s="19"/>
      <c r="K875" s="19"/>
    </row>
    <row r="876">
      <c r="A876" s="19"/>
      <c r="B876" s="19"/>
      <c r="C876" s="19"/>
      <c r="D876" s="19"/>
      <c r="E876" s="19"/>
      <c r="F876" s="19"/>
      <c r="G876" s="19"/>
      <c r="H876" s="19"/>
      <c r="I876" s="19"/>
      <c r="J876" s="19"/>
      <c r="K876" s="19"/>
    </row>
    <row r="877">
      <c r="A877" s="19"/>
      <c r="B877" s="19"/>
      <c r="C877" s="19"/>
      <c r="D877" s="19"/>
      <c r="E877" s="19"/>
      <c r="F877" s="19"/>
      <c r="G877" s="19"/>
      <c r="H877" s="19"/>
      <c r="I877" s="19"/>
      <c r="J877" s="19"/>
      <c r="K877" s="19"/>
    </row>
    <row r="878">
      <c r="A878" s="19"/>
      <c r="B878" s="19"/>
      <c r="C878" s="19"/>
      <c r="D878" s="19"/>
      <c r="E878" s="19"/>
      <c r="F878" s="19"/>
      <c r="G878" s="19"/>
      <c r="H878" s="19"/>
      <c r="I878" s="19"/>
      <c r="J878" s="19"/>
      <c r="K878" s="19"/>
    </row>
    <row r="879">
      <c r="A879" s="19"/>
      <c r="B879" s="19"/>
      <c r="C879" s="19"/>
      <c r="D879" s="19"/>
      <c r="E879" s="19"/>
      <c r="F879" s="19"/>
      <c r="G879" s="19"/>
      <c r="H879" s="19"/>
      <c r="I879" s="19"/>
      <c r="J879" s="19"/>
      <c r="K879" s="19"/>
    </row>
    <row r="880">
      <c r="A880" s="19"/>
      <c r="B880" s="19"/>
      <c r="C880" s="19"/>
      <c r="D880" s="19"/>
      <c r="E880" s="19"/>
      <c r="F880" s="19"/>
      <c r="G880" s="19"/>
      <c r="H880" s="19"/>
      <c r="I880" s="19"/>
      <c r="J880" s="19"/>
      <c r="K880" s="19"/>
    </row>
    <row r="881">
      <c r="A881" s="19"/>
      <c r="B881" s="19"/>
      <c r="C881" s="19"/>
      <c r="D881" s="19"/>
      <c r="E881" s="19"/>
      <c r="F881" s="19"/>
      <c r="G881" s="19"/>
      <c r="H881" s="19"/>
      <c r="I881" s="19"/>
      <c r="J881" s="19"/>
      <c r="K881" s="19"/>
    </row>
    <row r="882">
      <c r="A882" s="19"/>
      <c r="B882" s="19"/>
      <c r="C882" s="19"/>
      <c r="D882" s="19"/>
      <c r="E882" s="19"/>
      <c r="F882" s="19"/>
      <c r="G882" s="19"/>
      <c r="H882" s="19"/>
      <c r="I882" s="19"/>
      <c r="J882" s="19"/>
      <c r="K882" s="19"/>
    </row>
    <row r="883">
      <c r="A883" s="19"/>
      <c r="B883" s="19"/>
      <c r="C883" s="19"/>
      <c r="D883" s="19"/>
      <c r="E883" s="19"/>
      <c r="F883" s="19"/>
      <c r="G883" s="19"/>
      <c r="H883" s="19"/>
      <c r="I883" s="19"/>
      <c r="J883" s="19"/>
      <c r="K883" s="19"/>
    </row>
    <row r="884">
      <c r="A884" s="19"/>
      <c r="B884" s="19"/>
      <c r="C884" s="19"/>
      <c r="D884" s="19"/>
      <c r="E884" s="19"/>
      <c r="F884" s="19"/>
      <c r="G884" s="19"/>
      <c r="H884" s="19"/>
      <c r="I884" s="19"/>
      <c r="J884" s="19"/>
      <c r="K884" s="19"/>
    </row>
    <row r="885">
      <c r="A885" s="19"/>
      <c r="B885" s="19"/>
      <c r="C885" s="19"/>
      <c r="D885" s="19"/>
      <c r="E885" s="19"/>
      <c r="F885" s="19"/>
      <c r="G885" s="19"/>
      <c r="H885" s="19"/>
      <c r="I885" s="19"/>
      <c r="J885" s="19"/>
      <c r="K885" s="19"/>
    </row>
    <row r="886">
      <c r="A886" s="19"/>
      <c r="B886" s="19"/>
      <c r="C886" s="19"/>
      <c r="D886" s="19"/>
      <c r="E886" s="19"/>
      <c r="F886" s="19"/>
      <c r="G886" s="19"/>
      <c r="H886" s="19"/>
      <c r="I886" s="19"/>
      <c r="J886" s="19"/>
      <c r="K886" s="19"/>
    </row>
    <row r="887">
      <c r="A887" s="19"/>
      <c r="B887" s="19"/>
      <c r="C887" s="19"/>
      <c r="D887" s="19"/>
      <c r="E887" s="19"/>
      <c r="F887" s="19"/>
      <c r="G887" s="19"/>
      <c r="H887" s="19"/>
      <c r="I887" s="19"/>
      <c r="J887" s="19"/>
      <c r="K887" s="19"/>
    </row>
    <row r="888">
      <c r="A888" s="19"/>
      <c r="B888" s="19"/>
      <c r="C888" s="19"/>
      <c r="D888" s="19"/>
      <c r="E888" s="19"/>
      <c r="F888" s="19"/>
      <c r="G888" s="19"/>
      <c r="H888" s="19"/>
      <c r="I888" s="19"/>
      <c r="J888" s="19"/>
      <c r="K888" s="19"/>
    </row>
    <row r="889">
      <c r="A889" s="19"/>
      <c r="B889" s="19"/>
      <c r="C889" s="19"/>
      <c r="D889" s="19"/>
      <c r="E889" s="19"/>
      <c r="F889" s="19"/>
      <c r="G889" s="19"/>
      <c r="H889" s="19"/>
      <c r="I889" s="19"/>
      <c r="J889" s="19"/>
      <c r="K889" s="19"/>
    </row>
    <row r="890">
      <c r="A890" s="19"/>
      <c r="B890" s="19"/>
      <c r="C890" s="19"/>
      <c r="D890" s="19"/>
      <c r="E890" s="19"/>
      <c r="F890" s="19"/>
      <c r="G890" s="19"/>
      <c r="H890" s="19"/>
      <c r="I890" s="19"/>
      <c r="J890" s="19"/>
      <c r="K890" s="19"/>
    </row>
    <row r="891">
      <c r="A891" s="19"/>
      <c r="B891" s="19"/>
      <c r="C891" s="19"/>
      <c r="D891" s="19"/>
      <c r="E891" s="19"/>
      <c r="F891" s="19"/>
      <c r="G891" s="19"/>
      <c r="H891" s="19"/>
      <c r="I891" s="19"/>
      <c r="J891" s="19"/>
      <c r="K891" s="19"/>
    </row>
    <row r="892">
      <c r="A892" s="19"/>
      <c r="B892" s="19"/>
      <c r="C892" s="19"/>
      <c r="D892" s="19"/>
      <c r="E892" s="19"/>
      <c r="F892" s="19"/>
      <c r="G892" s="19"/>
      <c r="H892" s="19"/>
      <c r="I892" s="19"/>
      <c r="J892" s="19"/>
      <c r="K892" s="19"/>
    </row>
    <row r="893">
      <c r="A893" s="19"/>
      <c r="B893" s="19"/>
      <c r="C893" s="19"/>
      <c r="D893" s="19"/>
      <c r="E893" s="19"/>
      <c r="F893" s="19"/>
      <c r="G893" s="19"/>
      <c r="H893" s="19"/>
      <c r="I893" s="19"/>
      <c r="J893" s="19"/>
      <c r="K893" s="19"/>
    </row>
    <row r="894">
      <c r="A894" s="19"/>
      <c r="B894" s="19"/>
      <c r="C894" s="19"/>
      <c r="D894" s="19"/>
      <c r="E894" s="19"/>
      <c r="F894" s="19"/>
      <c r="G894" s="19"/>
      <c r="H894" s="19"/>
      <c r="I894" s="19"/>
      <c r="J894" s="19"/>
      <c r="K894" s="19"/>
    </row>
    <row r="895">
      <c r="A895" s="19"/>
      <c r="B895" s="19"/>
      <c r="C895" s="19"/>
      <c r="D895" s="19"/>
      <c r="E895" s="19"/>
      <c r="F895" s="19"/>
      <c r="G895" s="19"/>
      <c r="H895" s="19"/>
      <c r="I895" s="19"/>
      <c r="J895" s="19"/>
      <c r="K895" s="19"/>
    </row>
    <row r="896">
      <c r="A896" s="19"/>
      <c r="B896" s="19"/>
      <c r="C896" s="19"/>
      <c r="D896" s="19"/>
      <c r="E896" s="19"/>
      <c r="F896" s="19"/>
      <c r="G896" s="19"/>
      <c r="H896" s="19"/>
      <c r="I896" s="19"/>
      <c r="J896" s="19"/>
      <c r="K896" s="19"/>
    </row>
    <row r="897">
      <c r="A897" s="19"/>
      <c r="B897" s="19"/>
      <c r="C897" s="19"/>
      <c r="D897" s="19"/>
      <c r="E897" s="19"/>
      <c r="F897" s="19"/>
      <c r="G897" s="19"/>
      <c r="H897" s="19"/>
      <c r="I897" s="19"/>
      <c r="J897" s="19"/>
      <c r="K897" s="19"/>
    </row>
    <row r="898">
      <c r="A898" s="19"/>
      <c r="B898" s="19"/>
      <c r="C898" s="19"/>
      <c r="D898" s="19"/>
      <c r="E898" s="19"/>
      <c r="F898" s="19"/>
      <c r="G898" s="19"/>
      <c r="H898" s="19"/>
      <c r="I898" s="19"/>
      <c r="J898" s="19"/>
      <c r="K898" s="19"/>
    </row>
    <row r="899">
      <c r="A899" s="19"/>
      <c r="B899" s="19"/>
      <c r="C899" s="19"/>
      <c r="D899" s="19"/>
      <c r="E899" s="19"/>
      <c r="F899" s="19"/>
      <c r="G899" s="19"/>
      <c r="H899" s="19"/>
      <c r="I899" s="19"/>
      <c r="J899" s="19"/>
      <c r="K899" s="19"/>
    </row>
    <row r="900">
      <c r="A900" s="19"/>
      <c r="B900" s="19"/>
      <c r="C900" s="19"/>
      <c r="D900" s="19"/>
      <c r="E900" s="19"/>
      <c r="F900" s="19"/>
      <c r="G900" s="19"/>
      <c r="H900" s="19"/>
      <c r="I900" s="19"/>
      <c r="J900" s="19"/>
      <c r="K900" s="19"/>
    </row>
    <row r="901">
      <c r="A901" s="19"/>
      <c r="B901" s="19"/>
      <c r="C901" s="19"/>
      <c r="D901" s="19"/>
      <c r="E901" s="19"/>
      <c r="F901" s="19"/>
      <c r="G901" s="19"/>
      <c r="H901" s="19"/>
      <c r="I901" s="19"/>
      <c r="J901" s="19"/>
      <c r="K901" s="19"/>
    </row>
    <row r="902">
      <c r="A902" s="19"/>
      <c r="B902" s="19"/>
      <c r="C902" s="19"/>
      <c r="D902" s="19"/>
      <c r="E902" s="19"/>
      <c r="F902" s="19"/>
      <c r="G902" s="19"/>
      <c r="H902" s="19"/>
      <c r="I902" s="19"/>
      <c r="J902" s="19"/>
      <c r="K902" s="19"/>
    </row>
    <row r="903">
      <c r="A903" s="19"/>
      <c r="B903" s="19"/>
      <c r="C903" s="19"/>
      <c r="D903" s="19"/>
      <c r="E903" s="19"/>
      <c r="F903" s="19"/>
      <c r="G903" s="19"/>
      <c r="H903" s="19"/>
      <c r="I903" s="19"/>
      <c r="J903" s="19"/>
      <c r="K903" s="19"/>
    </row>
    <row r="904">
      <c r="A904" s="19"/>
      <c r="B904" s="19"/>
      <c r="C904" s="19"/>
      <c r="D904" s="19"/>
      <c r="E904" s="19"/>
      <c r="F904" s="19"/>
      <c r="G904" s="19"/>
      <c r="H904" s="19"/>
      <c r="I904" s="19"/>
      <c r="J904" s="19"/>
      <c r="K904" s="19"/>
    </row>
    <row r="905">
      <c r="A905" s="19"/>
      <c r="B905" s="19"/>
      <c r="C905" s="19"/>
      <c r="D905" s="19"/>
      <c r="E905" s="19"/>
      <c r="F905" s="19"/>
      <c r="G905" s="19"/>
      <c r="H905" s="19"/>
      <c r="I905" s="19"/>
      <c r="J905" s="19"/>
      <c r="K905" s="19"/>
    </row>
    <row r="906">
      <c r="A906" s="19"/>
      <c r="B906" s="19"/>
      <c r="C906" s="19"/>
      <c r="D906" s="19"/>
      <c r="E906" s="19"/>
      <c r="F906" s="19"/>
      <c r="G906" s="19"/>
      <c r="H906" s="19"/>
      <c r="I906" s="19"/>
      <c r="J906" s="19"/>
      <c r="K906" s="19"/>
    </row>
    <row r="907">
      <c r="A907" s="19"/>
      <c r="B907" s="19"/>
      <c r="C907" s="19"/>
      <c r="D907" s="19"/>
      <c r="E907" s="19"/>
      <c r="F907" s="19"/>
      <c r="G907" s="19"/>
      <c r="H907" s="19"/>
      <c r="I907" s="19"/>
      <c r="J907" s="19"/>
      <c r="K907" s="19"/>
    </row>
    <row r="908">
      <c r="A908" s="19"/>
      <c r="B908" s="19"/>
      <c r="C908" s="19"/>
      <c r="D908" s="19"/>
      <c r="E908" s="19"/>
      <c r="F908" s="19"/>
      <c r="G908" s="19"/>
      <c r="H908" s="19"/>
      <c r="I908" s="19"/>
      <c r="J908" s="19"/>
      <c r="K908" s="19"/>
    </row>
    <row r="909">
      <c r="A909" s="19"/>
      <c r="B909" s="19"/>
      <c r="C909" s="19"/>
      <c r="D909" s="19"/>
      <c r="E909" s="19"/>
      <c r="F909" s="19"/>
      <c r="G909" s="19"/>
      <c r="H909" s="19"/>
      <c r="I909" s="19"/>
      <c r="J909" s="19"/>
      <c r="K909" s="19"/>
    </row>
    <row r="910">
      <c r="A910" s="19"/>
      <c r="B910" s="19"/>
      <c r="C910" s="19"/>
      <c r="D910" s="19"/>
      <c r="E910" s="19"/>
      <c r="F910" s="19"/>
      <c r="G910" s="19"/>
      <c r="H910" s="19"/>
      <c r="I910" s="19"/>
      <c r="J910" s="19"/>
      <c r="K910" s="19"/>
    </row>
    <row r="911">
      <c r="A911" s="19"/>
      <c r="B911" s="19"/>
      <c r="C911" s="19"/>
      <c r="D911" s="19"/>
      <c r="E911" s="19"/>
      <c r="F911" s="19"/>
      <c r="G911" s="19"/>
      <c r="H911" s="19"/>
      <c r="I911" s="19"/>
      <c r="J911" s="19"/>
      <c r="K911" s="19"/>
    </row>
    <row r="912">
      <c r="A912" s="19"/>
      <c r="B912" s="19"/>
      <c r="C912" s="19"/>
      <c r="D912" s="19"/>
      <c r="E912" s="19"/>
      <c r="F912" s="19"/>
      <c r="G912" s="19"/>
      <c r="H912" s="19"/>
      <c r="I912" s="19"/>
      <c r="J912" s="19"/>
      <c r="K912" s="19"/>
    </row>
    <row r="913">
      <c r="A913" s="19"/>
      <c r="B913" s="19"/>
      <c r="C913" s="19"/>
      <c r="D913" s="19"/>
      <c r="E913" s="19"/>
      <c r="F913" s="19"/>
      <c r="G913" s="19"/>
      <c r="H913" s="19"/>
      <c r="I913" s="19"/>
      <c r="J913" s="19"/>
      <c r="K913" s="19"/>
    </row>
    <row r="914">
      <c r="A914" s="19"/>
      <c r="B914" s="19"/>
      <c r="C914" s="19"/>
      <c r="D914" s="19"/>
      <c r="E914" s="19"/>
      <c r="F914" s="19"/>
      <c r="G914" s="19"/>
      <c r="H914" s="19"/>
      <c r="I914" s="19"/>
      <c r="J914" s="19"/>
      <c r="K914" s="19"/>
    </row>
    <row r="915">
      <c r="A915" s="19"/>
      <c r="B915" s="19"/>
      <c r="C915" s="19"/>
      <c r="D915" s="19"/>
      <c r="E915" s="19"/>
      <c r="F915" s="19"/>
      <c r="G915" s="19"/>
      <c r="H915" s="19"/>
      <c r="I915" s="19"/>
      <c r="J915" s="19"/>
      <c r="K915" s="19"/>
    </row>
    <row r="916">
      <c r="A916" s="19"/>
      <c r="B916" s="19"/>
      <c r="C916" s="19"/>
      <c r="D916" s="19"/>
      <c r="E916" s="19"/>
      <c r="F916" s="19"/>
      <c r="G916" s="19"/>
      <c r="H916" s="19"/>
      <c r="I916" s="19"/>
      <c r="J916" s="19"/>
      <c r="K916" s="19"/>
    </row>
    <row r="917">
      <c r="A917" s="19"/>
      <c r="B917" s="19"/>
      <c r="C917" s="19"/>
      <c r="D917" s="19"/>
      <c r="E917" s="19"/>
      <c r="F917" s="19"/>
      <c r="G917" s="19"/>
      <c r="H917" s="19"/>
      <c r="I917" s="19"/>
      <c r="J917" s="19"/>
      <c r="K917" s="19"/>
    </row>
    <row r="918">
      <c r="A918" s="19"/>
      <c r="B918" s="19"/>
      <c r="C918" s="19"/>
      <c r="D918" s="19"/>
      <c r="E918" s="19"/>
      <c r="F918" s="19"/>
      <c r="G918" s="19"/>
      <c r="H918" s="19"/>
      <c r="I918" s="19"/>
      <c r="J918" s="19"/>
      <c r="K918" s="19"/>
    </row>
    <row r="919">
      <c r="A919" s="19"/>
      <c r="B919" s="19"/>
      <c r="C919" s="19"/>
      <c r="D919" s="19"/>
      <c r="E919" s="19"/>
      <c r="F919" s="19"/>
      <c r="G919" s="19"/>
      <c r="H919" s="19"/>
      <c r="I919" s="19"/>
      <c r="J919" s="19"/>
      <c r="K919" s="19"/>
    </row>
    <row r="920">
      <c r="A920" s="19"/>
      <c r="B920" s="19"/>
      <c r="C920" s="19"/>
      <c r="D920" s="19"/>
      <c r="E920" s="19"/>
      <c r="F920" s="19"/>
      <c r="G920" s="19"/>
      <c r="H920" s="19"/>
      <c r="I920" s="19"/>
      <c r="J920" s="19"/>
      <c r="K920" s="19"/>
    </row>
    <row r="921">
      <c r="A921" s="19"/>
      <c r="B921" s="19"/>
      <c r="C921" s="19"/>
      <c r="D921" s="19"/>
      <c r="E921" s="19"/>
      <c r="F921" s="19"/>
      <c r="G921" s="19"/>
      <c r="H921" s="19"/>
      <c r="I921" s="19"/>
      <c r="J921" s="19"/>
      <c r="K921" s="19"/>
    </row>
    <row r="922">
      <c r="A922" s="19"/>
      <c r="B922" s="19"/>
      <c r="C922" s="19"/>
      <c r="D922" s="19"/>
      <c r="E922" s="19"/>
      <c r="F922" s="19"/>
      <c r="G922" s="19"/>
      <c r="H922" s="19"/>
      <c r="I922" s="19"/>
      <c r="J922" s="19"/>
      <c r="K922" s="19"/>
    </row>
    <row r="923">
      <c r="A923" s="19"/>
      <c r="B923" s="19"/>
      <c r="C923" s="19"/>
      <c r="D923" s="19"/>
      <c r="E923" s="19"/>
      <c r="F923" s="19"/>
      <c r="G923" s="19"/>
      <c r="H923" s="19"/>
      <c r="I923" s="19"/>
      <c r="J923" s="19"/>
      <c r="K923" s="19"/>
    </row>
    <row r="924">
      <c r="A924" s="19"/>
      <c r="B924" s="19"/>
      <c r="C924" s="19"/>
      <c r="D924" s="19"/>
      <c r="E924" s="19"/>
      <c r="F924" s="19"/>
      <c r="G924" s="19"/>
      <c r="H924" s="19"/>
      <c r="I924" s="19"/>
      <c r="J924" s="19"/>
      <c r="K924" s="19"/>
    </row>
    <row r="925">
      <c r="A925" s="19"/>
      <c r="B925" s="19"/>
      <c r="C925" s="19"/>
      <c r="D925" s="19"/>
      <c r="E925" s="19"/>
      <c r="F925" s="19"/>
      <c r="G925" s="19"/>
      <c r="H925" s="19"/>
      <c r="I925" s="19"/>
      <c r="J925" s="19"/>
      <c r="K925" s="19"/>
    </row>
    <row r="926">
      <c r="A926" s="19"/>
      <c r="B926" s="19"/>
      <c r="C926" s="19"/>
      <c r="D926" s="19"/>
      <c r="E926" s="19"/>
      <c r="F926" s="19"/>
      <c r="G926" s="19"/>
      <c r="H926" s="19"/>
      <c r="I926" s="19"/>
      <c r="J926" s="19"/>
      <c r="K926" s="19"/>
    </row>
    <row r="927">
      <c r="A927" s="19"/>
      <c r="B927" s="19"/>
      <c r="C927" s="19"/>
      <c r="D927" s="19"/>
      <c r="E927" s="19"/>
      <c r="F927" s="19"/>
      <c r="G927" s="19"/>
      <c r="H927" s="19"/>
      <c r="I927" s="19"/>
      <c r="J927" s="19"/>
      <c r="K927" s="19"/>
    </row>
    <row r="928">
      <c r="A928" s="19"/>
      <c r="B928" s="19"/>
      <c r="C928" s="19"/>
      <c r="D928" s="19"/>
      <c r="E928" s="19"/>
      <c r="F928" s="19"/>
      <c r="G928" s="19"/>
      <c r="H928" s="19"/>
      <c r="I928" s="19"/>
      <c r="J928" s="19"/>
      <c r="K928" s="19"/>
    </row>
    <row r="929">
      <c r="A929" s="19"/>
      <c r="B929" s="19"/>
      <c r="C929" s="19"/>
      <c r="D929" s="19"/>
      <c r="E929" s="19"/>
      <c r="F929" s="19"/>
      <c r="G929" s="19"/>
      <c r="H929" s="19"/>
      <c r="I929" s="19"/>
      <c r="J929" s="19"/>
      <c r="K929" s="19"/>
    </row>
    <row r="930">
      <c r="A930" s="19"/>
      <c r="B930" s="19"/>
      <c r="C930" s="19"/>
      <c r="D930" s="19"/>
      <c r="E930" s="19"/>
      <c r="F930" s="19"/>
      <c r="G930" s="19"/>
      <c r="H930" s="19"/>
      <c r="I930" s="19"/>
      <c r="J930" s="19"/>
      <c r="K930" s="19"/>
    </row>
    <row r="931">
      <c r="A931" s="19"/>
      <c r="B931" s="19"/>
      <c r="C931" s="19"/>
      <c r="D931" s="19"/>
      <c r="E931" s="19"/>
      <c r="F931" s="19"/>
      <c r="G931" s="19"/>
      <c r="H931" s="19"/>
      <c r="I931" s="19"/>
      <c r="J931" s="19"/>
      <c r="K931" s="19"/>
    </row>
    <row r="932">
      <c r="A932" s="19"/>
      <c r="B932" s="19"/>
      <c r="C932" s="19"/>
      <c r="D932" s="19"/>
      <c r="E932" s="19"/>
      <c r="F932" s="19"/>
      <c r="G932" s="19"/>
      <c r="H932" s="19"/>
      <c r="I932" s="19"/>
      <c r="J932" s="19"/>
      <c r="K932" s="19"/>
    </row>
    <row r="933">
      <c r="A933" s="19"/>
      <c r="B933" s="19"/>
      <c r="C933" s="19"/>
      <c r="D933" s="19"/>
      <c r="E933" s="19"/>
      <c r="F933" s="19"/>
      <c r="G933" s="19"/>
      <c r="H933" s="19"/>
      <c r="I933" s="19"/>
      <c r="J933" s="19"/>
      <c r="K933" s="19"/>
    </row>
    <row r="934">
      <c r="A934" s="19"/>
      <c r="B934" s="19"/>
      <c r="C934" s="19"/>
      <c r="D934" s="19"/>
      <c r="E934" s="19"/>
      <c r="F934" s="19"/>
      <c r="G934" s="19"/>
      <c r="H934" s="19"/>
      <c r="I934" s="19"/>
      <c r="J934" s="19"/>
      <c r="K934" s="19"/>
    </row>
    <row r="935">
      <c r="A935" s="19"/>
      <c r="B935" s="19"/>
      <c r="C935" s="19"/>
      <c r="D935" s="19"/>
      <c r="E935" s="19"/>
      <c r="F935" s="19"/>
      <c r="G935" s="19"/>
      <c r="H935" s="19"/>
      <c r="I935" s="19"/>
      <c r="J935" s="19"/>
      <c r="K935" s="19"/>
    </row>
    <row r="936">
      <c r="A936" s="19"/>
      <c r="B936" s="19"/>
      <c r="C936" s="19"/>
      <c r="D936" s="19"/>
      <c r="E936" s="19"/>
      <c r="F936" s="19"/>
      <c r="G936" s="19"/>
      <c r="H936" s="19"/>
      <c r="I936" s="19"/>
      <c r="J936" s="19"/>
      <c r="K936" s="19"/>
    </row>
    <row r="937">
      <c r="A937" s="19"/>
      <c r="B937" s="19"/>
      <c r="C937" s="19"/>
      <c r="D937" s="19"/>
      <c r="E937" s="19"/>
      <c r="F937" s="19"/>
      <c r="G937" s="19"/>
      <c r="H937" s="19"/>
      <c r="I937" s="19"/>
      <c r="J937" s="19"/>
      <c r="K937" s="19"/>
    </row>
    <row r="938">
      <c r="A938" s="19"/>
      <c r="B938" s="19"/>
      <c r="C938" s="19"/>
      <c r="D938" s="19"/>
      <c r="E938" s="19"/>
      <c r="F938" s="19"/>
      <c r="G938" s="19"/>
      <c r="H938" s="19"/>
      <c r="I938" s="19"/>
      <c r="J938" s="19"/>
      <c r="K938" s="19"/>
    </row>
    <row r="939">
      <c r="A939" s="19"/>
      <c r="B939" s="19"/>
      <c r="C939" s="19"/>
      <c r="D939" s="19"/>
      <c r="E939" s="19"/>
      <c r="F939" s="19"/>
      <c r="G939" s="19"/>
      <c r="H939" s="19"/>
      <c r="I939" s="19"/>
      <c r="J939" s="19"/>
      <c r="K939" s="19"/>
    </row>
    <row r="940">
      <c r="A940" s="19"/>
      <c r="B940" s="19"/>
      <c r="C940" s="19"/>
      <c r="D940" s="19"/>
      <c r="E940" s="19"/>
      <c r="F940" s="19"/>
      <c r="G940" s="19"/>
      <c r="H940" s="19"/>
      <c r="I940" s="19"/>
      <c r="J940" s="19"/>
      <c r="K940" s="19"/>
    </row>
    <row r="941">
      <c r="A941" s="19"/>
      <c r="B941" s="19"/>
      <c r="C941" s="19"/>
      <c r="D941" s="19"/>
      <c r="E941" s="19"/>
      <c r="F941" s="19"/>
      <c r="G941" s="19"/>
      <c r="H941" s="19"/>
      <c r="I941" s="19"/>
      <c r="J941" s="19"/>
      <c r="K941" s="19"/>
    </row>
    <row r="942">
      <c r="A942" s="19"/>
      <c r="B942" s="19"/>
      <c r="C942" s="19"/>
      <c r="D942" s="19"/>
      <c r="E942" s="19"/>
      <c r="F942" s="19"/>
      <c r="G942" s="19"/>
      <c r="H942" s="19"/>
      <c r="I942" s="19"/>
      <c r="J942" s="19"/>
      <c r="K942" s="19"/>
    </row>
    <row r="943">
      <c r="A943" s="19"/>
      <c r="B943" s="19"/>
      <c r="C943" s="19"/>
      <c r="D943" s="19"/>
      <c r="E943" s="19"/>
      <c r="F943" s="19"/>
      <c r="G943" s="19"/>
      <c r="H943" s="19"/>
      <c r="I943" s="19"/>
      <c r="J943" s="19"/>
      <c r="K943" s="19"/>
    </row>
    <row r="944">
      <c r="A944" s="19"/>
      <c r="B944" s="19"/>
      <c r="C944" s="19"/>
      <c r="D944" s="19"/>
      <c r="E944" s="19"/>
      <c r="F944" s="19"/>
      <c r="G944" s="19"/>
      <c r="H944" s="19"/>
      <c r="I944" s="19"/>
      <c r="J944" s="19"/>
      <c r="K944" s="19"/>
    </row>
    <row r="945">
      <c r="A945" s="19"/>
      <c r="B945" s="19"/>
      <c r="C945" s="19"/>
      <c r="D945" s="19"/>
      <c r="E945" s="19"/>
      <c r="F945" s="19"/>
      <c r="G945" s="19"/>
      <c r="H945" s="19"/>
      <c r="I945" s="19"/>
      <c r="J945" s="19"/>
      <c r="K945" s="19"/>
    </row>
    <row r="946">
      <c r="A946" s="19"/>
      <c r="B946" s="19"/>
      <c r="C946" s="19"/>
      <c r="D946" s="19"/>
      <c r="E946" s="19"/>
      <c r="F946" s="19"/>
      <c r="G946" s="19"/>
      <c r="H946" s="19"/>
      <c r="I946" s="19"/>
      <c r="J946" s="19"/>
      <c r="K946" s="19"/>
    </row>
    <row r="947">
      <c r="A947" s="19"/>
      <c r="B947" s="19"/>
      <c r="C947" s="19"/>
      <c r="D947" s="19"/>
      <c r="E947" s="19"/>
      <c r="F947" s="19"/>
      <c r="G947" s="19"/>
      <c r="H947" s="19"/>
      <c r="I947" s="19"/>
      <c r="J947" s="19"/>
      <c r="K947" s="19"/>
    </row>
    <row r="948">
      <c r="A948" s="19"/>
      <c r="B948" s="19"/>
      <c r="C948" s="19"/>
      <c r="D948" s="19"/>
      <c r="E948" s="19"/>
      <c r="F948" s="19"/>
      <c r="G948" s="19"/>
      <c r="H948" s="19"/>
      <c r="I948" s="19"/>
      <c r="J948" s="19"/>
      <c r="K948" s="19"/>
    </row>
    <row r="949">
      <c r="A949" s="19"/>
      <c r="B949" s="19"/>
      <c r="C949" s="19"/>
      <c r="D949" s="19"/>
      <c r="E949" s="19"/>
      <c r="F949" s="19"/>
      <c r="G949" s="19"/>
      <c r="H949" s="19"/>
      <c r="I949" s="19"/>
      <c r="J949" s="19"/>
      <c r="K949" s="19"/>
    </row>
    <row r="950">
      <c r="A950" s="19"/>
      <c r="B950" s="19"/>
      <c r="C950" s="19"/>
      <c r="D950" s="19"/>
      <c r="E950" s="19"/>
      <c r="F950" s="19"/>
      <c r="G950" s="19"/>
      <c r="H950" s="19"/>
      <c r="I950" s="19"/>
      <c r="J950" s="19"/>
      <c r="K950" s="19"/>
    </row>
    <row r="951">
      <c r="A951" s="19"/>
      <c r="B951" s="19"/>
      <c r="C951" s="19"/>
      <c r="D951" s="19"/>
      <c r="E951" s="19"/>
      <c r="F951" s="19"/>
      <c r="G951" s="19"/>
      <c r="H951" s="19"/>
      <c r="I951" s="19"/>
      <c r="J951" s="19"/>
      <c r="K951" s="19"/>
    </row>
    <row r="952">
      <c r="A952" s="19"/>
      <c r="B952" s="19"/>
      <c r="C952" s="19"/>
      <c r="D952" s="19"/>
      <c r="E952" s="19"/>
      <c r="F952" s="19"/>
      <c r="G952" s="19"/>
      <c r="H952" s="19"/>
      <c r="I952" s="19"/>
      <c r="J952" s="19"/>
      <c r="K952" s="19"/>
    </row>
    <row r="953">
      <c r="A953" s="19"/>
      <c r="B953" s="19"/>
      <c r="C953" s="19"/>
      <c r="D953" s="19"/>
      <c r="E953" s="19"/>
      <c r="F953" s="19"/>
      <c r="G953" s="19"/>
      <c r="H953" s="19"/>
      <c r="I953" s="19"/>
      <c r="J953" s="19"/>
      <c r="K953" s="19"/>
    </row>
    <row r="954">
      <c r="A954" s="19"/>
      <c r="B954" s="19"/>
      <c r="C954" s="19"/>
      <c r="D954" s="19"/>
      <c r="E954" s="19"/>
      <c r="F954" s="19"/>
      <c r="G954" s="19"/>
      <c r="H954" s="19"/>
      <c r="I954" s="19"/>
      <c r="J954" s="19"/>
      <c r="K954" s="19"/>
    </row>
    <row r="955">
      <c r="A955" s="19"/>
      <c r="B955" s="19"/>
      <c r="C955" s="19"/>
      <c r="D955" s="19"/>
      <c r="E955" s="19"/>
      <c r="F955" s="19"/>
      <c r="G955" s="19"/>
      <c r="H955" s="19"/>
      <c r="I955" s="19"/>
      <c r="J955" s="19"/>
      <c r="K955" s="19"/>
    </row>
    <row r="956">
      <c r="A956" s="19"/>
      <c r="B956" s="19"/>
      <c r="C956" s="19"/>
      <c r="D956" s="19"/>
      <c r="E956" s="19"/>
      <c r="F956" s="19"/>
      <c r="G956" s="19"/>
      <c r="H956" s="19"/>
      <c r="I956" s="19"/>
      <c r="J956" s="19"/>
      <c r="K956" s="19"/>
    </row>
    <row r="957">
      <c r="A957" s="19"/>
      <c r="B957" s="19"/>
      <c r="C957" s="19"/>
      <c r="D957" s="19"/>
      <c r="E957" s="19"/>
      <c r="F957" s="19"/>
      <c r="G957" s="19"/>
      <c r="H957" s="19"/>
      <c r="I957" s="19"/>
      <c r="J957" s="19"/>
      <c r="K957" s="19"/>
    </row>
    <row r="958">
      <c r="A958" s="19"/>
      <c r="B958" s="19"/>
      <c r="C958" s="19"/>
      <c r="D958" s="19"/>
      <c r="E958" s="19"/>
      <c r="F958" s="19"/>
      <c r="G958" s="19"/>
      <c r="H958" s="19"/>
      <c r="I958" s="19"/>
      <c r="J958" s="19"/>
      <c r="K958" s="19"/>
    </row>
    <row r="959">
      <c r="A959" s="19"/>
      <c r="B959" s="19"/>
      <c r="C959" s="19"/>
      <c r="D959" s="19"/>
      <c r="E959" s="19"/>
      <c r="F959" s="19"/>
      <c r="G959" s="19"/>
      <c r="H959" s="19"/>
      <c r="I959" s="19"/>
      <c r="J959" s="19"/>
      <c r="K959" s="19"/>
    </row>
    <row r="960">
      <c r="A960" s="19"/>
      <c r="B960" s="19"/>
      <c r="C960" s="19"/>
      <c r="D960" s="19"/>
      <c r="E960" s="19"/>
      <c r="F960" s="19"/>
      <c r="G960" s="19"/>
      <c r="H960" s="19"/>
      <c r="I960" s="19"/>
      <c r="J960" s="19"/>
      <c r="K960" s="19"/>
    </row>
    <row r="961">
      <c r="A961" s="19"/>
      <c r="B961" s="19"/>
      <c r="C961" s="19"/>
      <c r="D961" s="19"/>
      <c r="E961" s="19"/>
      <c r="F961" s="19"/>
      <c r="G961" s="19"/>
      <c r="H961" s="19"/>
      <c r="I961" s="19"/>
      <c r="J961" s="19"/>
      <c r="K961" s="19"/>
    </row>
    <row r="962">
      <c r="A962" s="19"/>
      <c r="B962" s="19"/>
      <c r="C962" s="19"/>
      <c r="D962" s="19"/>
      <c r="E962" s="19"/>
      <c r="F962" s="19"/>
      <c r="G962" s="19"/>
      <c r="H962" s="19"/>
      <c r="I962" s="19"/>
      <c r="J962" s="19"/>
      <c r="K962" s="19"/>
    </row>
    <row r="963">
      <c r="A963" s="19"/>
      <c r="B963" s="19"/>
      <c r="C963" s="19"/>
      <c r="D963" s="19"/>
      <c r="E963" s="19"/>
      <c r="F963" s="19"/>
      <c r="G963" s="19"/>
      <c r="H963" s="19"/>
      <c r="I963" s="19"/>
      <c r="J963" s="19"/>
      <c r="K963" s="19"/>
    </row>
    <row r="964">
      <c r="A964" s="19"/>
      <c r="B964" s="19"/>
      <c r="C964" s="19"/>
      <c r="D964" s="19"/>
      <c r="E964" s="19"/>
      <c r="F964" s="19"/>
      <c r="G964" s="19"/>
      <c r="H964" s="19"/>
      <c r="I964" s="19"/>
      <c r="J964" s="19"/>
      <c r="K964" s="19"/>
    </row>
    <row r="965">
      <c r="A965" s="19"/>
      <c r="B965" s="19"/>
      <c r="C965" s="19"/>
      <c r="D965" s="19"/>
      <c r="E965" s="19"/>
      <c r="F965" s="19"/>
      <c r="G965" s="19"/>
      <c r="H965" s="19"/>
      <c r="I965" s="19"/>
      <c r="J965" s="19"/>
      <c r="K965" s="19"/>
    </row>
    <row r="966">
      <c r="A966" s="19"/>
      <c r="B966" s="19"/>
      <c r="C966" s="19"/>
      <c r="D966" s="19"/>
      <c r="E966" s="19"/>
      <c r="F966" s="19"/>
      <c r="G966" s="19"/>
      <c r="H966" s="19"/>
      <c r="I966" s="19"/>
      <c r="J966" s="19"/>
      <c r="K966" s="19"/>
    </row>
    <row r="967">
      <c r="A967" s="19"/>
      <c r="B967" s="19"/>
      <c r="C967" s="19"/>
      <c r="D967" s="19"/>
      <c r="E967" s="19"/>
      <c r="F967" s="19"/>
      <c r="G967" s="19"/>
      <c r="H967" s="19"/>
      <c r="I967" s="19"/>
      <c r="J967" s="19"/>
      <c r="K967" s="19"/>
    </row>
    <row r="968">
      <c r="A968" s="19"/>
      <c r="B968" s="19"/>
      <c r="C968" s="19"/>
      <c r="D968" s="19"/>
      <c r="E968" s="19"/>
      <c r="F968" s="19"/>
      <c r="G968" s="19"/>
      <c r="H968" s="19"/>
      <c r="I968" s="19"/>
      <c r="J968" s="19"/>
      <c r="K968" s="19"/>
    </row>
    <row r="969">
      <c r="A969" s="19"/>
      <c r="B969" s="19"/>
      <c r="C969" s="19"/>
      <c r="D969" s="19"/>
      <c r="E969" s="19"/>
      <c r="F969" s="19"/>
      <c r="G969" s="19"/>
      <c r="H969" s="19"/>
      <c r="I969" s="19"/>
      <c r="J969" s="19"/>
      <c r="K969" s="19"/>
    </row>
    <row r="970">
      <c r="A970" s="19"/>
      <c r="B970" s="19"/>
      <c r="C970" s="19"/>
      <c r="D970" s="19"/>
      <c r="E970" s="19"/>
      <c r="F970" s="19"/>
      <c r="G970" s="19"/>
      <c r="H970" s="19"/>
      <c r="I970" s="19"/>
      <c r="J970" s="19"/>
      <c r="K970" s="19"/>
    </row>
    <row r="971">
      <c r="A971" s="19"/>
      <c r="B971" s="19"/>
      <c r="C971" s="19"/>
      <c r="D971" s="19"/>
      <c r="E971" s="19"/>
      <c r="F971" s="19"/>
      <c r="G971" s="19"/>
      <c r="H971" s="19"/>
      <c r="I971" s="19"/>
      <c r="J971" s="19"/>
      <c r="K971" s="19"/>
    </row>
    <row r="972">
      <c r="A972" s="19"/>
      <c r="B972" s="19"/>
      <c r="C972" s="19"/>
      <c r="D972" s="19"/>
      <c r="E972" s="19"/>
      <c r="F972" s="19"/>
      <c r="G972" s="19"/>
      <c r="H972" s="19"/>
      <c r="I972" s="19"/>
      <c r="J972" s="19"/>
      <c r="K972" s="19"/>
    </row>
    <row r="973">
      <c r="A973" s="19"/>
      <c r="B973" s="19"/>
      <c r="C973" s="19"/>
      <c r="D973" s="19"/>
      <c r="E973" s="19"/>
      <c r="F973" s="19"/>
      <c r="G973" s="19"/>
      <c r="H973" s="19"/>
      <c r="I973" s="19"/>
      <c r="J973" s="19"/>
      <c r="K973" s="19"/>
    </row>
    <row r="974">
      <c r="A974" s="19"/>
      <c r="B974" s="19"/>
      <c r="C974" s="19"/>
      <c r="D974" s="19"/>
      <c r="E974" s="19"/>
      <c r="F974" s="19"/>
      <c r="G974" s="19"/>
      <c r="H974" s="19"/>
      <c r="I974" s="19"/>
      <c r="J974" s="19"/>
      <c r="K974" s="19"/>
    </row>
    <row r="975">
      <c r="A975" s="19"/>
      <c r="B975" s="19"/>
      <c r="C975" s="19"/>
      <c r="D975" s="19"/>
      <c r="E975" s="19"/>
      <c r="F975" s="19"/>
      <c r="G975" s="19"/>
      <c r="H975" s="19"/>
      <c r="I975" s="19"/>
      <c r="J975" s="19"/>
      <c r="K975" s="19"/>
    </row>
    <row r="976">
      <c r="A976" s="19"/>
      <c r="B976" s="19"/>
      <c r="C976" s="19"/>
      <c r="D976" s="19"/>
      <c r="E976" s="19"/>
      <c r="F976" s="19"/>
      <c r="G976" s="19"/>
      <c r="H976" s="19"/>
      <c r="I976" s="19"/>
      <c r="J976" s="19"/>
      <c r="K976" s="19"/>
    </row>
    <row r="977">
      <c r="A977" s="19"/>
      <c r="B977" s="19"/>
      <c r="C977" s="19"/>
      <c r="D977" s="19"/>
      <c r="E977" s="19"/>
      <c r="F977" s="19"/>
      <c r="G977" s="19"/>
      <c r="H977" s="19"/>
      <c r="I977" s="19"/>
      <c r="J977" s="19"/>
      <c r="K977" s="19"/>
    </row>
    <row r="978">
      <c r="A978" s="19"/>
      <c r="B978" s="19"/>
      <c r="C978" s="19"/>
      <c r="D978" s="19"/>
      <c r="E978" s="19"/>
      <c r="F978" s="19"/>
      <c r="G978" s="19"/>
      <c r="H978" s="19"/>
      <c r="I978" s="19"/>
      <c r="J978" s="19"/>
      <c r="K978" s="19"/>
    </row>
    <row r="979">
      <c r="A979" s="19"/>
      <c r="B979" s="19"/>
      <c r="C979" s="19"/>
      <c r="D979" s="19"/>
      <c r="E979" s="19"/>
      <c r="F979" s="19"/>
      <c r="G979" s="19"/>
      <c r="H979" s="19"/>
      <c r="I979" s="19"/>
      <c r="J979" s="19"/>
      <c r="K979" s="19"/>
    </row>
    <row r="980">
      <c r="A980" s="19"/>
      <c r="B980" s="19"/>
      <c r="C980" s="19"/>
      <c r="D980" s="19"/>
      <c r="E980" s="19"/>
      <c r="F980" s="19"/>
      <c r="G980" s="19"/>
      <c r="H980" s="19"/>
      <c r="I980" s="19"/>
      <c r="J980" s="19"/>
      <c r="K980" s="19"/>
    </row>
    <row r="981">
      <c r="A981" s="19"/>
      <c r="B981" s="19"/>
      <c r="C981" s="19"/>
      <c r="D981" s="19"/>
      <c r="E981" s="19"/>
      <c r="F981" s="19"/>
      <c r="G981" s="19"/>
      <c r="H981" s="19"/>
      <c r="I981" s="19"/>
      <c r="J981" s="19"/>
      <c r="K981" s="19"/>
    </row>
    <row r="982">
      <c r="A982" s="19"/>
      <c r="B982" s="19"/>
      <c r="C982" s="19"/>
      <c r="D982" s="19"/>
      <c r="E982" s="19"/>
      <c r="F982" s="19"/>
      <c r="G982" s="19"/>
      <c r="H982" s="19"/>
      <c r="I982" s="19"/>
      <c r="J982" s="19"/>
      <c r="K982" s="19"/>
    </row>
    <row r="983">
      <c r="A983" s="19"/>
      <c r="B983" s="19"/>
      <c r="C983" s="19"/>
      <c r="D983" s="19"/>
      <c r="E983" s="19"/>
      <c r="F983" s="19"/>
      <c r="G983" s="19"/>
      <c r="H983" s="19"/>
      <c r="I983" s="19"/>
      <c r="J983" s="19"/>
      <c r="K983" s="19"/>
    </row>
    <row r="984">
      <c r="A984" s="19"/>
      <c r="B984" s="19"/>
      <c r="C984" s="19"/>
      <c r="D984" s="19"/>
      <c r="E984" s="19"/>
      <c r="F984" s="19"/>
      <c r="G984" s="19"/>
      <c r="H984" s="19"/>
      <c r="I984" s="19"/>
      <c r="J984" s="19"/>
      <c r="K984" s="19"/>
    </row>
    <row r="985">
      <c r="A985" s="19"/>
      <c r="B985" s="19"/>
      <c r="C985" s="19"/>
      <c r="D985" s="19"/>
      <c r="E985" s="19"/>
      <c r="F985" s="19"/>
      <c r="G985" s="19"/>
      <c r="H985" s="19"/>
      <c r="I985" s="19"/>
      <c r="J985" s="19"/>
      <c r="K985" s="19"/>
    </row>
    <row r="986">
      <c r="A986" s="19"/>
      <c r="B986" s="19"/>
      <c r="C986" s="19"/>
      <c r="D986" s="19"/>
      <c r="E986" s="19"/>
      <c r="F986" s="19"/>
      <c r="G986" s="19"/>
      <c r="H986" s="19"/>
      <c r="I986" s="19"/>
      <c r="J986" s="19"/>
      <c r="K986" s="19"/>
    </row>
    <row r="987">
      <c r="A987" s="19"/>
      <c r="B987" s="19"/>
      <c r="C987" s="19"/>
      <c r="D987" s="19"/>
      <c r="E987" s="19"/>
      <c r="F987" s="19"/>
      <c r="G987" s="19"/>
      <c r="H987" s="19"/>
      <c r="I987" s="19"/>
      <c r="J987" s="19"/>
      <c r="K987" s="19"/>
    </row>
    <row r="988">
      <c r="A988" s="19"/>
      <c r="B988" s="19"/>
      <c r="C988" s="19"/>
      <c r="D988" s="19"/>
      <c r="E988" s="19"/>
      <c r="F988" s="19"/>
      <c r="G988" s="19"/>
      <c r="H988" s="19"/>
      <c r="I988" s="19"/>
      <c r="J988" s="19"/>
      <c r="K988" s="19"/>
    </row>
    <row r="989">
      <c r="A989" s="19"/>
      <c r="B989" s="19"/>
      <c r="C989" s="19"/>
      <c r="D989" s="19"/>
      <c r="E989" s="19"/>
      <c r="F989" s="19"/>
      <c r="G989" s="19"/>
      <c r="H989" s="19"/>
      <c r="I989" s="19"/>
      <c r="J989" s="19"/>
      <c r="K989" s="19"/>
    </row>
    <row r="990">
      <c r="A990" s="19"/>
      <c r="B990" s="19"/>
      <c r="C990" s="19"/>
      <c r="D990" s="19"/>
      <c r="E990" s="19"/>
      <c r="F990" s="19"/>
      <c r="G990" s="19"/>
      <c r="H990" s="19"/>
      <c r="I990" s="19"/>
      <c r="J990" s="19"/>
      <c r="K990" s="19"/>
    </row>
    <row r="991">
      <c r="A991" s="19"/>
      <c r="B991" s="19"/>
      <c r="C991" s="19"/>
      <c r="D991" s="19"/>
      <c r="E991" s="19"/>
      <c r="F991" s="19"/>
      <c r="G991" s="19"/>
      <c r="H991" s="19"/>
      <c r="I991" s="19"/>
      <c r="J991" s="19"/>
      <c r="K991" s="19"/>
    </row>
    <row r="992">
      <c r="A992" s="19"/>
      <c r="B992" s="19"/>
      <c r="C992" s="19"/>
      <c r="D992" s="19"/>
      <c r="E992" s="19"/>
      <c r="F992" s="19"/>
      <c r="G992" s="19"/>
      <c r="H992" s="19"/>
      <c r="I992" s="19"/>
      <c r="J992" s="19"/>
      <c r="K992" s="19"/>
    </row>
    <row r="993">
      <c r="A993" s="19"/>
      <c r="B993" s="19"/>
      <c r="C993" s="19"/>
      <c r="D993" s="19"/>
      <c r="E993" s="19"/>
      <c r="F993" s="19"/>
      <c r="G993" s="19"/>
      <c r="H993" s="19"/>
      <c r="I993" s="19"/>
      <c r="J993" s="19"/>
      <c r="K993" s="19"/>
    </row>
    <row r="994">
      <c r="A994" s="19"/>
      <c r="B994" s="19"/>
      <c r="C994" s="19"/>
      <c r="D994" s="19"/>
      <c r="E994" s="19"/>
      <c r="F994" s="19"/>
      <c r="G994" s="19"/>
      <c r="H994" s="19"/>
      <c r="I994" s="19"/>
      <c r="J994" s="19"/>
      <c r="K994" s="19"/>
    </row>
    <row r="995">
      <c r="A995" s="19"/>
      <c r="B995" s="19"/>
      <c r="C995" s="19"/>
      <c r="D995" s="19"/>
      <c r="E995" s="19"/>
      <c r="F995" s="19"/>
      <c r="G995" s="19"/>
      <c r="H995" s="19"/>
      <c r="I995" s="19"/>
      <c r="J995" s="19"/>
      <c r="K995" s="19"/>
    </row>
    <row r="996">
      <c r="A996" s="19"/>
      <c r="B996" s="19"/>
      <c r="C996" s="19"/>
      <c r="D996" s="19"/>
      <c r="E996" s="19"/>
      <c r="F996" s="19"/>
      <c r="G996" s="19"/>
      <c r="H996" s="19"/>
      <c r="I996" s="19"/>
      <c r="J996" s="19"/>
      <c r="K996" s="19"/>
    </row>
    <row r="997">
      <c r="A997" s="19"/>
      <c r="B997" s="19"/>
      <c r="C997" s="19"/>
      <c r="D997" s="19"/>
      <c r="E997" s="19"/>
      <c r="F997" s="19"/>
      <c r="G997" s="19"/>
      <c r="H997" s="19"/>
      <c r="I997" s="19"/>
      <c r="J997" s="19"/>
      <c r="K997" s="19"/>
    </row>
    <row r="998">
      <c r="A998" s="19"/>
      <c r="B998" s="19"/>
      <c r="C998" s="19"/>
      <c r="D998" s="19"/>
      <c r="E998" s="19"/>
      <c r="F998" s="19"/>
      <c r="G998" s="19"/>
      <c r="H998" s="19"/>
      <c r="I998" s="19"/>
      <c r="J998" s="19"/>
      <c r="K998" s="19"/>
    </row>
    <row r="999">
      <c r="A999" s="19"/>
      <c r="B999" s="19"/>
      <c r="C999" s="19"/>
      <c r="D999" s="19"/>
      <c r="E999" s="19"/>
      <c r="F999" s="19"/>
      <c r="G999" s="19"/>
      <c r="H999" s="19"/>
      <c r="I999" s="19"/>
      <c r="J999" s="19"/>
      <c r="K999" s="19"/>
    </row>
    <row r="1000">
      <c r="A1000" s="19"/>
      <c r="B1000" s="19"/>
      <c r="C1000" s="19"/>
      <c r="D1000" s="19"/>
      <c r="E1000" s="19"/>
      <c r="F1000" s="19"/>
      <c r="G1000" s="19"/>
      <c r="H1000" s="19"/>
      <c r="I1000" s="19"/>
      <c r="J1000" s="19"/>
      <c r="K1000" s="19"/>
    </row>
    <row r="1001">
      <c r="A1001" s="19"/>
      <c r="B1001" s="19"/>
      <c r="C1001" s="19"/>
      <c r="D1001" s="19"/>
      <c r="E1001" s="19"/>
      <c r="F1001" s="19"/>
      <c r="G1001" s="19"/>
      <c r="H1001" s="19"/>
      <c r="I1001" s="19"/>
      <c r="J1001" s="19"/>
      <c r="K1001" s="19"/>
    </row>
    <row r="1002">
      <c r="A1002" s="19"/>
      <c r="B1002" s="19"/>
      <c r="C1002" s="19"/>
      <c r="D1002" s="19"/>
      <c r="E1002" s="19"/>
      <c r="F1002" s="19"/>
      <c r="G1002" s="19"/>
      <c r="H1002" s="19"/>
      <c r="I1002" s="19"/>
      <c r="J1002" s="19"/>
      <c r="K1002" s="19"/>
    </row>
    <row r="1003">
      <c r="A1003" s="19"/>
      <c r="B1003" s="19"/>
      <c r="C1003" s="19"/>
      <c r="D1003" s="19"/>
      <c r="E1003" s="19"/>
      <c r="F1003" s="19"/>
      <c r="G1003" s="19"/>
      <c r="H1003" s="19"/>
      <c r="I1003" s="19"/>
      <c r="J1003" s="19"/>
      <c r="K1003" s="19"/>
    </row>
    <row r="1004">
      <c r="A1004" s="19"/>
      <c r="B1004" s="19"/>
      <c r="C1004" s="19"/>
      <c r="D1004" s="19"/>
      <c r="E1004" s="19"/>
      <c r="F1004" s="19"/>
      <c r="G1004" s="19"/>
      <c r="H1004" s="19"/>
      <c r="I1004" s="19"/>
      <c r="J1004" s="19"/>
      <c r="K1004" s="19"/>
    </row>
    <row r="1005">
      <c r="A1005" s="19"/>
      <c r="B1005" s="19"/>
      <c r="C1005" s="19"/>
      <c r="D1005" s="19"/>
      <c r="E1005" s="19"/>
      <c r="F1005" s="19"/>
      <c r="G1005" s="19"/>
      <c r="H1005" s="19"/>
      <c r="I1005" s="19"/>
      <c r="J1005" s="19"/>
      <c r="K1005" s="19"/>
    </row>
    <row r="1006">
      <c r="A1006" s="19"/>
      <c r="B1006" s="19"/>
      <c r="C1006" s="19"/>
      <c r="D1006" s="19"/>
      <c r="E1006" s="19"/>
      <c r="F1006" s="19"/>
      <c r="G1006" s="19"/>
      <c r="H1006" s="19"/>
      <c r="I1006" s="19"/>
      <c r="J1006" s="19"/>
      <c r="K1006" s="19"/>
    </row>
    <row r="1007">
      <c r="A1007" s="19"/>
      <c r="B1007" s="19"/>
      <c r="C1007" s="19"/>
      <c r="D1007" s="19"/>
      <c r="E1007" s="19"/>
      <c r="F1007" s="19"/>
      <c r="G1007" s="19"/>
      <c r="H1007" s="19"/>
      <c r="I1007" s="19"/>
      <c r="J1007" s="19"/>
      <c r="K1007" s="19"/>
    </row>
    <row r="1008">
      <c r="A1008" s="19"/>
      <c r="B1008" s="19"/>
      <c r="C1008" s="19"/>
      <c r="D1008" s="19"/>
      <c r="E1008" s="19"/>
      <c r="F1008" s="19"/>
      <c r="G1008" s="19"/>
      <c r="H1008" s="19"/>
      <c r="I1008" s="19"/>
      <c r="J1008" s="19"/>
      <c r="K1008" s="19"/>
    </row>
    <row r="1009">
      <c r="A1009" s="19"/>
      <c r="B1009" s="19"/>
      <c r="C1009" s="19"/>
      <c r="D1009" s="19"/>
      <c r="E1009" s="19"/>
      <c r="F1009" s="19"/>
      <c r="G1009" s="19"/>
      <c r="H1009" s="19"/>
      <c r="I1009" s="19"/>
      <c r="J1009" s="19"/>
      <c r="K1009" s="19"/>
    </row>
    <row r="1010">
      <c r="A1010" s="19"/>
      <c r="B1010" s="19"/>
      <c r="C1010" s="19"/>
      <c r="D1010" s="19"/>
      <c r="E1010" s="19"/>
      <c r="F1010" s="19"/>
      <c r="G1010" s="19"/>
      <c r="H1010" s="19"/>
      <c r="I1010" s="19"/>
      <c r="J1010" s="19"/>
      <c r="K1010" s="19"/>
    </row>
    <row r="1011">
      <c r="A1011" s="19"/>
      <c r="B1011" s="19"/>
      <c r="C1011" s="19"/>
      <c r="D1011" s="19"/>
      <c r="E1011" s="19"/>
      <c r="F1011" s="19"/>
      <c r="G1011" s="19"/>
      <c r="H1011" s="19"/>
      <c r="I1011" s="19"/>
      <c r="J1011" s="19"/>
      <c r="K1011" s="19"/>
    </row>
    <row r="1012">
      <c r="A1012" s="19"/>
      <c r="B1012" s="19"/>
      <c r="C1012" s="19"/>
      <c r="D1012" s="19"/>
      <c r="E1012" s="19"/>
      <c r="F1012" s="19"/>
      <c r="G1012" s="19"/>
      <c r="H1012" s="19"/>
      <c r="I1012" s="19"/>
      <c r="J1012" s="19"/>
      <c r="K1012" s="19"/>
    </row>
    <row r="1013">
      <c r="A1013" s="19"/>
      <c r="B1013" s="19"/>
      <c r="C1013" s="19"/>
      <c r="D1013" s="19"/>
      <c r="E1013" s="19"/>
      <c r="F1013" s="19"/>
      <c r="G1013" s="19"/>
      <c r="H1013" s="19"/>
      <c r="I1013" s="19"/>
      <c r="J1013" s="19"/>
      <c r="K1013" s="19"/>
    </row>
    <row r="1014">
      <c r="A1014" s="19"/>
      <c r="B1014" s="19"/>
      <c r="C1014" s="19"/>
      <c r="D1014" s="19"/>
      <c r="E1014" s="19"/>
      <c r="F1014" s="19"/>
      <c r="G1014" s="19"/>
      <c r="H1014" s="19"/>
      <c r="I1014" s="19"/>
      <c r="J1014" s="19"/>
      <c r="K1014" s="19"/>
    </row>
    <row r="1015">
      <c r="A1015" s="19"/>
      <c r="B1015" s="19"/>
      <c r="C1015" s="19"/>
      <c r="D1015" s="19"/>
      <c r="E1015" s="19"/>
      <c r="F1015" s="19"/>
      <c r="G1015" s="19"/>
      <c r="H1015" s="19"/>
      <c r="I1015" s="19"/>
      <c r="J1015" s="19"/>
      <c r="K1015" s="19"/>
    </row>
    <row r="1016">
      <c r="A1016" s="19"/>
      <c r="B1016" s="19"/>
      <c r="C1016" s="19"/>
      <c r="D1016" s="19"/>
      <c r="E1016" s="19"/>
      <c r="F1016" s="19"/>
      <c r="G1016" s="19"/>
      <c r="H1016" s="19"/>
      <c r="I1016" s="19"/>
      <c r="J1016" s="19"/>
      <c r="K1016" s="19"/>
    </row>
    <row r="1017">
      <c r="A1017" s="19"/>
      <c r="B1017" s="19"/>
      <c r="C1017" s="19"/>
      <c r="D1017" s="19"/>
      <c r="E1017" s="19"/>
      <c r="F1017" s="19"/>
      <c r="G1017" s="19"/>
      <c r="H1017" s="19"/>
      <c r="I1017" s="19"/>
      <c r="J1017" s="19"/>
      <c r="K1017" s="19"/>
    </row>
    <row r="1018">
      <c r="A1018" s="19"/>
      <c r="B1018" s="19"/>
      <c r="C1018" s="19"/>
      <c r="D1018" s="19"/>
      <c r="E1018" s="19"/>
      <c r="F1018" s="19"/>
      <c r="G1018" s="19"/>
      <c r="H1018" s="19"/>
      <c r="I1018" s="19"/>
      <c r="J1018" s="19"/>
      <c r="K1018" s="19"/>
    </row>
    <row r="1019">
      <c r="A1019" s="19"/>
      <c r="B1019" s="19"/>
      <c r="C1019" s="19"/>
      <c r="D1019" s="19"/>
      <c r="E1019" s="19"/>
      <c r="F1019" s="19"/>
      <c r="G1019" s="19"/>
      <c r="H1019" s="19"/>
      <c r="I1019" s="19"/>
      <c r="J1019" s="19"/>
      <c r="K1019" s="19"/>
    </row>
    <row r="1020">
      <c r="A1020" s="19"/>
      <c r="B1020" s="19"/>
      <c r="C1020" s="19"/>
      <c r="D1020" s="19"/>
      <c r="E1020" s="19"/>
      <c r="F1020" s="19"/>
      <c r="G1020" s="19"/>
      <c r="H1020" s="19"/>
      <c r="I1020" s="19"/>
      <c r="J1020" s="19"/>
      <c r="K1020" s="19"/>
    </row>
    <row r="1021">
      <c r="A1021" s="19"/>
      <c r="B1021" s="19"/>
      <c r="C1021" s="19"/>
      <c r="D1021" s="19"/>
      <c r="E1021" s="19"/>
      <c r="F1021" s="19"/>
      <c r="G1021" s="19"/>
      <c r="H1021" s="19"/>
      <c r="I1021" s="19"/>
      <c r="J1021" s="19"/>
      <c r="K1021" s="19"/>
    </row>
  </sheetData>
  <mergeCells count="11">
    <mergeCell ref="H35:I35"/>
    <mergeCell ref="H36:I36"/>
    <mergeCell ref="H37:I37"/>
    <mergeCell ref="A41:J43"/>
    <mergeCell ref="A1:J1"/>
    <mergeCell ref="B8:F8"/>
    <mergeCell ref="B31:C31"/>
    <mergeCell ref="E31:F31"/>
    <mergeCell ref="H32:I32"/>
    <mergeCell ref="H33:I33"/>
    <mergeCell ref="H34:I3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5"/>
    <col customWidth="1" min="2" max="2" width="7.38"/>
    <col customWidth="1" min="3" max="3" width="6.5"/>
    <col customWidth="1" min="4" max="4" width="6.25"/>
    <col customWidth="1" min="5" max="5" width="5.88"/>
    <col customWidth="1" min="6" max="6" width="6.25"/>
    <col customWidth="1" min="7" max="7" width="1.25"/>
    <col customWidth="1" min="8" max="8" width="6.5"/>
    <col customWidth="1" min="9" max="9" width="7.38"/>
    <col customWidth="1" min="10" max="10" width="6.5"/>
    <col customWidth="1" min="11" max="11" width="6.25"/>
    <col customWidth="1" min="12" max="12" width="5.88"/>
    <col customWidth="1" min="13" max="13" width="6.25"/>
    <col customWidth="1" min="14" max="14" width="1.25"/>
    <col customWidth="1" min="15" max="15" width="6.5"/>
    <col customWidth="1" min="16" max="16" width="7.38"/>
    <col customWidth="1" min="17" max="17" width="6.5"/>
    <col customWidth="1" min="18" max="18" width="6.25"/>
    <col customWidth="1" min="19" max="19" width="5.88"/>
    <col customWidth="1" min="20" max="20" width="6.25"/>
    <col customWidth="1" min="21" max="21" width="1.25"/>
    <col customWidth="1" min="22" max="22" width="6.88"/>
    <col customWidth="1" min="23" max="23" width="10.0"/>
    <col customWidth="1" min="24" max="24" width="1.5"/>
    <col customWidth="1" min="25" max="25" width="6.5"/>
    <col customWidth="1" min="26" max="26" width="5.25"/>
    <col customWidth="1" min="27" max="27" width="4.63"/>
    <col customWidth="1" min="28" max="28" width="3.25"/>
    <col customWidth="1" min="29" max="29" width="2.88"/>
  </cols>
  <sheetData>
    <row r="1" ht="26.25" customHeight="1">
      <c r="A1" s="67" t="s">
        <v>69</v>
      </c>
      <c r="B1" s="67"/>
      <c r="C1" s="67"/>
      <c r="D1" s="67"/>
      <c r="E1" s="67"/>
      <c r="F1" s="67"/>
      <c r="G1" s="67"/>
      <c r="H1" s="67"/>
      <c r="I1" s="67"/>
      <c r="J1" s="68" t="s">
        <v>70</v>
      </c>
      <c r="K1" s="67"/>
      <c r="L1" s="67"/>
      <c r="M1" s="67"/>
      <c r="N1" s="67"/>
      <c r="O1" s="67"/>
      <c r="P1" s="67" t="s">
        <v>1</v>
      </c>
      <c r="Q1" s="67"/>
      <c r="R1" s="67"/>
      <c r="S1" s="67"/>
      <c r="T1" s="67"/>
      <c r="U1" s="67"/>
      <c r="V1" s="67"/>
      <c r="W1" s="67"/>
      <c r="X1" s="69"/>
      <c r="Y1" s="70"/>
      <c r="Z1" s="71"/>
      <c r="AA1" s="72"/>
      <c r="AB1" s="71"/>
      <c r="AC1" s="73"/>
    </row>
    <row r="2" ht="6.75" customHeight="1">
      <c r="A2" s="27"/>
      <c r="B2" s="27"/>
      <c r="C2" s="27"/>
      <c r="D2" s="27"/>
      <c r="E2" s="69"/>
      <c r="F2" s="69"/>
      <c r="G2" s="69"/>
      <c r="H2" s="27"/>
      <c r="I2" s="25" t="s">
        <v>71</v>
      </c>
      <c r="J2" s="74">
        <v>72.5</v>
      </c>
      <c r="K2" s="75">
        <f>'Kopia av Sheet1'!E10</f>
        <v>1</v>
      </c>
      <c r="L2" s="25">
        <v>20.0</v>
      </c>
      <c r="M2" s="25" t="s">
        <v>72</v>
      </c>
      <c r="N2" s="69"/>
      <c r="O2" s="27"/>
      <c r="P2" s="27"/>
      <c r="Q2" s="27"/>
      <c r="R2" s="27"/>
      <c r="S2" s="27"/>
      <c r="T2" s="69"/>
      <c r="U2" s="69"/>
      <c r="V2" s="69"/>
      <c r="W2" s="69"/>
      <c r="X2" s="69"/>
      <c r="Y2" s="18"/>
      <c r="Z2" s="18"/>
      <c r="AA2" s="18"/>
      <c r="AB2" s="18"/>
      <c r="AC2" s="18"/>
    </row>
    <row r="3" ht="12.75" customHeight="1">
      <c r="A3" s="49" t="s">
        <v>73</v>
      </c>
      <c r="B3" s="50"/>
      <c r="C3" s="50"/>
      <c r="D3" s="49" t="s">
        <v>74</v>
      </c>
      <c r="E3" s="50"/>
      <c r="F3" s="50"/>
      <c r="G3" s="69"/>
      <c r="H3" s="27"/>
      <c r="I3" s="25" t="s">
        <v>75</v>
      </c>
      <c r="J3" s="74">
        <v>20.0</v>
      </c>
      <c r="K3" s="75">
        <f>'Kopia av Sheet1'!E11</f>
        <v>0</v>
      </c>
      <c r="L3" s="25">
        <v>15.0</v>
      </c>
      <c r="M3" s="25" t="s">
        <v>72</v>
      </c>
      <c r="N3" s="27"/>
      <c r="O3" s="27"/>
      <c r="P3" s="49" t="s">
        <v>76</v>
      </c>
      <c r="Q3" s="50"/>
      <c r="R3" s="50"/>
      <c r="S3" s="27"/>
      <c r="T3" s="27"/>
      <c r="U3" s="27"/>
      <c r="V3" s="53" t="s">
        <v>77</v>
      </c>
      <c r="W3" s="6"/>
      <c r="X3" s="76"/>
      <c r="Y3" s="18"/>
      <c r="Z3" s="18"/>
      <c r="AA3" s="18"/>
      <c r="AB3" s="18"/>
      <c r="AC3" s="18"/>
    </row>
    <row r="4" ht="12.75" customHeight="1">
      <c r="A4" s="31" t="s">
        <v>26</v>
      </c>
      <c r="B4" s="31" t="s">
        <v>27</v>
      </c>
      <c r="C4" s="31" t="s">
        <v>28</v>
      </c>
      <c r="D4" s="25" t="s">
        <v>26</v>
      </c>
      <c r="E4" s="25" t="s">
        <v>28</v>
      </c>
      <c r="F4" s="25" t="s">
        <v>78</v>
      </c>
      <c r="G4" s="27"/>
      <c r="H4" s="27"/>
      <c r="I4" s="77" t="s">
        <v>79</v>
      </c>
      <c r="J4" s="78">
        <f>'Kopia av Sheet1'!H14</f>
        <v>26.25</v>
      </c>
      <c r="K4" s="75">
        <f>'Kopia av Sheet1'!E12</f>
        <v>0</v>
      </c>
      <c r="L4" s="25">
        <v>10.0</v>
      </c>
      <c r="M4" s="25" t="s">
        <v>72</v>
      </c>
      <c r="N4" s="27"/>
      <c r="O4" s="27"/>
      <c r="P4" s="31" t="s">
        <v>28</v>
      </c>
      <c r="Q4" s="31" t="s">
        <v>27</v>
      </c>
      <c r="R4" s="31" t="s">
        <v>26</v>
      </c>
      <c r="S4" s="27"/>
      <c r="T4" s="27"/>
      <c r="U4" s="27"/>
      <c r="V4" s="53" t="s">
        <v>80</v>
      </c>
      <c r="W4" s="6"/>
      <c r="X4" s="79"/>
      <c r="Y4" s="18"/>
      <c r="Z4" s="18"/>
      <c r="AA4" s="18"/>
      <c r="AB4" s="18"/>
      <c r="AC4" s="18"/>
    </row>
    <row r="5" ht="12.75" customHeight="1">
      <c r="A5" s="80">
        <v>120.0</v>
      </c>
      <c r="B5" s="80">
        <v>3.0</v>
      </c>
      <c r="C5" s="81">
        <f>IF(OR(B5="",A5=""),"",MROUND((36*A5)/(37-B5),'Start-Options'!B38))</f>
        <v>127.5</v>
      </c>
      <c r="D5" s="29">
        <v>42.5</v>
      </c>
      <c r="E5" s="29">
        <v>50.0</v>
      </c>
      <c r="F5" s="25">
        <f>IF(OR(D5="",E5=""),"",ROUND(37-(36*D5/E5),0))</f>
        <v>6</v>
      </c>
      <c r="G5" s="27"/>
      <c r="H5" s="27"/>
      <c r="I5" s="82"/>
      <c r="J5" s="83"/>
      <c r="K5" s="75">
        <f>'Kopia av Sheet1'!E13</f>
        <v>1</v>
      </c>
      <c r="L5" s="25">
        <v>5.0</v>
      </c>
      <c r="M5" s="25" t="s">
        <v>72</v>
      </c>
      <c r="N5" s="27"/>
      <c r="O5" s="27"/>
      <c r="P5" s="28"/>
      <c r="Q5" s="38"/>
      <c r="R5" s="84" t="str">
        <f>IF(OR(Q5="",P5=""),"",MROUND(P5/(36/(37-Q5)),'Start-Options'!B38))</f>
        <v/>
      </c>
      <c r="S5" s="27"/>
      <c r="T5" s="27"/>
      <c r="U5" s="27"/>
      <c r="V5" s="54" t="s">
        <v>64</v>
      </c>
      <c r="W5" s="6"/>
      <c r="X5" s="79"/>
      <c r="Y5" s="18"/>
      <c r="Z5" s="18"/>
      <c r="AA5" s="18"/>
      <c r="AB5" s="18"/>
      <c r="AC5" s="18"/>
    </row>
    <row r="6" ht="6.75" customHeight="1">
      <c r="A6" s="18"/>
      <c r="B6" s="85"/>
      <c r="C6" s="85"/>
      <c r="D6" s="85"/>
      <c r="E6" s="27"/>
      <c r="F6" s="27"/>
      <c r="G6" s="27"/>
      <c r="H6" s="27" t="s">
        <v>81</v>
      </c>
      <c r="I6" s="27"/>
      <c r="J6" s="27"/>
      <c r="K6" s="75">
        <f>'Kopia av Sheet1'!E14</f>
        <v>0</v>
      </c>
      <c r="L6" s="25">
        <v>2.5</v>
      </c>
      <c r="M6" s="25" t="s">
        <v>72</v>
      </c>
      <c r="N6" s="27"/>
      <c r="O6" s="27"/>
      <c r="P6" s="27"/>
      <c r="Q6" s="27"/>
      <c r="R6" s="27"/>
      <c r="S6" s="27"/>
      <c r="T6" s="27"/>
      <c r="U6" s="27"/>
      <c r="V6" s="27"/>
      <c r="W6" s="27"/>
      <c r="X6" s="27"/>
      <c r="Y6" s="18"/>
      <c r="Z6" s="18"/>
      <c r="AA6" s="18"/>
      <c r="AB6" s="18"/>
      <c r="AC6" s="18"/>
    </row>
    <row r="7" ht="6.75" customHeight="1">
      <c r="A7" s="18"/>
      <c r="B7" s="85"/>
      <c r="C7" s="85"/>
      <c r="D7" s="85"/>
      <c r="E7" s="27"/>
      <c r="F7" s="27" t="s">
        <v>82</v>
      </c>
      <c r="G7" s="27"/>
      <c r="H7" s="27"/>
      <c r="I7" s="27"/>
      <c r="J7" s="27"/>
      <c r="K7" s="75">
        <f>'Kopia av Sheet1'!E15</f>
        <v>1</v>
      </c>
      <c r="L7" s="25">
        <v>1.25</v>
      </c>
      <c r="M7" s="25" t="s">
        <v>72</v>
      </c>
      <c r="N7" s="27"/>
      <c r="O7" s="27"/>
      <c r="P7" s="27"/>
      <c r="Q7" s="27"/>
      <c r="R7" s="27"/>
      <c r="S7" s="27"/>
      <c r="T7" s="27"/>
      <c r="U7" s="27"/>
      <c r="V7" s="27"/>
      <c r="W7" s="27"/>
      <c r="X7" s="27"/>
      <c r="Y7" s="18"/>
      <c r="Z7" s="18"/>
      <c r="AA7" s="18"/>
      <c r="AB7" s="18"/>
      <c r="AC7" s="18"/>
    </row>
    <row r="8" ht="6.75" customHeight="1">
      <c r="A8" s="18"/>
      <c r="B8" s="85"/>
      <c r="C8" s="85"/>
      <c r="D8" s="85"/>
      <c r="E8" s="27"/>
      <c r="F8" s="27"/>
      <c r="G8" s="27"/>
      <c r="H8" s="27"/>
      <c r="I8" s="27"/>
      <c r="J8" s="27"/>
      <c r="K8" s="27"/>
      <c r="L8" s="27"/>
      <c r="M8" s="27"/>
      <c r="N8" s="27"/>
      <c r="O8" s="27"/>
      <c r="P8" s="27"/>
      <c r="Q8" s="27"/>
      <c r="R8" s="27"/>
      <c r="S8" s="27"/>
      <c r="T8" s="27"/>
      <c r="U8" s="27"/>
      <c r="V8" s="27"/>
      <c r="W8" s="27"/>
      <c r="X8" s="27"/>
      <c r="Y8" s="27"/>
      <c r="Z8" s="27"/>
      <c r="AA8" s="27"/>
      <c r="AB8" s="27"/>
      <c r="AC8" s="27"/>
    </row>
    <row r="9" ht="6.75" customHeight="1">
      <c r="A9" s="18"/>
      <c r="B9" s="85"/>
      <c r="C9" s="85"/>
      <c r="D9" s="85"/>
      <c r="E9" s="27"/>
      <c r="F9" s="27"/>
      <c r="G9" s="27"/>
      <c r="H9" s="27"/>
      <c r="I9" s="27"/>
      <c r="J9" s="27"/>
      <c r="K9" s="27"/>
      <c r="L9" s="27"/>
      <c r="M9" s="27"/>
      <c r="N9" s="27"/>
      <c r="O9" s="27"/>
      <c r="P9" s="27"/>
      <c r="Q9" s="27"/>
      <c r="R9" s="27"/>
      <c r="S9" s="27"/>
      <c r="T9" s="27"/>
      <c r="U9" s="27"/>
      <c r="V9" s="27"/>
      <c r="W9" s="27"/>
      <c r="X9" s="27"/>
      <c r="Y9" s="27"/>
      <c r="Z9" s="27"/>
      <c r="AA9" s="27"/>
      <c r="AB9" s="27"/>
      <c r="AC9" s="27"/>
    </row>
    <row r="10" ht="21.0" customHeight="1">
      <c r="A10" s="27"/>
      <c r="B10" s="27"/>
      <c r="C10" s="27"/>
      <c r="D10" s="27"/>
      <c r="E10" s="27"/>
      <c r="F10" s="27"/>
      <c r="G10" s="27"/>
      <c r="H10" s="27"/>
      <c r="I10" s="27"/>
      <c r="J10" s="27"/>
      <c r="K10" s="27"/>
      <c r="L10" s="86" t="s">
        <v>83</v>
      </c>
      <c r="M10" s="65"/>
      <c r="N10" s="65"/>
      <c r="O10" s="87"/>
      <c r="P10" s="27"/>
      <c r="Q10" s="27"/>
      <c r="R10" s="27"/>
      <c r="S10" s="27"/>
      <c r="T10" s="27"/>
      <c r="U10" s="27"/>
      <c r="V10" s="27"/>
      <c r="W10" s="27"/>
      <c r="X10" s="27"/>
      <c r="Y10" s="27"/>
      <c r="Z10" s="27"/>
      <c r="AA10" s="27"/>
      <c r="AB10" s="27"/>
      <c r="AC10" s="27"/>
    </row>
    <row r="11" ht="15.75" customHeight="1">
      <c r="A11" s="88"/>
      <c r="B11" s="89" t="s">
        <v>84</v>
      </c>
      <c r="C11" s="60"/>
      <c r="D11" s="60"/>
      <c r="E11" s="90"/>
      <c r="F11" s="91"/>
      <c r="G11" s="91"/>
      <c r="H11" s="91"/>
      <c r="I11" s="92"/>
      <c r="J11" s="89" t="s">
        <v>85</v>
      </c>
      <c r="K11" s="91"/>
      <c r="L11" s="91"/>
      <c r="M11" s="91"/>
      <c r="N11" s="91"/>
      <c r="O11" s="91"/>
      <c r="P11" s="91"/>
      <c r="Q11" s="89" t="s">
        <v>86</v>
      </c>
      <c r="R11" s="91"/>
      <c r="S11" s="91"/>
      <c r="T11" s="91"/>
      <c r="U11" s="91"/>
      <c r="V11" s="93" t="s">
        <v>87</v>
      </c>
      <c r="W11" s="94"/>
      <c r="X11" s="27"/>
      <c r="Y11" s="27"/>
      <c r="Z11" s="27"/>
      <c r="AA11" s="27"/>
      <c r="AB11" s="27"/>
      <c r="AC11" s="27"/>
    </row>
    <row r="12" ht="28.5" customHeight="1">
      <c r="A12" s="95"/>
      <c r="B12" s="96" t="s">
        <v>26</v>
      </c>
      <c r="C12" s="97" t="s">
        <v>88</v>
      </c>
      <c r="D12" s="97" t="s">
        <v>89</v>
      </c>
      <c r="E12" s="97" t="s">
        <v>90</v>
      </c>
      <c r="F12" s="96" t="s">
        <v>91</v>
      </c>
      <c r="G12" s="27"/>
      <c r="H12" s="98"/>
      <c r="I12" s="96" t="s">
        <v>26</v>
      </c>
      <c r="J12" s="97" t="s">
        <v>88</v>
      </c>
      <c r="K12" s="97" t="s">
        <v>89</v>
      </c>
      <c r="L12" s="97" t="s">
        <v>90</v>
      </c>
      <c r="M12" s="96" t="s">
        <v>91</v>
      </c>
      <c r="N12" s="27"/>
      <c r="O12" s="98"/>
      <c r="P12" s="96" t="s">
        <v>26</v>
      </c>
      <c r="Q12" s="97" t="s">
        <v>88</v>
      </c>
      <c r="R12" s="97" t="s">
        <v>89</v>
      </c>
      <c r="S12" s="97" t="s">
        <v>90</v>
      </c>
      <c r="T12" s="96" t="s">
        <v>91</v>
      </c>
      <c r="U12" s="27"/>
      <c r="V12" s="99"/>
      <c r="W12" s="100" t="s">
        <v>26</v>
      </c>
      <c r="X12" s="27"/>
      <c r="Y12" s="101" t="s">
        <v>92</v>
      </c>
      <c r="Z12" s="71"/>
      <c r="AA12" s="43"/>
      <c r="AB12" s="27"/>
      <c r="AC12" s="27"/>
    </row>
    <row r="13" ht="12.75" customHeight="1">
      <c r="A13" s="102"/>
      <c r="B13" s="103">
        <f>IF('Start-Options'!D4="","",MROUND('Start-Options'!F4*0.65,'Start-Options'!B38))</f>
        <v>32.5</v>
      </c>
      <c r="C13" s="103"/>
      <c r="D13" s="103"/>
      <c r="E13" s="103"/>
      <c r="F13" s="104"/>
      <c r="G13" s="105"/>
      <c r="H13" s="106"/>
      <c r="I13" s="107">
        <f>IF('Start-Options'!D4="","",MROUND('Start-Options'!F4*0.7,'Start-Options'!B38))</f>
        <v>35</v>
      </c>
      <c r="J13" s="103"/>
      <c r="K13" s="103"/>
      <c r="L13" s="103"/>
      <c r="M13" s="104"/>
      <c r="N13" s="105"/>
      <c r="O13" s="106"/>
      <c r="P13" s="106">
        <f>IF('Start-Options'!D4="","",MROUND('Start-Options'!F4*0.75,'Start-Options'!B38))</f>
        <v>37.5</v>
      </c>
      <c r="Q13" s="108"/>
      <c r="R13" s="108"/>
      <c r="S13" s="108"/>
      <c r="T13" s="109"/>
      <c r="U13" s="105"/>
      <c r="V13" s="106"/>
      <c r="W13" s="110">
        <f>IF('Start-Options'!D4="","",MROUND('Start-Options'!F4*0.4,'Start-Options'!B38))</f>
        <v>20</v>
      </c>
      <c r="X13" s="27"/>
      <c r="Y13" s="37" t="str">
        <f>'Start-Options'!B4</f>
        <v>Military</v>
      </c>
      <c r="Z13" s="37">
        <f>'Start-Options'!F4</f>
        <v>50</v>
      </c>
      <c r="AA13" s="7"/>
      <c r="AB13" s="27"/>
      <c r="AC13" s="27"/>
    </row>
    <row r="14" ht="12.75" customHeight="1">
      <c r="A14" s="111" t="str">
        <f>'Start-Options'!B4</f>
        <v>Military</v>
      </c>
      <c r="B14" s="112">
        <f>IF('Start-Options'!D4="","",MROUND('Start-Options'!F4*0.75,'Start-Options'!B38))</f>
        <v>37.5</v>
      </c>
      <c r="C14" s="112"/>
      <c r="D14" s="112"/>
      <c r="E14" s="112"/>
      <c r="F14" s="113"/>
      <c r="G14" s="105"/>
      <c r="H14" s="114" t="str">
        <f>'Start-Options'!B4</f>
        <v>Military</v>
      </c>
      <c r="I14" s="115">
        <f>IF('Start-Options'!D4="","",MROUND('Start-Options'!F4*0.8,'Start-Options'!B38))</f>
        <v>40</v>
      </c>
      <c r="J14" s="112"/>
      <c r="K14" s="112"/>
      <c r="L14" s="112"/>
      <c r="M14" s="113"/>
      <c r="N14" s="105"/>
      <c r="O14" s="114" t="str">
        <f>'Start-Options'!B4</f>
        <v>Military</v>
      </c>
      <c r="P14" s="114">
        <f>IF('Start-Options'!D4="","",MROUND('Start-Options'!F4*0.85,'Start-Options'!B38))</f>
        <v>42.5</v>
      </c>
      <c r="Q14" s="105"/>
      <c r="R14" s="105"/>
      <c r="S14" s="105"/>
      <c r="T14" s="116"/>
      <c r="U14" s="105"/>
      <c r="V14" s="114" t="str">
        <f>'Start-Options'!B4</f>
        <v>Military</v>
      </c>
      <c r="W14" s="117">
        <f>IF('Start-Options'!D4="","",MROUND('Start-Options'!F4*0.5,'Start-Options'!B38))</f>
        <v>25</v>
      </c>
      <c r="X14" s="27"/>
      <c r="Y14" s="118" t="str">
        <f>'Start-Options'!B5</f>
        <v>Deadlift</v>
      </c>
      <c r="Z14" s="118">
        <f>'Start-Options'!F5</f>
        <v>110</v>
      </c>
      <c r="AA14" s="7"/>
      <c r="AB14" s="27"/>
      <c r="AC14" s="27"/>
    </row>
    <row r="15" ht="12.75" customHeight="1">
      <c r="A15" s="119"/>
      <c r="B15" s="120">
        <f>IF('Start-Options'!D4="","",MROUND('Start-Options'!F4*0.85,'Start-Options'!B38))</f>
        <v>42.5</v>
      </c>
      <c r="C15" s="120">
        <f>IF('Start-Options'!D4="","",ROUND((37-36*B15/('Start-Options'!F4+'Start-Options'!F32)),0))</f>
        <v>8</v>
      </c>
      <c r="D15" s="120">
        <f>IF('Start-Options'!D4="","",MROUND(B15*36/(37-C15),'Start-Options'!B38))</f>
        <v>52.5</v>
      </c>
      <c r="E15" s="121">
        <v>8.0</v>
      </c>
      <c r="F15" s="122">
        <f>IF(E15="","",MROUND(36*B15/(37-E15),'Start-Options'!B38))</f>
        <v>52.5</v>
      </c>
      <c r="G15" s="105"/>
      <c r="H15" s="123"/>
      <c r="I15" s="124">
        <f>IF('Start-Options'!D4="","",MROUND('Start-Options'!F4*0.9,'Start-Options'!B38))</f>
        <v>45</v>
      </c>
      <c r="J15" s="120">
        <f>IF(F15="","",IF(F15&lt;'Start-Options'!F4,ROUND((37-36*I15/('Start-Options'!F4+'Start-Options'!F32)),0),ROUND((37-36*I15/(F15+'Start-Options'!F32)),0)))</f>
        <v>8</v>
      </c>
      <c r="K15" s="120">
        <f>IF(J15="","",MROUND(I15*36/(37-J15),'Start-Options'!B38))</f>
        <v>55</v>
      </c>
      <c r="L15" s="121"/>
      <c r="M15" s="122" t="str">
        <f>IF(L15="","",MROUND(36*I15/(37-L15),'Start-Options'!B38))</f>
        <v/>
      </c>
      <c r="N15" s="105"/>
      <c r="O15" s="123"/>
      <c r="P15" s="123">
        <f>IF('Start-Options'!D4="","",MROUND('Start-Options'!F4*0.95,'Start-Options'!B38))</f>
        <v>47.5</v>
      </c>
      <c r="Q15" s="120" t="str">
        <f>IF(M15="","",IF(M15&lt;'Start-Options'!F4,ROUND((37-36*P15/('Start-Options'!F4+'Start-Options'!F32)),0),ROUND((37-36*P15/(M15+'Start-Options'!F32)),0)))</f>
        <v/>
      </c>
      <c r="R15" s="125" t="str">
        <f>IF(Q15="","",MROUND(P15*36/(37-Q15),'Start-Options'!B38))</f>
        <v/>
      </c>
      <c r="S15" s="126"/>
      <c r="T15" s="127" t="str">
        <f>IF(S15="","",MROUND(36*P15/(37-S15),'Start-Options'!B38))</f>
        <v/>
      </c>
      <c r="U15" s="105"/>
      <c r="V15" s="123"/>
      <c r="W15" s="128">
        <f>IF('Start-Options'!D4="","",MROUND('Start-Options'!F4*0.6,'Start-Options'!B38))</f>
        <v>30</v>
      </c>
      <c r="X15" s="27"/>
      <c r="Y15" s="118" t="str">
        <f>'Start-Options'!B6</f>
        <v>Bench</v>
      </c>
      <c r="Z15" s="118">
        <f>'Start-Options'!F6</f>
        <v>70</v>
      </c>
      <c r="AA15" s="7"/>
      <c r="AB15" s="27"/>
      <c r="AC15" s="27"/>
    </row>
    <row r="16" ht="12.75" customHeight="1">
      <c r="A16" s="102"/>
      <c r="B16" s="103">
        <f>IF('Start-Options'!D5="","",MROUND('Start-Options'!F5*0.65,'Start-Options'!B38))</f>
        <v>72.5</v>
      </c>
      <c r="C16" s="103"/>
      <c r="D16" s="103"/>
      <c r="E16" s="103"/>
      <c r="F16" s="104"/>
      <c r="G16" s="105"/>
      <c r="H16" s="106"/>
      <c r="I16" s="107">
        <f>IF('Start-Options'!D5="","",MROUND('Start-Options'!F5*0.7,'Start-Options'!B38))</f>
        <v>77.5</v>
      </c>
      <c r="J16" s="103"/>
      <c r="K16" s="103"/>
      <c r="L16" s="103"/>
      <c r="M16" s="104"/>
      <c r="N16" s="105"/>
      <c r="O16" s="106"/>
      <c r="P16" s="106">
        <f>IF('Start-Options'!D5="","",MROUND('Start-Options'!F5*0.75,'Start-Options'!B38))</f>
        <v>82.5</v>
      </c>
      <c r="Q16" s="108"/>
      <c r="R16" s="108"/>
      <c r="S16" s="108"/>
      <c r="T16" s="109"/>
      <c r="U16" s="105"/>
      <c r="V16" s="106"/>
      <c r="W16" s="110">
        <f>IF('Start-Options'!D5="","",MROUND('Start-Options'!F5*0.4,'Start-Options'!B38))</f>
        <v>45</v>
      </c>
      <c r="X16" s="27"/>
      <c r="Y16" s="129" t="str">
        <f>'Start-Options'!B7</f>
        <v>Squat</v>
      </c>
      <c r="Z16" s="129">
        <f>'Start-Options'!F7</f>
        <v>80</v>
      </c>
      <c r="AA16" s="7"/>
      <c r="AB16" s="27"/>
      <c r="AC16" s="27"/>
    </row>
    <row r="17" ht="12.75" customHeight="1">
      <c r="A17" s="111" t="str">
        <f>'Start-Options'!B5</f>
        <v>Deadlift</v>
      </c>
      <c r="B17" s="112">
        <f>IF('Start-Options'!D5="","",MROUND('Start-Options'!F5*0.75,'Start-Options'!B38))</f>
        <v>82.5</v>
      </c>
      <c r="C17" s="112"/>
      <c r="D17" s="112"/>
      <c r="E17" s="112"/>
      <c r="F17" s="113"/>
      <c r="G17" s="105"/>
      <c r="H17" s="114" t="str">
        <f>'Start-Options'!B5</f>
        <v>Deadlift</v>
      </c>
      <c r="I17" s="115">
        <f>IF('Start-Options'!D5="","",MROUND('Start-Options'!F5*0.8,'Start-Options'!B38))</f>
        <v>87.5</v>
      </c>
      <c r="J17" s="112"/>
      <c r="K17" s="112"/>
      <c r="L17" s="112"/>
      <c r="M17" s="113"/>
      <c r="N17" s="105"/>
      <c r="O17" s="114" t="str">
        <f>'Start-Options'!B5</f>
        <v>Deadlift</v>
      </c>
      <c r="P17" s="114">
        <f>IF('Start-Options'!D5="","",MROUND('Start-Options'!F5*0.85,'Start-Options'!B38))</f>
        <v>92.5</v>
      </c>
      <c r="Q17" s="105"/>
      <c r="R17" s="105"/>
      <c r="S17" s="105"/>
      <c r="T17" s="116"/>
      <c r="U17" s="105"/>
      <c r="V17" s="114" t="str">
        <f>'Start-Options'!B5</f>
        <v>Deadlift</v>
      </c>
      <c r="W17" s="117">
        <f>IF('Start-Options'!D5="","",MROUND('Start-Options'!F5*0.5,'Start-Options'!B38))</f>
        <v>55</v>
      </c>
      <c r="X17" s="27"/>
      <c r="Y17" s="27"/>
      <c r="Z17" s="27"/>
      <c r="AA17" s="7"/>
      <c r="AB17" s="27"/>
      <c r="AC17" s="27"/>
    </row>
    <row r="18" ht="12.75" customHeight="1">
      <c r="A18" s="130"/>
      <c r="B18" s="120">
        <f>IF('Start-Options'!D5="","",MROUND('Start-Options'!F5*0.85,'Start-Options'!B38))</f>
        <v>92.5</v>
      </c>
      <c r="C18" s="120">
        <f>IF('Start-Options'!D5="","",ROUND((37-36*B18/('Start-Options'!F5+'Start-Options'!F33)),0))</f>
        <v>7</v>
      </c>
      <c r="D18" s="120">
        <f>IF('Start-Options'!D5="","",MROUND(B18*36/(37-C18),'Start-Options'!B38))</f>
        <v>110</v>
      </c>
      <c r="E18" s="121">
        <v>7.0</v>
      </c>
      <c r="F18" s="122">
        <f>IF(E18="","",MROUND(36*B18/(37-E18),'Start-Options'!B38))</f>
        <v>110</v>
      </c>
      <c r="G18" s="105"/>
      <c r="H18" s="123"/>
      <c r="I18" s="124">
        <f>IF('Start-Options'!D5="","",MROUND('Start-Options'!F5*0.9,'Start-Options'!B38))</f>
        <v>100</v>
      </c>
      <c r="J18" s="120">
        <f>IF(F18="","",IF(F18&lt;'Start-Options'!F5,ROUND((37-36*I18/('Start-Options'!F5+'Start-Options'!F33)),0),ROUND((37-36*I18/(F18+'Start-Options'!F33)),0)))</f>
        <v>5</v>
      </c>
      <c r="K18" s="120">
        <f>IF(J18="","",MROUND(I18*36/(37-J18),'Start-Options'!B38))</f>
        <v>112.5</v>
      </c>
      <c r="L18" s="121"/>
      <c r="M18" s="122" t="str">
        <f>IF(L18="","",MROUND(36*I18/(37-L18),'Start-Options'!B38))</f>
        <v/>
      </c>
      <c r="N18" s="105"/>
      <c r="O18" s="123"/>
      <c r="P18" s="123">
        <f>IF('Start-Options'!D5="","",MROUND('Start-Options'!F5*0.95,'Start-Options'!B38))</f>
        <v>105</v>
      </c>
      <c r="Q18" s="120" t="str">
        <f>IF(M18="","",IF(M18&lt;'Start-Options'!F5,ROUND((37-36*P18/('Start-Options'!F5+'Start-Options'!F33)),0),ROUND((37-36*P18/(M18+'Start-Options'!F33)),0)))</f>
        <v/>
      </c>
      <c r="R18" s="125" t="str">
        <f>IF(Q18="","",MROUND(P18*36/(37-Q18),'Start-Options'!B38))</f>
        <v/>
      </c>
      <c r="S18" s="126"/>
      <c r="T18" s="127" t="str">
        <f>IF(S18="","",MROUND(36*P18/(37-S18),'Start-Options'!B38))</f>
        <v/>
      </c>
      <c r="U18" s="105"/>
      <c r="V18" s="123"/>
      <c r="W18" s="128">
        <f>IF('Start-Options'!D5="","",MROUND('Start-Options'!F5*0.6,'Start-Options'!B38))</f>
        <v>65</v>
      </c>
      <c r="X18" s="27"/>
      <c r="Y18" s="70" t="s">
        <v>93</v>
      </c>
      <c r="Z18" s="71"/>
      <c r="AA18" s="7"/>
      <c r="AB18" s="27"/>
      <c r="AC18" s="27"/>
    </row>
    <row r="19" ht="12.75" customHeight="1">
      <c r="A19" s="102"/>
      <c r="B19" s="103">
        <f>IF('Start-Options'!D6="","",MROUND('Start-Options'!F6*0.65,'Start-Options'!B38))</f>
        <v>45</v>
      </c>
      <c r="C19" s="103"/>
      <c r="D19" s="103"/>
      <c r="E19" s="103"/>
      <c r="F19" s="104"/>
      <c r="G19" s="105"/>
      <c r="H19" s="106"/>
      <c r="I19" s="107">
        <f>IF('Start-Options'!D6="","",MROUND('Start-Options'!F6*0.7,'Start-Options'!B38))</f>
        <v>50</v>
      </c>
      <c r="J19" s="103"/>
      <c r="K19" s="103"/>
      <c r="L19" s="103"/>
      <c r="M19" s="104"/>
      <c r="N19" s="105"/>
      <c r="O19" s="106"/>
      <c r="P19" s="106">
        <f>IF('Start-Options'!D6="","",MROUND('Start-Options'!F6*0.75,'Start-Options'!B38))</f>
        <v>52.5</v>
      </c>
      <c r="Q19" s="108"/>
      <c r="R19" s="108"/>
      <c r="S19" s="108"/>
      <c r="T19" s="109"/>
      <c r="U19" s="105"/>
      <c r="V19" s="106"/>
      <c r="W19" s="110">
        <f>IF('Start-Options'!D6="","",MROUND('Start-Options'!F6*0.4,'Start-Options'!B38))</f>
        <v>27.5</v>
      </c>
      <c r="X19" s="27"/>
      <c r="Y19" s="25" t="s">
        <v>94</v>
      </c>
      <c r="Z19" s="74">
        <v>92.75</v>
      </c>
      <c r="AA19" s="27"/>
      <c r="AB19" s="27"/>
      <c r="AC19" s="27"/>
    </row>
    <row r="20" ht="12.75" customHeight="1">
      <c r="A20" s="111" t="str">
        <f>'Start-Options'!B6</f>
        <v>Bench</v>
      </c>
      <c r="B20" s="112">
        <f>IF('Start-Options'!D6="","",MROUND('Start-Options'!F6*0.75,'Start-Options'!B38))</f>
        <v>52.5</v>
      </c>
      <c r="C20" s="112"/>
      <c r="D20" s="112"/>
      <c r="E20" s="112"/>
      <c r="F20" s="113"/>
      <c r="G20" s="105"/>
      <c r="H20" s="114" t="str">
        <f>'Start-Options'!B6</f>
        <v>Bench</v>
      </c>
      <c r="I20" s="115">
        <f>IF('Start-Options'!D6="","",MROUND('Start-Options'!F6*0.8,'Start-Options'!B38))</f>
        <v>55</v>
      </c>
      <c r="J20" s="112"/>
      <c r="K20" s="112"/>
      <c r="L20" s="112"/>
      <c r="M20" s="113"/>
      <c r="N20" s="105"/>
      <c r="O20" s="114" t="str">
        <f>'Start-Options'!B6</f>
        <v>Bench</v>
      </c>
      <c r="P20" s="114">
        <f>IF('Start-Options'!D6="","",MROUND('Start-Options'!F6*0.85,'Start-Options'!B38))</f>
        <v>60</v>
      </c>
      <c r="Q20" s="105"/>
      <c r="R20" s="105"/>
      <c r="S20" s="105"/>
      <c r="T20" s="116"/>
      <c r="U20" s="105"/>
      <c r="V20" s="114" t="str">
        <f>'Start-Options'!B6</f>
        <v>Bench</v>
      </c>
      <c r="W20" s="117">
        <f>IF('Start-Options'!D6="","",MROUND('Start-Options'!F6*0.5,'Start-Options'!B38))</f>
        <v>35</v>
      </c>
      <c r="X20" s="27"/>
      <c r="Y20" s="77" t="s">
        <v>95</v>
      </c>
      <c r="Z20" s="78">
        <f>IF(Z19="","",MROUND(Z19*0.4,'Start-Options'!$B$38))</f>
        <v>37.5</v>
      </c>
      <c r="AA20" s="27"/>
      <c r="AB20" s="27"/>
      <c r="AC20" s="27"/>
    </row>
    <row r="21" ht="12.75" customHeight="1">
      <c r="A21" s="119"/>
      <c r="B21" s="120">
        <f>IF('Start-Options'!D6="","",MROUND('Start-Options'!F6*0.85,'Start-Options'!B38))</f>
        <v>60</v>
      </c>
      <c r="C21" s="120">
        <f>IF('Start-Options'!D6="","",ROUND((37-36*B21/('Start-Options'!F6+'Start-Options'!F34)),0))</f>
        <v>7</v>
      </c>
      <c r="D21" s="120">
        <f>IF('Start-Options'!D6="","",MROUND(B21*36/(37-C21),'Start-Options'!B38))</f>
        <v>72.5</v>
      </c>
      <c r="E21" s="121"/>
      <c r="F21" s="122" t="str">
        <f>IF(E21="","",MROUND(36*B21/(37-E21),'Start-Options'!B38))</f>
        <v/>
      </c>
      <c r="G21" s="105"/>
      <c r="H21" s="123"/>
      <c r="I21" s="124">
        <f>IF('Start-Options'!D6="","",MROUND('Start-Options'!F6*0.9,'Start-Options'!B38))</f>
        <v>62.5</v>
      </c>
      <c r="J21" s="120" t="str">
        <f>IF(F21="","",IF(F21&lt;'Start-Options'!F6,ROUND((37-36*I21/('Start-Options'!F6+'Start-Options'!F34)),0),ROUND((37-36*I21/(F21+'Start-Options'!F34)),0)))</f>
        <v/>
      </c>
      <c r="K21" s="120" t="str">
        <f>IF(J21="","",MROUND(I21*36/(37-J21),'Start-Options'!B38))</f>
        <v/>
      </c>
      <c r="L21" s="121"/>
      <c r="M21" s="122" t="str">
        <f>IF(L21="","",MROUND(36*I21/(37-L21),'Start-Options'!B38))</f>
        <v/>
      </c>
      <c r="N21" s="105"/>
      <c r="O21" s="123"/>
      <c r="P21" s="123">
        <f>IF('Start-Options'!D6="","",MROUND('Start-Options'!F6*0.95,'Start-Options'!B38))</f>
        <v>67.5</v>
      </c>
      <c r="Q21" s="120" t="str">
        <f>IF(M21="","",IF(M21&lt;'Start-Options'!F6,ROUND((37-36*P21/('Start-Options'!F6+'Start-Options'!F34)),0),ROUND((37-36*P21/(M21+'Start-Options'!F34)),0)))</f>
        <v/>
      </c>
      <c r="R21" s="125" t="str">
        <f>IF(Q21="","",MROUND(P21*36/(37-Q21),'Start-Options'!B38))</f>
        <v/>
      </c>
      <c r="S21" s="126"/>
      <c r="T21" s="127" t="str">
        <f>IF(S21="","",MROUND(36*P21/(37-S21),'Start-Options'!B38))</f>
        <v/>
      </c>
      <c r="U21" s="105"/>
      <c r="V21" s="123"/>
      <c r="W21" s="128">
        <f>IF('Start-Options'!D6="","",MROUND('Start-Options'!F6*0.6,'Start-Options'!B38))</f>
        <v>42.5</v>
      </c>
      <c r="X21" s="27"/>
      <c r="Y21" s="77" t="s">
        <v>96</v>
      </c>
      <c r="Z21" s="78">
        <f>IF(Z19="","",MROUND(Z19*0.5,'Start-Options'!$B$38))</f>
        <v>47.5</v>
      </c>
      <c r="AA21" s="27"/>
      <c r="AB21" s="27"/>
      <c r="AC21" s="27"/>
    </row>
    <row r="22" ht="12.75" customHeight="1">
      <c r="A22" s="111"/>
      <c r="B22" s="103">
        <f>IF('Start-Options'!D7="","",MROUND('Start-Options'!F7*0.65,'Start-Options'!B38))</f>
        <v>52.5</v>
      </c>
      <c r="C22" s="103"/>
      <c r="D22" s="103"/>
      <c r="E22" s="103"/>
      <c r="F22" s="104"/>
      <c r="G22" s="105"/>
      <c r="H22" s="106"/>
      <c r="I22" s="107">
        <f>IF('Start-Options'!D7="","",MROUND('Start-Options'!F7*0.7,'Start-Options'!B38))</f>
        <v>55</v>
      </c>
      <c r="J22" s="103"/>
      <c r="K22" s="103"/>
      <c r="L22" s="103"/>
      <c r="M22" s="104"/>
      <c r="N22" s="105"/>
      <c r="O22" s="106"/>
      <c r="P22" s="106">
        <f>IF('Start-Options'!D7="","",MROUND('Start-Options'!F7*0.75,'Start-Options'!B38))</f>
        <v>60</v>
      </c>
      <c r="Q22" s="108"/>
      <c r="R22" s="108"/>
      <c r="S22" s="108"/>
      <c r="T22" s="109"/>
      <c r="U22" s="105"/>
      <c r="V22" s="106"/>
      <c r="W22" s="110">
        <f>IF('Start-Options'!D7="","",MROUND('Start-Options'!F7*0.4,'Start-Options'!B38))</f>
        <v>32.5</v>
      </c>
      <c r="X22" s="27"/>
      <c r="Y22" s="82" t="s">
        <v>97</v>
      </c>
      <c r="Z22" s="83">
        <f>IF(Z19="","",MROUND(Z19*0.6,'Start-Options'!$B$38))</f>
        <v>55</v>
      </c>
      <c r="AA22" s="27"/>
      <c r="AB22" s="27"/>
      <c r="AC22" s="27"/>
    </row>
    <row r="23" ht="12.75" customHeight="1">
      <c r="A23" s="111" t="str">
        <f>'Start-Options'!B7</f>
        <v>Squat</v>
      </c>
      <c r="B23" s="112">
        <f>IF('Start-Options'!D7="","",MROUND('Start-Options'!F7*0.75,'Start-Options'!B38))</f>
        <v>60</v>
      </c>
      <c r="C23" s="112"/>
      <c r="D23" s="112"/>
      <c r="E23" s="112"/>
      <c r="F23" s="113"/>
      <c r="G23" s="105"/>
      <c r="H23" s="114" t="str">
        <f>'Start-Options'!B7</f>
        <v>Squat</v>
      </c>
      <c r="I23" s="115">
        <f>IF('Start-Options'!D7="","",MROUND('Start-Options'!F7*0.8,'Start-Options'!B38))</f>
        <v>65</v>
      </c>
      <c r="J23" s="112"/>
      <c r="K23" s="112"/>
      <c r="L23" s="112"/>
      <c r="M23" s="113"/>
      <c r="N23" s="105"/>
      <c r="O23" s="114" t="str">
        <f>'Start-Options'!B7</f>
        <v>Squat</v>
      </c>
      <c r="P23" s="114">
        <f>IF('Start-Options'!D7="","",MROUND('Start-Options'!F7*0.85,'Start-Options'!B38))</f>
        <v>67.5</v>
      </c>
      <c r="Q23" s="105"/>
      <c r="R23" s="105"/>
      <c r="S23" s="105"/>
      <c r="T23" s="116"/>
      <c r="U23" s="105"/>
      <c r="V23" s="114" t="str">
        <f>'Start-Options'!B7</f>
        <v>Squat</v>
      </c>
      <c r="W23" s="117">
        <f>IF('Start-Options'!D7="","",MROUND('Start-Options'!F7*0.5,'Start-Options'!B38))</f>
        <v>40</v>
      </c>
      <c r="X23" s="27"/>
      <c r="Y23" s="27"/>
      <c r="Z23" s="27"/>
      <c r="AA23" s="27"/>
      <c r="AB23" s="27"/>
      <c r="AC23" s="27"/>
    </row>
    <row r="24" ht="13.5" customHeight="1">
      <c r="A24" s="131"/>
      <c r="B24" s="132">
        <f>IF('Start-Options'!D7="","",MROUND('Start-Options'!F7*0.85,'Start-Options'!B38))</f>
        <v>67.5</v>
      </c>
      <c r="C24" s="132">
        <f>IF('Start-Options'!D7="","",ROUND((37-36*B24/('Start-Options'!F7+'Start-Options'!F35)),0))</f>
        <v>8</v>
      </c>
      <c r="D24" s="132">
        <f>IF('Start-Options'!D7="","",MROUND(B24*36/(37-C24),'Start-Options'!B38))</f>
        <v>85</v>
      </c>
      <c r="E24" s="133"/>
      <c r="F24" s="134" t="str">
        <f>IF(E24="","",MROUND(36*B24/(37-E24),'Start-Options'!B38))</f>
        <v/>
      </c>
      <c r="G24" s="135"/>
      <c r="H24" s="136"/>
      <c r="I24" s="137">
        <f>IF('Start-Options'!D7="","",MROUND('Start-Options'!F7*0.9,'Start-Options'!B38))</f>
        <v>72.5</v>
      </c>
      <c r="J24" s="132" t="str">
        <f>IF(F24="","",IF(F24&lt;'Start-Options'!F7,ROUND((37-36*I24/('Start-Options'!F7+'Start-Options'!F35)),0),ROUND((37-36*I24/(F24+'Start-Options'!F35)),0)))</f>
        <v/>
      </c>
      <c r="K24" s="132" t="str">
        <f>IF(J24="","",MROUND(I24*36/(37-J24),'Start-Options'!B38))</f>
        <v/>
      </c>
      <c r="L24" s="133"/>
      <c r="M24" s="134" t="str">
        <f>IF(L24="","",MROUND(36*I24/(37-L24),'Start-Options'!B38))</f>
        <v/>
      </c>
      <c r="N24" s="135"/>
      <c r="O24" s="136"/>
      <c r="P24" s="136">
        <f>IF('Start-Options'!D7="","",MROUND('Start-Options'!F7*0.95,'Start-Options'!B38))</f>
        <v>75</v>
      </c>
      <c r="Q24" s="132" t="str">
        <f>IF(M24="","",IF(M24&lt;'Start-Options'!F7,ROUND((37-36*P24/('Start-Options'!F7+'Start-Options'!F35)),0),ROUND((37-36*P24/(M24+'Start-Options'!F35)),0)))</f>
        <v/>
      </c>
      <c r="R24" s="135" t="str">
        <f>IF(Q24="","",MROUND(P24*36/(37-Q24),'Start-Options'!B38))</f>
        <v/>
      </c>
      <c r="S24" s="138"/>
      <c r="T24" s="139" t="str">
        <f>IF(S24="","",MROUND(36*P24/(37-S24),'Start-Options'!B38))</f>
        <v/>
      </c>
      <c r="U24" s="135"/>
      <c r="V24" s="136"/>
      <c r="W24" s="140">
        <f>IF('Start-Options'!D7="","",MROUND('Start-Options'!F7*0.6,'Start-Options'!B38))</f>
        <v>47.5</v>
      </c>
      <c r="X24" s="27"/>
      <c r="Y24" s="27"/>
      <c r="Z24" s="27"/>
      <c r="AA24" s="27"/>
      <c r="AB24" s="27"/>
      <c r="AC24" s="27"/>
    </row>
    <row r="25" ht="12.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row>
    <row r="26" ht="21.0" customHeight="1">
      <c r="A26" s="27"/>
      <c r="B26" s="27"/>
      <c r="C26" s="27"/>
      <c r="D26" s="27"/>
      <c r="E26" s="27"/>
      <c r="F26" s="27"/>
      <c r="G26" s="27"/>
      <c r="H26" s="27"/>
      <c r="I26" s="27"/>
      <c r="J26" s="27"/>
      <c r="K26" s="27"/>
      <c r="L26" s="86" t="s">
        <v>98</v>
      </c>
      <c r="M26" s="65"/>
      <c r="N26" s="65"/>
      <c r="O26" s="27"/>
      <c r="P26" s="27"/>
      <c r="Q26" s="27"/>
      <c r="R26" s="27"/>
      <c r="S26" s="27"/>
      <c r="T26" s="27"/>
      <c r="U26" s="27"/>
      <c r="V26" s="27"/>
      <c r="W26" s="27"/>
      <c r="X26" s="27"/>
      <c r="Y26" s="27"/>
      <c r="Z26" s="27"/>
      <c r="AA26" s="27"/>
      <c r="AB26" s="27"/>
      <c r="AC26" s="27"/>
    </row>
    <row r="27" ht="15.75" customHeight="1">
      <c r="A27" s="88"/>
      <c r="B27" s="91"/>
      <c r="C27" s="89" t="s">
        <v>99</v>
      </c>
      <c r="D27" s="91"/>
      <c r="E27" s="91"/>
      <c r="F27" s="91"/>
      <c r="G27" s="91"/>
      <c r="H27" s="91"/>
      <c r="I27" s="92"/>
      <c r="J27" s="89" t="s">
        <v>100</v>
      </c>
      <c r="K27" s="91"/>
      <c r="L27" s="91"/>
      <c r="M27" s="91"/>
      <c r="N27" s="91"/>
      <c r="O27" s="91"/>
      <c r="P27" s="91"/>
      <c r="Q27" s="89" t="s">
        <v>101</v>
      </c>
      <c r="R27" s="91"/>
      <c r="S27" s="91"/>
      <c r="T27" s="91"/>
      <c r="U27" s="91"/>
      <c r="V27" s="93" t="s">
        <v>102</v>
      </c>
      <c r="W27" s="94"/>
      <c r="X27" s="27"/>
      <c r="Y27" s="27"/>
      <c r="Z27" s="27"/>
      <c r="AA27" s="27"/>
      <c r="AB27" s="27"/>
      <c r="AC27" s="27"/>
    </row>
    <row r="28" ht="31.5" customHeight="1">
      <c r="A28" s="95"/>
      <c r="B28" s="96" t="s">
        <v>26</v>
      </c>
      <c r="C28" s="97" t="s">
        <v>88</v>
      </c>
      <c r="D28" s="97" t="s">
        <v>89</v>
      </c>
      <c r="E28" s="97" t="s">
        <v>90</v>
      </c>
      <c r="F28" s="96" t="s">
        <v>91</v>
      </c>
      <c r="G28" s="27"/>
      <c r="H28" s="98"/>
      <c r="I28" s="96" t="s">
        <v>26</v>
      </c>
      <c r="J28" s="97" t="s">
        <v>88</v>
      </c>
      <c r="K28" s="97" t="s">
        <v>89</v>
      </c>
      <c r="L28" s="97" t="s">
        <v>90</v>
      </c>
      <c r="M28" s="96" t="s">
        <v>91</v>
      </c>
      <c r="N28" s="27"/>
      <c r="O28" s="98"/>
      <c r="P28" s="96" t="s">
        <v>26</v>
      </c>
      <c r="Q28" s="97" t="s">
        <v>88</v>
      </c>
      <c r="R28" s="97" t="s">
        <v>89</v>
      </c>
      <c r="S28" s="97" t="s">
        <v>90</v>
      </c>
      <c r="T28" s="96" t="s">
        <v>91</v>
      </c>
      <c r="U28" s="27"/>
      <c r="V28" s="99"/>
      <c r="W28" s="100" t="s">
        <v>26</v>
      </c>
      <c r="X28" s="27"/>
      <c r="Y28" s="101" t="s">
        <v>103</v>
      </c>
      <c r="Z28" s="71"/>
      <c r="AA28" s="141"/>
      <c r="AB28" s="142" t="s">
        <v>104</v>
      </c>
      <c r="AC28" s="143" t="s">
        <v>105</v>
      </c>
    </row>
    <row r="29" ht="12.75" customHeight="1">
      <c r="A29" s="102"/>
      <c r="B29" s="103">
        <f>IF(Z29="","",MROUND(Z29*0.65,'Start-Options'!B38))</f>
        <v>35</v>
      </c>
      <c r="C29" s="103"/>
      <c r="D29" s="103"/>
      <c r="E29" s="103"/>
      <c r="F29" s="104"/>
      <c r="G29" s="105"/>
      <c r="H29" s="106"/>
      <c r="I29" s="107">
        <f>IF(Z29="","",MROUND(Z29*0.7,'Start-Options'!B38))</f>
        <v>37.5</v>
      </c>
      <c r="J29" s="103"/>
      <c r="K29" s="103"/>
      <c r="L29" s="103"/>
      <c r="M29" s="104"/>
      <c r="N29" s="105"/>
      <c r="O29" s="106"/>
      <c r="P29" s="144">
        <f>IF(Z29="","",MROUND(Z29*0.75,'Start-Options'!B38))</f>
        <v>40</v>
      </c>
      <c r="Q29" s="145"/>
      <c r="R29" s="108"/>
      <c r="S29" s="108"/>
      <c r="T29" s="109"/>
      <c r="U29" s="105"/>
      <c r="V29" s="106"/>
      <c r="W29" s="110">
        <f>IF(Z29="","",MROUND(Z29*0.4,'Start-Options'!B38))</f>
        <v>20</v>
      </c>
      <c r="X29" s="27"/>
      <c r="Y29" s="37" t="str">
        <f>'Start-Options'!B4</f>
        <v>Military</v>
      </c>
      <c r="Z29" s="106">
        <f>IF('Start-Options'!F4="","",'Start-Options'!F4+'Start-Options'!C32)</f>
        <v>52.5</v>
      </c>
      <c r="AA29" s="146"/>
      <c r="AB29" s="36"/>
      <c r="AC29" s="147"/>
    </row>
    <row r="30" ht="12.75" customHeight="1">
      <c r="A30" s="111" t="str">
        <f>'Start-Options'!B4</f>
        <v>Military</v>
      </c>
      <c r="B30" s="112">
        <f>IF(Z29="","",MROUND(Z29*0.75,'Start-Options'!B38))</f>
        <v>40</v>
      </c>
      <c r="C30" s="112"/>
      <c r="D30" s="112"/>
      <c r="E30" s="112"/>
      <c r="F30" s="113"/>
      <c r="G30" s="105"/>
      <c r="H30" s="114" t="str">
        <f>'Start-Options'!B4</f>
        <v>Military</v>
      </c>
      <c r="I30" s="115">
        <f>IF(Z29="","",MROUND(Z29*0.8,'Start-Options'!B38))</f>
        <v>42.5</v>
      </c>
      <c r="J30" s="112"/>
      <c r="K30" s="112"/>
      <c r="L30" s="112"/>
      <c r="M30" s="113"/>
      <c r="N30" s="105"/>
      <c r="O30" s="114" t="str">
        <f>'Start-Options'!B4</f>
        <v>Military</v>
      </c>
      <c r="P30" s="148">
        <f>IF(Z29="","",MROUND(Z29*0.85,'Start-Options'!B38))</f>
        <v>45</v>
      </c>
      <c r="Q30" s="149"/>
      <c r="R30" s="105"/>
      <c r="S30" s="105"/>
      <c r="T30" s="116"/>
      <c r="U30" s="105"/>
      <c r="V30" s="114" t="str">
        <f>'Start-Options'!B4</f>
        <v>Military</v>
      </c>
      <c r="W30" s="117">
        <f>IF(Z29="","",MROUND(Z29*0.5,'Start-Options'!B38))</f>
        <v>27.5</v>
      </c>
      <c r="X30" s="27"/>
      <c r="Y30" s="118" t="str">
        <f>'Start-Options'!B5</f>
        <v>Deadlift</v>
      </c>
      <c r="Z30" s="114">
        <f>IF('Start-Options'!F5="","",'Start-Options'!F5+'Start-Options'!C33)</f>
        <v>115</v>
      </c>
      <c r="AA30" s="150"/>
      <c r="AB30" s="151"/>
      <c r="AC30" s="147"/>
    </row>
    <row r="31" ht="12.75" customHeight="1">
      <c r="A31" s="119"/>
      <c r="B31" s="120">
        <f>IF(Z29="","",MROUND(Z29*0.85,'Start-Options'!B38))</f>
        <v>45</v>
      </c>
      <c r="C31" s="120">
        <f>IF(Z29="","",ROUND((37-36*B31/(Z29+'Start-Options'!F32)),0))</f>
        <v>8</v>
      </c>
      <c r="D31" s="120">
        <f>IF(Z29="","",MROUND(B31*36/(37-C31),'Start-Options'!B38))</f>
        <v>55</v>
      </c>
      <c r="E31" s="121"/>
      <c r="F31" s="122" t="str">
        <f>IF(E31="","",MROUND(36*B31/(37-E31),'Start-Options'!B38))</f>
        <v/>
      </c>
      <c r="G31" s="105"/>
      <c r="H31" s="123"/>
      <c r="I31" s="124">
        <f>IF(Z29="","",MROUND(Z29*0.9,'Start-Options'!B38))</f>
        <v>47.5</v>
      </c>
      <c r="J31" s="120" t="str">
        <f>IF(F31="","",IF(F31&lt;Z29,ROUND((37-36*I31/(Z29+'Start-Options'!F32)),0),ROUND((37-36*I31/(F31+'Start-Options'!F32)),0)))</f>
        <v/>
      </c>
      <c r="K31" s="120" t="str">
        <f>IF(J31="","",MROUND(I31*36/(37-J31),'Start-Options'!B38))</f>
        <v/>
      </c>
      <c r="L31" s="121"/>
      <c r="M31" s="122" t="str">
        <f>IF(L31="","",MROUND(36*I31/(37-L31),'Start-Options'!B38))</f>
        <v/>
      </c>
      <c r="N31" s="105"/>
      <c r="O31" s="123"/>
      <c r="P31" s="123">
        <f>IF(Z29="","",MROUND(Z29*0.95,'Start-Options'!B38))</f>
        <v>50</v>
      </c>
      <c r="Q31" s="120" t="str">
        <f>IF(M31="","",IF(M31&lt;Z29,ROUND((37-36*P31/(Z29+'Start-Options'!F32)),0),ROUND((37-36*P31/(M31+'Start-Options'!F32)),0)))</f>
        <v/>
      </c>
      <c r="R31" s="125" t="str">
        <f>IF(Q31="","",MROUND(P31*36/(37-Q31),'Start-Options'!B38))</f>
        <v/>
      </c>
      <c r="S31" s="152"/>
      <c r="T31" s="127" t="str">
        <f>IF(S31="","",MROUND(36*P31/(37-S31),'Start-Options'!B38))</f>
        <v/>
      </c>
      <c r="U31" s="105"/>
      <c r="V31" s="123"/>
      <c r="W31" s="128">
        <f>IF(Z29="","",MROUND(Z29*0.6,'Start-Options'!B38))</f>
        <v>32.5</v>
      </c>
      <c r="X31" s="27"/>
      <c r="Y31" s="118" t="str">
        <f>'Start-Options'!B6</f>
        <v>Bench</v>
      </c>
      <c r="Z31" s="114">
        <f>IF('Start-Options'!F6="","",'Start-Options'!F6+'Start-Options'!C32)</f>
        <v>72.5</v>
      </c>
      <c r="AA31" s="150"/>
      <c r="AB31" s="151"/>
      <c r="AC31" s="147"/>
    </row>
    <row r="32" ht="12.75" customHeight="1">
      <c r="A32" s="102"/>
      <c r="B32" s="103">
        <f>IF(Z30="","",MROUND(Z30*0.65,'Start-Options'!B38))</f>
        <v>75</v>
      </c>
      <c r="C32" s="103"/>
      <c r="D32" s="103"/>
      <c r="E32" s="103"/>
      <c r="F32" s="104"/>
      <c r="G32" s="105"/>
      <c r="H32" s="106"/>
      <c r="I32" s="107">
        <f>IF(Z30="","",MROUND(Z30*0.7,'Start-Options'!B38))</f>
        <v>80</v>
      </c>
      <c r="J32" s="103"/>
      <c r="K32" s="103"/>
      <c r="L32" s="103"/>
      <c r="M32" s="104"/>
      <c r="N32" s="105"/>
      <c r="O32" s="106"/>
      <c r="P32" s="106">
        <f>IF(Z30="","",MROUND(Z30*0.75,'Start-Options'!B38))</f>
        <v>87.5</v>
      </c>
      <c r="Q32" s="108"/>
      <c r="R32" s="108"/>
      <c r="S32" s="108"/>
      <c r="T32" s="109"/>
      <c r="U32" s="105"/>
      <c r="V32" s="106"/>
      <c r="W32" s="110">
        <f>IF(Z30="","",MROUND(Z30*0.4,'Start-Options'!B38))</f>
        <v>45</v>
      </c>
      <c r="X32" s="27"/>
      <c r="Y32" s="129" t="str">
        <f>'Start-Options'!B7</f>
        <v>Squat</v>
      </c>
      <c r="Z32" s="123">
        <f>IF('Start-Options'!F7="","",'Start-Options'!F7+'Start-Options'!C35)</f>
        <v>85</v>
      </c>
      <c r="AA32" s="153"/>
      <c r="AB32" s="154"/>
      <c r="AC32" s="155"/>
    </row>
    <row r="33" ht="12.75" customHeight="1">
      <c r="A33" s="111" t="str">
        <f>'Start-Options'!B5</f>
        <v>Deadlift</v>
      </c>
      <c r="B33" s="112">
        <f>IF(Z30="","",MROUND(Z30*0.75,'Start-Options'!B38))</f>
        <v>87.5</v>
      </c>
      <c r="C33" s="112"/>
      <c r="D33" s="112"/>
      <c r="E33" s="112"/>
      <c r="F33" s="113"/>
      <c r="G33" s="105"/>
      <c r="H33" s="114" t="str">
        <f>'Start-Options'!B5</f>
        <v>Deadlift</v>
      </c>
      <c r="I33" s="115">
        <f>IF(Z30="","",MROUND(Z30*0.8,'Start-Options'!B38))</f>
        <v>92.5</v>
      </c>
      <c r="J33" s="112"/>
      <c r="K33" s="112"/>
      <c r="L33" s="112"/>
      <c r="M33" s="113"/>
      <c r="N33" s="105"/>
      <c r="O33" s="114" t="str">
        <f>'Start-Options'!B5</f>
        <v>Deadlift</v>
      </c>
      <c r="P33" s="148">
        <f>IF(Z30="","",MROUND(Z30*0.85,'Start-Options'!B38))</f>
        <v>97.5</v>
      </c>
      <c r="Q33" s="149"/>
      <c r="R33" s="105"/>
      <c r="S33" s="105"/>
      <c r="T33" s="116"/>
      <c r="U33" s="105"/>
      <c r="V33" s="114" t="str">
        <f>'Start-Options'!B5</f>
        <v>Deadlift</v>
      </c>
      <c r="W33" s="117">
        <f>IF(Z30="","",MROUND(Z30*0.5,'Start-Options'!B38))</f>
        <v>57.5</v>
      </c>
      <c r="X33" s="27"/>
      <c r="Y33" s="27"/>
      <c r="Z33" s="27"/>
      <c r="AA33" s="27"/>
      <c r="AB33" s="27"/>
      <c r="AC33" s="27"/>
    </row>
    <row r="34" ht="12.75" customHeight="1">
      <c r="A34" s="130"/>
      <c r="B34" s="120">
        <f>IF(Z30="","",MROUND(Z30*0.85,'Start-Options'!B38))</f>
        <v>97.5</v>
      </c>
      <c r="C34" s="120">
        <f>IF(Z30="","",ROUND((37-36*B34/(Z30+'Start-Options'!F33)),0))</f>
        <v>7</v>
      </c>
      <c r="D34" s="120">
        <f>IF(Z30="","",MROUND(B34*36/(37-C34),'Start-Options'!B38))</f>
        <v>117.5</v>
      </c>
      <c r="E34" s="121"/>
      <c r="F34" s="122" t="str">
        <f>IF(E34="","",MROUND(36*B34/(37-E34),'Start-Options'!B38))</f>
        <v/>
      </c>
      <c r="G34" s="105"/>
      <c r="H34" s="123"/>
      <c r="I34" s="124">
        <f>IF(Z30="","",MROUND(Z30*0.9,'Start-Options'!B38))</f>
        <v>102.5</v>
      </c>
      <c r="J34" s="120" t="str">
        <f>IF(F34="","",IF(F34&lt;Z30,ROUND((37-36*I34/(Z30+'Start-Options'!F33)),0),ROUND((37-36*I34/(F34+'Start-Options'!F33)),0)))</f>
        <v/>
      </c>
      <c r="K34" s="120" t="str">
        <f>IF(J34="","",MROUND(I34*36/(37-J34),'Start-Options'!B38))</f>
        <v/>
      </c>
      <c r="L34" s="156"/>
      <c r="M34" s="122" t="str">
        <f>IF(L34="","",MROUND(36*I34/(37-L34),'Start-Options'!B38))</f>
        <v/>
      </c>
      <c r="N34" s="105"/>
      <c r="O34" s="123"/>
      <c r="P34" s="123">
        <f>IF(Z30="","",MROUND(Z30*0.95,'Start-Options'!B38))</f>
        <v>110</v>
      </c>
      <c r="Q34" s="120" t="str">
        <f>IF(M34="","",IF(M34&lt;Z30,ROUND((37-36*P34/(Z30+'Start-Options'!F33)),0),ROUND((37-36*P34/(M34+'Start-Options'!F33)),0)))</f>
        <v/>
      </c>
      <c r="R34" s="125" t="str">
        <f>IF(Q34="","",MROUND(P34*36/(37-Q34),'Start-Options'!B38))</f>
        <v/>
      </c>
      <c r="S34" s="152"/>
      <c r="T34" s="127" t="str">
        <f>IF(S34="","",MROUND(36*P34/(37-S34),'Start-Options'!B38))</f>
        <v/>
      </c>
      <c r="U34" s="105"/>
      <c r="V34" s="123"/>
      <c r="W34" s="128">
        <f>IF(Z30="","",MROUND(Z30*0.6,'Start-Options'!B38))</f>
        <v>70</v>
      </c>
      <c r="X34" s="27"/>
      <c r="Y34" s="70" t="s">
        <v>93</v>
      </c>
      <c r="Z34" s="71"/>
      <c r="AA34" s="27"/>
      <c r="AB34" s="27"/>
      <c r="AC34" s="27"/>
    </row>
    <row r="35" ht="12.75" customHeight="1">
      <c r="A35" s="102"/>
      <c r="B35" s="103">
        <f>IF(Z31="","",MROUND(Z31*0.65,'Start-Options'!B38))</f>
        <v>47.5</v>
      </c>
      <c r="C35" s="103"/>
      <c r="D35" s="103"/>
      <c r="E35" s="103"/>
      <c r="F35" s="104"/>
      <c r="G35" s="105"/>
      <c r="H35" s="106"/>
      <c r="I35" s="107">
        <f>IF(Z31="","",MROUND(Z31*0.7,'Start-Options'!B38))</f>
        <v>50</v>
      </c>
      <c r="J35" s="103"/>
      <c r="K35" s="103"/>
      <c r="L35" s="103"/>
      <c r="M35" s="104"/>
      <c r="N35" s="105"/>
      <c r="O35" s="106"/>
      <c r="P35" s="106">
        <f>IF(Z31="","",MROUND(Z31*0.75,'Start-Options'!B38))</f>
        <v>55</v>
      </c>
      <c r="Q35" s="108"/>
      <c r="R35" s="108"/>
      <c r="S35" s="108"/>
      <c r="T35" s="109"/>
      <c r="U35" s="105"/>
      <c r="V35" s="106"/>
      <c r="W35" s="110">
        <f>IF(Z31="","",MROUND(Z31*0.4,'Start-Options'!B38))</f>
        <v>30</v>
      </c>
      <c r="X35" s="27"/>
      <c r="Y35" s="25" t="s">
        <v>94</v>
      </c>
      <c r="Z35" s="74">
        <v>80.0</v>
      </c>
      <c r="AA35" s="27"/>
      <c r="AB35" s="27"/>
      <c r="AC35" s="27"/>
    </row>
    <row r="36" ht="12.75" customHeight="1">
      <c r="A36" s="111" t="str">
        <f>'Start-Options'!B6</f>
        <v>Bench</v>
      </c>
      <c r="B36" s="112">
        <f>IF(Z31="","",MROUND(Z31*0.75,'Start-Options'!B38))</f>
        <v>55</v>
      </c>
      <c r="C36" s="112"/>
      <c r="D36" s="112"/>
      <c r="E36" s="112"/>
      <c r="F36" s="113"/>
      <c r="G36" s="105"/>
      <c r="H36" s="114" t="str">
        <f>'Start-Options'!B6</f>
        <v>Bench</v>
      </c>
      <c r="I36" s="115">
        <f>IF(Z31="","",MROUND(Z31*0.8,'Start-Options'!B38))</f>
        <v>57.5</v>
      </c>
      <c r="J36" s="112"/>
      <c r="K36" s="112"/>
      <c r="L36" s="112"/>
      <c r="M36" s="113"/>
      <c r="N36" s="105"/>
      <c r="O36" s="114" t="str">
        <f>'Start-Options'!B6</f>
        <v>Bench</v>
      </c>
      <c r="P36" s="148">
        <f>IF(Z31="","",MROUND(Z31*0.85,'Start-Options'!B38))</f>
        <v>62.5</v>
      </c>
      <c r="Q36" s="149"/>
      <c r="R36" s="105"/>
      <c r="S36" s="105"/>
      <c r="T36" s="116"/>
      <c r="U36" s="105"/>
      <c r="V36" s="114" t="str">
        <f>'Start-Options'!B6</f>
        <v>Bench</v>
      </c>
      <c r="W36" s="117">
        <f>IF(Z31="","",MROUND(Z31*0.5,'Start-Options'!B38))</f>
        <v>37.5</v>
      </c>
      <c r="X36" s="27"/>
      <c r="Y36" s="77" t="s">
        <v>95</v>
      </c>
      <c r="Z36" s="78">
        <f>IF(Z35="","",MROUND(Z35*0.4,'Start-Options'!$B$38))</f>
        <v>32.5</v>
      </c>
      <c r="AA36" s="27"/>
      <c r="AB36" s="27"/>
      <c r="AC36" s="27"/>
    </row>
    <row r="37" ht="12.75" customHeight="1">
      <c r="A37" s="119"/>
      <c r="B37" s="120">
        <f>IF(Z31="","",MROUND(Z31*0.85,'Start-Options'!B38))</f>
        <v>62.5</v>
      </c>
      <c r="C37" s="120">
        <f>IF(Z31="","",ROUND((37-36*B37/(Z31+'Start-Options'!F34)),0))</f>
        <v>7</v>
      </c>
      <c r="D37" s="120">
        <f>IF(Z31="","",MROUND(B37*36/(37-C37),'Start-Options'!B38))</f>
        <v>75</v>
      </c>
      <c r="E37" s="121"/>
      <c r="F37" s="122" t="str">
        <f>IF(E37="","",MROUND(36*B37/(37-E37),'Start-Options'!B38))</f>
        <v/>
      </c>
      <c r="G37" s="105"/>
      <c r="H37" s="123"/>
      <c r="I37" s="124">
        <f>IF(Z31="","",MROUND(Z31*0.9,'Start-Options'!B38))</f>
        <v>65</v>
      </c>
      <c r="J37" s="120" t="str">
        <f>IF(F37="","",IF(F37&lt;Z31,ROUND((37-36*I37/(Z31+'Start-Options'!F34)),0),ROUND((37-36*I37/(F37+'Start-Options'!F34)),0)))</f>
        <v/>
      </c>
      <c r="K37" s="120" t="str">
        <f>IF(J37="","",MROUND(I37*36/(37-J37),'Start-Options'!B38))</f>
        <v/>
      </c>
      <c r="L37" s="121"/>
      <c r="M37" s="122" t="str">
        <f>IF(L37="","",MROUND(36*I37/(37-L37),'Start-Options'!B38))</f>
        <v/>
      </c>
      <c r="N37" s="105"/>
      <c r="O37" s="123"/>
      <c r="P37" s="123">
        <f>IF(Z31="","",MROUND(Z31*0.95,'Start-Options'!B38))</f>
        <v>70</v>
      </c>
      <c r="Q37" s="120" t="str">
        <f>IF(M37="","",IF(M37&lt;Z31,ROUND((37-36*P37/(Z31+'Start-Options'!F34)),0),ROUND((37-36*P37/(M37+'Start-Options'!F34)),0)))</f>
        <v/>
      </c>
      <c r="R37" s="125" t="str">
        <f>IF(Q37="","",MROUND(P37*36/(37-Q37),'Start-Options'!B38))</f>
        <v/>
      </c>
      <c r="S37" s="126"/>
      <c r="T37" s="127" t="str">
        <f>IF(S37="","",MROUND(36*P37/(37-S37),'Start-Options'!B38))</f>
        <v/>
      </c>
      <c r="U37" s="105"/>
      <c r="V37" s="123"/>
      <c r="W37" s="128">
        <f>IF(Z31="","",MROUND(Z31*0.6,'Start-Options'!B38))</f>
        <v>42.5</v>
      </c>
      <c r="X37" s="27"/>
      <c r="Y37" s="77" t="s">
        <v>96</v>
      </c>
      <c r="Z37" s="78">
        <f>IF(Z35="","",MROUND(Z35*0.5,'Start-Options'!$B$38))</f>
        <v>40</v>
      </c>
      <c r="AA37" s="27"/>
      <c r="AB37" s="27"/>
      <c r="AC37" s="27"/>
    </row>
    <row r="38" ht="12.75" customHeight="1">
      <c r="A38" s="111"/>
      <c r="B38" s="103">
        <f>IF(Z32="","",MROUND(Z32*0.65,'Start-Options'!B38))</f>
        <v>55</v>
      </c>
      <c r="C38" s="103"/>
      <c r="D38" s="103"/>
      <c r="E38" s="103"/>
      <c r="F38" s="104"/>
      <c r="G38" s="105"/>
      <c r="H38" s="106"/>
      <c r="I38" s="107">
        <f>IF(Z32="","",MROUND(Z32*0.7,'Start-Options'!B38))</f>
        <v>60</v>
      </c>
      <c r="J38" s="103"/>
      <c r="K38" s="103"/>
      <c r="L38" s="103"/>
      <c r="M38" s="104"/>
      <c r="N38" s="105"/>
      <c r="O38" s="106"/>
      <c r="P38" s="106">
        <f>IF(Z32="","",MROUND(Z32*0.75,'Start-Options'!B38))</f>
        <v>65</v>
      </c>
      <c r="Q38" s="108"/>
      <c r="R38" s="108"/>
      <c r="S38" s="108"/>
      <c r="T38" s="109"/>
      <c r="U38" s="105"/>
      <c r="V38" s="106"/>
      <c r="W38" s="110">
        <f>IF(Z32="","",MROUND(Z32*0.4,'Start-Options'!B38))</f>
        <v>35</v>
      </c>
      <c r="X38" s="27"/>
      <c r="Y38" s="82" t="s">
        <v>97</v>
      </c>
      <c r="Z38" s="83">
        <f>IF(Z35="","",MROUND(Z35*0.6,'Start-Options'!$B$38))</f>
        <v>47.5</v>
      </c>
      <c r="AA38" s="27"/>
      <c r="AB38" s="27"/>
      <c r="AC38" s="27"/>
    </row>
    <row r="39" ht="12.75" customHeight="1">
      <c r="A39" s="111" t="str">
        <f>'Start-Options'!B7</f>
        <v>Squat</v>
      </c>
      <c r="B39" s="112">
        <f>IF(Z32="","",MROUND(Z32*0.75,'Start-Options'!B38))</f>
        <v>65</v>
      </c>
      <c r="C39" s="112"/>
      <c r="D39" s="112"/>
      <c r="E39" s="112"/>
      <c r="F39" s="113"/>
      <c r="G39" s="105"/>
      <c r="H39" s="114" t="str">
        <f>'Start-Options'!B7</f>
        <v>Squat</v>
      </c>
      <c r="I39" s="115">
        <f>IF(Z32="","",MROUND(Z32*0.8,'Start-Options'!B38))</f>
        <v>67.5</v>
      </c>
      <c r="J39" s="112"/>
      <c r="K39" s="112"/>
      <c r="L39" s="112"/>
      <c r="M39" s="113"/>
      <c r="N39" s="105"/>
      <c r="O39" s="114" t="str">
        <f>'Start-Options'!B7</f>
        <v>Squat</v>
      </c>
      <c r="P39" s="148">
        <f>IF(Z32="","",MROUND(Z32*0.85,'Start-Options'!B38))</f>
        <v>72.5</v>
      </c>
      <c r="Q39" s="149"/>
      <c r="R39" s="105"/>
      <c r="S39" s="105"/>
      <c r="T39" s="116"/>
      <c r="U39" s="105"/>
      <c r="V39" s="114" t="str">
        <f>'Start-Options'!B7</f>
        <v>Squat</v>
      </c>
      <c r="W39" s="117">
        <f>IF(Z32="","",MROUND(Z32*0.5,'Start-Options'!B38))</f>
        <v>42.5</v>
      </c>
      <c r="X39" s="27"/>
      <c r="Y39" s="27"/>
      <c r="Z39" s="27"/>
      <c r="AA39" s="27"/>
      <c r="AB39" s="27"/>
      <c r="AC39" s="27"/>
    </row>
    <row r="40" ht="13.5" customHeight="1">
      <c r="A40" s="131"/>
      <c r="B40" s="132">
        <f>IF(Z32="","",MROUND(Z32*0.85,'Start-Options'!B38))</f>
        <v>72.5</v>
      </c>
      <c r="C40" s="132">
        <f>IF(Z32="","",ROUND((37-36*B40/(Z32+'Start-Options'!F35)),0))</f>
        <v>7</v>
      </c>
      <c r="D40" s="132">
        <f>IF(Z32="","",MROUND(B40*36/(37-C40),'Start-Options'!B38))</f>
        <v>87.5</v>
      </c>
      <c r="E40" s="133"/>
      <c r="F40" s="134" t="str">
        <f>IF(E40="","",MROUND(36*B40/(37-E40),'Start-Options'!B38))</f>
        <v/>
      </c>
      <c r="G40" s="135"/>
      <c r="H40" s="136"/>
      <c r="I40" s="137">
        <f>IF(Z32="","",MROUND(Z32*0.9,'Start-Options'!B38))</f>
        <v>77.5</v>
      </c>
      <c r="J40" s="132" t="str">
        <f>IF(F40="","",IF(F40&lt;Z32,ROUND((37-36*I40/(Z32+'Start-Options'!F35)),0),ROUND((37-36*I40/(F40+'Start-Options'!F35)),0)))</f>
        <v/>
      </c>
      <c r="K40" s="132" t="str">
        <f>IF(J40="","",MROUND(I40*36/(37-J40),'Start-Options'!B38))</f>
        <v/>
      </c>
      <c r="L40" s="157"/>
      <c r="M40" s="134" t="str">
        <f>IF(L40="","",MROUND(36*I40/(37-L40),'Start-Options'!B38))</f>
        <v/>
      </c>
      <c r="N40" s="135"/>
      <c r="O40" s="136"/>
      <c r="P40" s="136">
        <f>IF(Z32="","",MROUND(Z32*0.95,'Start-Options'!B38))</f>
        <v>80</v>
      </c>
      <c r="Q40" s="132" t="str">
        <f>IF(M40="","",IF(M40&lt;Z32,ROUND((37-36*P40/(Z32+'Start-Options'!F35)),0),ROUND((37-36*P40/(M40+'Start-Options'!F35)),0)))</f>
        <v/>
      </c>
      <c r="R40" s="135" t="str">
        <f>IF(Q40="","",MROUND(P40*36/(37-Q40),'Start-Options'!B38))</f>
        <v/>
      </c>
      <c r="S40" s="138"/>
      <c r="T40" s="139" t="str">
        <f>IF(S40="","",MROUND(36*P40/(37-S40),'Start-Options'!B38))</f>
        <v/>
      </c>
      <c r="U40" s="135"/>
      <c r="V40" s="136"/>
      <c r="W40" s="140">
        <f>IF(Z32="","",MROUND(Z32*0.6,'Start-Options'!B38))</f>
        <v>50</v>
      </c>
      <c r="X40" s="27"/>
      <c r="Y40" s="27"/>
      <c r="Z40" s="27"/>
      <c r="AA40" s="27"/>
      <c r="AB40" s="27"/>
      <c r="AC40" s="27"/>
    </row>
    <row r="41" ht="12.75" customHeight="1">
      <c r="A41" s="27"/>
      <c r="B41" s="27"/>
      <c r="C41" s="91"/>
      <c r="D41" s="91"/>
      <c r="E41" s="27"/>
      <c r="F41" s="27"/>
      <c r="G41" s="27"/>
      <c r="H41" s="27"/>
      <c r="I41" s="27"/>
      <c r="J41" s="27"/>
      <c r="K41" s="27"/>
      <c r="L41" s="27"/>
      <c r="M41" s="27"/>
      <c r="N41" s="27"/>
      <c r="O41" s="27"/>
      <c r="P41" s="27"/>
      <c r="Q41" s="27"/>
      <c r="R41" s="27"/>
      <c r="S41" s="27"/>
      <c r="T41" s="27"/>
      <c r="U41" s="27"/>
      <c r="V41" s="27"/>
      <c r="W41" s="27"/>
      <c r="X41" s="27"/>
      <c r="Y41" s="27"/>
      <c r="Z41" s="27"/>
      <c r="AA41" s="27"/>
      <c r="AB41" s="27"/>
      <c r="AC41" s="27"/>
    </row>
    <row r="42" ht="21.0" customHeight="1">
      <c r="A42" s="27"/>
      <c r="B42" s="27"/>
      <c r="C42" s="158"/>
      <c r="D42" s="158"/>
      <c r="E42" s="27"/>
      <c r="F42" s="27"/>
      <c r="G42" s="27"/>
      <c r="H42" s="27"/>
      <c r="I42" s="27"/>
      <c r="J42" s="27"/>
      <c r="K42" s="27"/>
      <c r="L42" s="86" t="s">
        <v>106</v>
      </c>
      <c r="M42" s="65"/>
      <c r="N42" s="65"/>
      <c r="O42" s="27"/>
      <c r="P42" s="27"/>
      <c r="Q42" s="27"/>
      <c r="R42" s="27"/>
      <c r="S42" s="27"/>
      <c r="T42" s="27"/>
      <c r="U42" s="27"/>
      <c r="V42" s="27"/>
      <c r="W42" s="27"/>
      <c r="X42" s="27"/>
      <c r="Y42" s="27"/>
      <c r="Z42" s="27"/>
      <c r="AA42" s="27"/>
      <c r="AB42" s="27"/>
      <c r="AC42" s="27"/>
    </row>
    <row r="43" ht="15.75" customHeight="1">
      <c r="A43" s="88"/>
      <c r="B43" s="91"/>
      <c r="C43" s="89" t="s">
        <v>107</v>
      </c>
      <c r="D43" s="91"/>
      <c r="E43" s="91"/>
      <c r="F43" s="91"/>
      <c r="G43" s="91"/>
      <c r="H43" s="91"/>
      <c r="I43" s="92"/>
      <c r="J43" s="89" t="s">
        <v>108</v>
      </c>
      <c r="K43" s="91"/>
      <c r="L43" s="91"/>
      <c r="M43" s="91"/>
      <c r="N43" s="91"/>
      <c r="O43" s="91"/>
      <c r="P43" s="91"/>
      <c r="Q43" s="89" t="s">
        <v>109</v>
      </c>
      <c r="R43" s="91"/>
      <c r="S43" s="91"/>
      <c r="T43" s="91"/>
      <c r="U43" s="91"/>
      <c r="V43" s="93" t="s">
        <v>110</v>
      </c>
      <c r="W43" s="94"/>
      <c r="X43" s="27"/>
      <c r="Y43" s="27"/>
      <c r="Z43" s="27"/>
      <c r="AA43" s="27"/>
      <c r="AB43" s="27"/>
      <c r="AC43" s="27"/>
    </row>
    <row r="44" ht="28.5" customHeight="1">
      <c r="A44" s="95"/>
      <c r="B44" s="96" t="s">
        <v>26</v>
      </c>
      <c r="C44" s="97" t="s">
        <v>88</v>
      </c>
      <c r="D44" s="97" t="s">
        <v>89</v>
      </c>
      <c r="E44" s="97" t="s">
        <v>90</v>
      </c>
      <c r="F44" s="96" t="s">
        <v>91</v>
      </c>
      <c r="G44" s="27"/>
      <c r="H44" s="98"/>
      <c r="I44" s="96" t="s">
        <v>26</v>
      </c>
      <c r="J44" s="97" t="s">
        <v>88</v>
      </c>
      <c r="K44" s="97" t="s">
        <v>89</v>
      </c>
      <c r="L44" s="97" t="s">
        <v>90</v>
      </c>
      <c r="M44" s="96" t="s">
        <v>91</v>
      </c>
      <c r="N44" s="27"/>
      <c r="O44" s="98"/>
      <c r="P44" s="96" t="s">
        <v>26</v>
      </c>
      <c r="Q44" s="97" t="s">
        <v>88</v>
      </c>
      <c r="R44" s="97" t="s">
        <v>89</v>
      </c>
      <c r="S44" s="97" t="s">
        <v>90</v>
      </c>
      <c r="T44" s="96" t="s">
        <v>91</v>
      </c>
      <c r="U44" s="27"/>
      <c r="V44" s="99"/>
      <c r="W44" s="159" t="s">
        <v>26</v>
      </c>
      <c r="X44" s="27"/>
      <c r="Y44" s="101" t="s">
        <v>111</v>
      </c>
      <c r="Z44" s="71"/>
      <c r="AA44" s="141"/>
      <c r="AB44" s="142" t="s">
        <v>104</v>
      </c>
      <c r="AC44" s="143" t="s">
        <v>105</v>
      </c>
    </row>
    <row r="45" ht="12.75" customHeight="1">
      <c r="A45" s="102"/>
      <c r="B45" s="103">
        <f>IF(Z45="","",MROUND(Z45*0.65,'Start-Options'!B38))</f>
        <v>35</v>
      </c>
      <c r="C45" s="103"/>
      <c r="D45" s="103"/>
      <c r="E45" s="103"/>
      <c r="F45" s="104"/>
      <c r="G45" s="105"/>
      <c r="H45" s="106"/>
      <c r="I45" s="107">
        <f>IF(Z45="","",MROUND(Z45*0.7,'Start-Options'!B38))</f>
        <v>37.5</v>
      </c>
      <c r="J45" s="103"/>
      <c r="K45" s="103"/>
      <c r="L45" s="103"/>
      <c r="M45" s="104"/>
      <c r="N45" s="105"/>
      <c r="O45" s="106"/>
      <c r="P45" s="106">
        <f>IF(Z45="","",MROUND(Z45*0.75,'Start-Options'!B38))</f>
        <v>42.5</v>
      </c>
      <c r="Q45" s="108"/>
      <c r="R45" s="108"/>
      <c r="S45" s="108"/>
      <c r="T45" s="109"/>
      <c r="U45" s="105"/>
      <c r="V45" s="106"/>
      <c r="W45" s="110">
        <f>IF(Z45="","",MROUND(Z45*0.4,'Start-Options'!B38))</f>
        <v>22.5</v>
      </c>
      <c r="X45" s="27"/>
      <c r="Y45" s="37" t="str">
        <f>'Start-Options'!B4</f>
        <v>Military</v>
      </c>
      <c r="Z45" s="106">
        <f>IF(Z29="","",IF(ISTEXT(AB29),Z29-AC29,Z29+'Start-Options'!C32))</f>
        <v>55</v>
      </c>
      <c r="AA45" s="146"/>
      <c r="AB45" s="36"/>
      <c r="AC45" s="147"/>
    </row>
    <row r="46" ht="12.75" customHeight="1">
      <c r="A46" s="111" t="str">
        <f>'Start-Options'!B4</f>
        <v>Military</v>
      </c>
      <c r="B46" s="112">
        <f>IF(Z45="","",MROUND(Z45*0.75,'Start-Options'!B38))</f>
        <v>42.5</v>
      </c>
      <c r="C46" s="112"/>
      <c r="D46" s="112"/>
      <c r="E46" s="112"/>
      <c r="F46" s="113"/>
      <c r="G46" s="105"/>
      <c r="H46" s="114" t="str">
        <f>'Start-Options'!B4</f>
        <v>Military</v>
      </c>
      <c r="I46" s="115">
        <f>IF(Z45="","",MROUND(Z45*0.8,'Start-Options'!B38))</f>
        <v>45</v>
      </c>
      <c r="J46" s="112"/>
      <c r="K46" s="112"/>
      <c r="L46" s="112"/>
      <c r="M46" s="113"/>
      <c r="N46" s="105"/>
      <c r="O46" s="114" t="str">
        <f>'Start-Options'!B4</f>
        <v>Military</v>
      </c>
      <c r="P46" s="114">
        <f>IF(Z45="","",MROUND(Z45*0.85,'Start-Options'!B38))</f>
        <v>47.5</v>
      </c>
      <c r="Q46" s="105"/>
      <c r="R46" s="105"/>
      <c r="S46" s="105"/>
      <c r="T46" s="116"/>
      <c r="U46" s="105"/>
      <c r="V46" s="114" t="str">
        <f>'Start-Options'!B4</f>
        <v>Military</v>
      </c>
      <c r="W46" s="117">
        <f>IF(Z45="","",MROUND(Z45*0.5,'Start-Options'!B38))</f>
        <v>27.5</v>
      </c>
      <c r="X46" s="27"/>
      <c r="Y46" s="118" t="str">
        <f>'Start-Options'!B5</f>
        <v>Deadlift</v>
      </c>
      <c r="Z46" s="114">
        <f>IF(Z30="","",IF(ISTEXT(AB30),Z30-AC30,Z30+'Start-Options'!C33))</f>
        <v>120</v>
      </c>
      <c r="AA46" s="150"/>
      <c r="AB46" s="151"/>
      <c r="AC46" s="147"/>
    </row>
    <row r="47" ht="12.75" customHeight="1">
      <c r="A47" s="119"/>
      <c r="B47" s="120">
        <f>IF(Z45="","",MROUND(Z45*0.85,'Start-Options'!B38))</f>
        <v>47.5</v>
      </c>
      <c r="C47" s="120">
        <f>IF(Z45="","",ROUND((37-36*B47/(Z45+'Start-Options'!F32)),0))</f>
        <v>7</v>
      </c>
      <c r="D47" s="120">
        <f>IF(Z45="","",MROUND(B47*36/(37-C47),'Start-Options'!B38))</f>
        <v>57.5</v>
      </c>
      <c r="E47" s="121"/>
      <c r="F47" s="122" t="str">
        <f>IF(E47="","",MROUND(36*B47/(37-E47),'Start-Options'!B38))</f>
        <v/>
      </c>
      <c r="G47" s="105"/>
      <c r="H47" s="123"/>
      <c r="I47" s="124">
        <f>IF(Z45="","",MROUND(Z45*0.9,'Start-Options'!B38))</f>
        <v>50</v>
      </c>
      <c r="J47" s="120" t="str">
        <f>IF(F47="","",IF(F47&lt;Z45,ROUND((37-36*I47/(Z45+'Start-Options'!F32)),0),ROUND((37-36*I47/(F47+'Start-Options'!F32)),0)))</f>
        <v/>
      </c>
      <c r="K47" s="120" t="str">
        <f>IF(J47="","",MROUND(I47*36/(37-J47),'Start-Options'!B38))</f>
        <v/>
      </c>
      <c r="L47" s="121"/>
      <c r="M47" s="122" t="str">
        <f>IF(L47="","",MROUND(36*I47/(37-L47),'Start-Options'!B38))</f>
        <v/>
      </c>
      <c r="N47" s="105"/>
      <c r="O47" s="123"/>
      <c r="P47" s="123">
        <f>IF(Z45="","",MROUND(Z45*0.95,'Start-Options'!B38))</f>
        <v>52.5</v>
      </c>
      <c r="Q47" s="120" t="str">
        <f>IF(M47="","",IF(M47&lt;Z45,ROUND((37-36*P47/(Z45+'Start-Options'!F32)),0),ROUND((37-36*P47/(M47+'Start-Options'!F32)),0)))</f>
        <v/>
      </c>
      <c r="R47" s="125" t="str">
        <f>IF(Q47="","",MROUND(P47*36/(37-Q47),'Start-Options'!B38))</f>
        <v/>
      </c>
      <c r="S47" s="126"/>
      <c r="T47" s="127" t="str">
        <f>IF(S47="","",MROUND(36*P47/(37-S47),'Start-Options'!B38))</f>
        <v/>
      </c>
      <c r="U47" s="105"/>
      <c r="V47" s="123"/>
      <c r="W47" s="128">
        <f>IF(Z45="","",MROUND(Z45*0.6,'Start-Options'!B38))</f>
        <v>32.5</v>
      </c>
      <c r="X47" s="27"/>
      <c r="Y47" s="118" t="str">
        <f>'Start-Options'!B6</f>
        <v>Bench</v>
      </c>
      <c r="Z47" s="114">
        <f>IF(Z31="","",IF(ISTEXT(AB31),Z31-AC31,Z31+'Start-Options'!C34))</f>
        <v>75</v>
      </c>
      <c r="AA47" s="150"/>
      <c r="AB47" s="151"/>
      <c r="AC47" s="147"/>
    </row>
    <row r="48" ht="12.75" customHeight="1">
      <c r="A48" s="102"/>
      <c r="B48" s="103">
        <f>IF(Z46="","",MROUND(Z46*0.65,'Start-Options'!B38))</f>
        <v>77.5</v>
      </c>
      <c r="C48" s="103"/>
      <c r="D48" s="103"/>
      <c r="E48" s="103"/>
      <c r="F48" s="104"/>
      <c r="G48" s="105"/>
      <c r="H48" s="106"/>
      <c r="I48" s="107">
        <f>IF(Z46="","",MROUND(Z46*0.7,'Start-Options'!B38))</f>
        <v>85</v>
      </c>
      <c r="J48" s="103"/>
      <c r="K48" s="103"/>
      <c r="L48" s="103"/>
      <c r="M48" s="104"/>
      <c r="N48" s="105"/>
      <c r="O48" s="106"/>
      <c r="P48" s="106">
        <f>IF(Z46="","",MROUND(Z46*0.75,'Start-Options'!B38))</f>
        <v>90</v>
      </c>
      <c r="Q48" s="108"/>
      <c r="R48" s="108"/>
      <c r="S48" s="108"/>
      <c r="T48" s="109"/>
      <c r="U48" s="105"/>
      <c r="V48" s="106"/>
      <c r="W48" s="110">
        <f>IF(Z46="","",MROUND(Z46*0.4,'Start-Options'!B38))</f>
        <v>47.5</v>
      </c>
      <c r="X48" s="27"/>
      <c r="Y48" s="129" t="str">
        <f>'Start-Options'!B7</f>
        <v>Squat</v>
      </c>
      <c r="Z48" s="123">
        <f>IF(Z32="","",IF(ISTEXT(AB32),Z32-AC32,Z32+'Start-Options'!C35))</f>
        <v>90</v>
      </c>
      <c r="AA48" s="153"/>
      <c r="AB48" s="154"/>
      <c r="AC48" s="155"/>
    </row>
    <row r="49" ht="12.75" customHeight="1">
      <c r="A49" s="111" t="str">
        <f>'Start-Options'!B5</f>
        <v>Deadlift</v>
      </c>
      <c r="B49" s="112">
        <f>IF(Z46="","",MROUND(Z46*0.75,'Start-Options'!B38))</f>
        <v>90</v>
      </c>
      <c r="C49" s="112"/>
      <c r="D49" s="112"/>
      <c r="E49" s="112"/>
      <c r="F49" s="113"/>
      <c r="G49" s="105"/>
      <c r="H49" s="114" t="str">
        <f>'Start-Options'!B5</f>
        <v>Deadlift</v>
      </c>
      <c r="I49" s="115">
        <f>IF(Z46="","",MROUND(Z46*0.8,'Start-Options'!B38))</f>
        <v>95</v>
      </c>
      <c r="J49" s="112"/>
      <c r="K49" s="112"/>
      <c r="L49" s="112"/>
      <c r="M49" s="113"/>
      <c r="N49" s="105"/>
      <c r="O49" s="114" t="str">
        <f>'Start-Options'!B5</f>
        <v>Deadlift</v>
      </c>
      <c r="P49" s="114">
        <f>IF(Z46="","",MROUND(Z46*0.85,'Start-Options'!B38))</f>
        <v>102.5</v>
      </c>
      <c r="Q49" s="105"/>
      <c r="R49" s="105"/>
      <c r="S49" s="105"/>
      <c r="T49" s="116"/>
      <c r="U49" s="105"/>
      <c r="V49" s="114" t="str">
        <f>'Start-Options'!B5</f>
        <v>Deadlift</v>
      </c>
      <c r="W49" s="117">
        <f>IF(Z46="","",MROUND(Z46*0.5,'Start-Options'!B38))</f>
        <v>60</v>
      </c>
      <c r="X49" s="27"/>
      <c r="Y49" s="27"/>
      <c r="Z49" s="27"/>
      <c r="AA49" s="27"/>
      <c r="AB49" s="27"/>
      <c r="AC49" s="27"/>
    </row>
    <row r="50" ht="12.75" customHeight="1">
      <c r="A50" s="130"/>
      <c r="B50" s="120">
        <f>IF(Z46="","",MROUND(Z46*0.85,'Start-Options'!B38))</f>
        <v>102.5</v>
      </c>
      <c r="C50" s="120">
        <f>IF(Z46="","",ROUND((37-36*B50/(Z46+'Start-Options'!F33)),0))</f>
        <v>7</v>
      </c>
      <c r="D50" s="120">
        <f>IF(Z46="","",MROUND(B50*36/(37-C50),'Start-Options'!B38))</f>
        <v>122.5</v>
      </c>
      <c r="E50" s="121"/>
      <c r="F50" s="122" t="str">
        <f>IF(E50="","",MROUND(36*B50/(37-E50),'Start-Options'!B38))</f>
        <v/>
      </c>
      <c r="G50" s="105"/>
      <c r="H50" s="123"/>
      <c r="I50" s="124">
        <f>IF(Z46="","",MROUND(Z46*0.9,'Start-Options'!B38))</f>
        <v>107.5</v>
      </c>
      <c r="J50" s="120" t="str">
        <f>IF(F50="","",IF(F50&lt;Z46,ROUND((37-36*I50/(Z46+'Start-Options'!F33)),0),ROUND((37-36*I50/(F50+'Start-Options'!F33)),0)))</f>
        <v/>
      </c>
      <c r="K50" s="120" t="str">
        <f>IF(J50="","",MROUND(I50*36/(37-J50),'Start-Options'!B38))</f>
        <v/>
      </c>
      <c r="L50" s="121"/>
      <c r="M50" s="122" t="str">
        <f>IF(L50="","",MROUND(36*I50/(37-L50),'Start-Options'!B38))</f>
        <v/>
      </c>
      <c r="N50" s="105"/>
      <c r="O50" s="123"/>
      <c r="P50" s="123">
        <f>IF(Z46="","",MROUND(Z46*0.95,'Start-Options'!B38))</f>
        <v>115</v>
      </c>
      <c r="Q50" s="120" t="str">
        <f>IF(M50="","",IF(M50&lt;Z46,ROUND((37-36*P50/(Z46+'Start-Options'!F33)),0),ROUND((37-36*P50/(M50+'Start-Options'!F33)),0)))</f>
        <v/>
      </c>
      <c r="R50" s="125" t="str">
        <f>IF(Q50="","",MROUND(P50*36/(37-Q50),'Start-Options'!B38))</f>
        <v/>
      </c>
      <c r="S50" s="126"/>
      <c r="T50" s="127" t="str">
        <f>IF(S50="","",MROUND(36*P50/(37-S50),'Start-Options'!B38))</f>
        <v/>
      </c>
      <c r="U50" s="105"/>
      <c r="V50" s="123"/>
      <c r="W50" s="128">
        <f>IF(Z46="","",MROUND(Z46*0.6,'Start-Options'!B38))</f>
        <v>72.5</v>
      </c>
      <c r="X50" s="27"/>
      <c r="Y50" s="70" t="s">
        <v>93</v>
      </c>
      <c r="Z50" s="71"/>
      <c r="AA50" s="27"/>
      <c r="AB50" s="27"/>
      <c r="AC50" s="27"/>
    </row>
    <row r="51" ht="12.75" customHeight="1">
      <c r="A51" s="102"/>
      <c r="B51" s="103">
        <f>IF(Z47="","",MROUND(Z47*0.65,'Start-Options'!B38))</f>
        <v>50</v>
      </c>
      <c r="C51" s="103"/>
      <c r="D51" s="103"/>
      <c r="E51" s="103"/>
      <c r="F51" s="104"/>
      <c r="G51" s="105"/>
      <c r="H51" s="106"/>
      <c r="I51" s="107">
        <f>IF(Z47="","",MROUND(Z47*0.7,'Start-Options'!B38))</f>
        <v>52.5</v>
      </c>
      <c r="J51" s="103"/>
      <c r="K51" s="103"/>
      <c r="L51" s="103"/>
      <c r="M51" s="104"/>
      <c r="N51" s="105"/>
      <c r="O51" s="106"/>
      <c r="P51" s="106">
        <f>IF(Z47="","",MROUND(Z47*0.75,'Start-Options'!B38))</f>
        <v>57.5</v>
      </c>
      <c r="Q51" s="108"/>
      <c r="R51" s="108"/>
      <c r="S51" s="108"/>
      <c r="T51" s="109"/>
      <c r="U51" s="105"/>
      <c r="V51" s="106"/>
      <c r="W51" s="110">
        <f>IF(Z47="","",MROUND(Z47*0.4,'Start-Options'!B38))</f>
        <v>30</v>
      </c>
      <c r="X51" s="27"/>
      <c r="Y51" s="25" t="s">
        <v>94</v>
      </c>
      <c r="Z51" s="74">
        <v>85.0</v>
      </c>
      <c r="AA51" s="27"/>
      <c r="AB51" s="27"/>
      <c r="AC51" s="27"/>
    </row>
    <row r="52" ht="12.75" customHeight="1">
      <c r="A52" s="111" t="str">
        <f>'Start-Options'!B6</f>
        <v>Bench</v>
      </c>
      <c r="B52" s="112">
        <f>IF(Z47="","",MROUND(Z47*0.75,'Start-Options'!B38))</f>
        <v>57.5</v>
      </c>
      <c r="C52" s="112"/>
      <c r="D52" s="112"/>
      <c r="E52" s="112"/>
      <c r="F52" s="113"/>
      <c r="G52" s="105"/>
      <c r="H52" s="114" t="str">
        <f>'Start-Options'!B6</f>
        <v>Bench</v>
      </c>
      <c r="I52" s="115">
        <f>IF(Z47="","",MROUND(Z47*0.8,'Start-Options'!B38))</f>
        <v>60</v>
      </c>
      <c r="J52" s="112"/>
      <c r="K52" s="112"/>
      <c r="L52" s="112"/>
      <c r="M52" s="113"/>
      <c r="N52" s="105"/>
      <c r="O52" s="114" t="str">
        <f>'Start-Options'!B6</f>
        <v>Bench</v>
      </c>
      <c r="P52" s="114">
        <f>IF(Z47="","",MROUND(Z47*0.85,'Start-Options'!B38))</f>
        <v>65</v>
      </c>
      <c r="Q52" s="105"/>
      <c r="R52" s="105"/>
      <c r="S52" s="105"/>
      <c r="T52" s="116"/>
      <c r="U52" s="105"/>
      <c r="V52" s="114" t="str">
        <f>'Start-Options'!B6</f>
        <v>Bench</v>
      </c>
      <c r="W52" s="117">
        <f>IF(Z47="","",MROUND(Z47*0.5,'Start-Options'!B38))</f>
        <v>37.5</v>
      </c>
      <c r="X52" s="27"/>
      <c r="Y52" s="77" t="s">
        <v>95</v>
      </c>
      <c r="Z52" s="78">
        <f>IF(Z51="","",MROUND(Z51*0.4,'Start-Options'!$B$38))</f>
        <v>35</v>
      </c>
      <c r="AA52" s="27"/>
      <c r="AB52" s="27"/>
      <c r="AC52" s="27"/>
    </row>
    <row r="53" ht="12.75" customHeight="1">
      <c r="A53" s="119"/>
      <c r="B53" s="120">
        <f>IF(Z47="","",MROUND(Z47*0.85,'Start-Options'!B38))</f>
        <v>65</v>
      </c>
      <c r="C53" s="120">
        <f>IF(Z47="","",ROUND((37-36*B53/(Z47+'Start-Options'!F34)),0))</f>
        <v>7</v>
      </c>
      <c r="D53" s="120">
        <f>IF(Z47="","",MROUND(B53*36/(37-C53),'Start-Options'!B38))</f>
        <v>77.5</v>
      </c>
      <c r="E53" s="121"/>
      <c r="F53" s="122" t="str">
        <f>IF(E53="","",MROUND(36*B53/(37-E53),'Start-Options'!B38))</f>
        <v/>
      </c>
      <c r="G53" s="105"/>
      <c r="H53" s="123"/>
      <c r="I53" s="124">
        <f>IF(Z47="","",MROUND(Z47*0.9,'Start-Options'!B38))</f>
        <v>67.5</v>
      </c>
      <c r="J53" s="120" t="str">
        <f>IF(F53="","",IF(F53&lt;Z47,ROUND((37-36*I53/(Z47+'Start-Options'!F34)),0),ROUND((37-36*I53/(F53+'Start-Options'!F34)),0)))</f>
        <v/>
      </c>
      <c r="K53" s="120" t="str">
        <f>IF(J53="","",MROUND(I53*36/(37-J53),'Start-Options'!B38))</f>
        <v/>
      </c>
      <c r="L53" s="121"/>
      <c r="M53" s="122" t="str">
        <f>IF(L53="","",MROUND(36*I53/(37-L53),'Start-Options'!B38))</f>
        <v/>
      </c>
      <c r="N53" s="105"/>
      <c r="O53" s="123"/>
      <c r="P53" s="123">
        <f>IF(Z47="","",MROUND(Z47*0.95,'Start-Options'!B38))</f>
        <v>72.5</v>
      </c>
      <c r="Q53" s="120" t="str">
        <f>IF(M53="","",IF(M53&lt;Z47,ROUND((37-36*P53/(Z47+'Start-Options'!F34)),0),ROUND((37-36*P53/(M53+'Start-Options'!F34)),0)))</f>
        <v/>
      </c>
      <c r="R53" s="125" t="str">
        <f>IF(Q53="","",MROUND(P53*36/(37-Q53),'Start-Options'!B38))</f>
        <v/>
      </c>
      <c r="S53" s="126"/>
      <c r="T53" s="127" t="str">
        <f>IF(S53="","",MROUND(36*P53/(37-S53),'Start-Options'!B38))</f>
        <v/>
      </c>
      <c r="U53" s="105"/>
      <c r="V53" s="123"/>
      <c r="W53" s="128">
        <f>IF(Z47="","",MROUND(Z47*0.6,'Start-Options'!B38))</f>
        <v>45</v>
      </c>
      <c r="X53" s="27"/>
      <c r="Y53" s="77" t="s">
        <v>96</v>
      </c>
      <c r="Z53" s="78">
        <f>IF(Z51="","",MROUND(Z51*0.5,'Start-Options'!$B$38))</f>
        <v>42.5</v>
      </c>
      <c r="AA53" s="27"/>
      <c r="AB53" s="27"/>
      <c r="AC53" s="27"/>
    </row>
    <row r="54" ht="12.75" customHeight="1">
      <c r="A54" s="111"/>
      <c r="B54" s="103">
        <f>IF(Z48="","",MROUND(Z48*0.65,'Start-Options'!B38))</f>
        <v>57.5</v>
      </c>
      <c r="C54" s="103"/>
      <c r="D54" s="103"/>
      <c r="E54" s="103"/>
      <c r="F54" s="104"/>
      <c r="G54" s="105"/>
      <c r="H54" s="106"/>
      <c r="I54" s="107">
        <f>IF(Z48="","",MROUND(Z48*0.7,'Start-Options'!B38))</f>
        <v>62.5</v>
      </c>
      <c r="J54" s="103"/>
      <c r="K54" s="103"/>
      <c r="L54" s="103"/>
      <c r="M54" s="104"/>
      <c r="N54" s="105"/>
      <c r="O54" s="106"/>
      <c r="P54" s="106">
        <f>IF(Z48="","",MROUND(Z48*0.75,'Start-Options'!B38))</f>
        <v>67.5</v>
      </c>
      <c r="Q54" s="108"/>
      <c r="R54" s="108"/>
      <c r="S54" s="108"/>
      <c r="T54" s="109"/>
      <c r="U54" s="105"/>
      <c r="V54" s="106"/>
      <c r="W54" s="110">
        <f>IF(Z48="","",MROUND(Z48*0.4,'Start-Options'!B38))</f>
        <v>35</v>
      </c>
      <c r="X54" s="27"/>
      <c r="Y54" s="82" t="s">
        <v>97</v>
      </c>
      <c r="Z54" s="83">
        <f>IF(Z51="","",MROUND(Z51*0.6,'Start-Options'!$B$38))</f>
        <v>50</v>
      </c>
      <c r="AA54" s="27"/>
      <c r="AB54" s="27"/>
      <c r="AC54" s="27"/>
    </row>
    <row r="55" ht="12.75" customHeight="1">
      <c r="A55" s="111" t="str">
        <f>'Start-Options'!B7</f>
        <v>Squat</v>
      </c>
      <c r="B55" s="112">
        <f>IF(Z48="","",MROUND(Z48*0.75,'Start-Options'!B38))</f>
        <v>67.5</v>
      </c>
      <c r="C55" s="112"/>
      <c r="D55" s="112"/>
      <c r="E55" s="112"/>
      <c r="F55" s="113"/>
      <c r="G55" s="105"/>
      <c r="H55" s="114" t="str">
        <f>'Start-Options'!B7</f>
        <v>Squat</v>
      </c>
      <c r="I55" s="115">
        <f>IF(Z48="","",MROUND(Z48*0.8,'Start-Options'!B38))</f>
        <v>72.5</v>
      </c>
      <c r="J55" s="112"/>
      <c r="K55" s="112"/>
      <c r="L55" s="112"/>
      <c r="M55" s="113"/>
      <c r="N55" s="105"/>
      <c r="O55" s="114" t="str">
        <f>'Start-Options'!B7</f>
        <v>Squat</v>
      </c>
      <c r="P55" s="114">
        <f>IF(Z48="","",MROUND(Z48*0.85,'Start-Options'!B38))</f>
        <v>77.5</v>
      </c>
      <c r="Q55" s="105"/>
      <c r="R55" s="105"/>
      <c r="S55" s="105"/>
      <c r="T55" s="116"/>
      <c r="U55" s="105"/>
      <c r="V55" s="114" t="str">
        <f>'Start-Options'!B7</f>
        <v>Squat</v>
      </c>
      <c r="W55" s="117">
        <f>IF(Z48="","",MROUND(Z48*0.5,'Start-Options'!B38))</f>
        <v>45</v>
      </c>
      <c r="X55" s="27"/>
      <c r="Y55" s="27"/>
      <c r="Z55" s="27"/>
      <c r="AA55" s="27"/>
      <c r="AB55" s="27"/>
      <c r="AC55" s="27"/>
    </row>
    <row r="56" ht="13.5" customHeight="1">
      <c r="A56" s="131"/>
      <c r="B56" s="132">
        <f>IF(Z48="","",MROUND(Z48*0.85,'Start-Options'!B38))</f>
        <v>77.5</v>
      </c>
      <c r="C56" s="132">
        <f>IF(Z48="","",ROUND((37-36*B56/(Z48+'Start-Options'!F35)),0))</f>
        <v>7</v>
      </c>
      <c r="D56" s="132">
        <f>IF(Z48="","",MROUND(B56*36/(37-C56),'Start-Options'!B38))</f>
        <v>92.5</v>
      </c>
      <c r="E56" s="133"/>
      <c r="F56" s="134" t="str">
        <f>IF(E56="","",MROUND(36*B56/(37-E56),'Start-Options'!B38))</f>
        <v/>
      </c>
      <c r="G56" s="135"/>
      <c r="H56" s="136"/>
      <c r="I56" s="137">
        <f>IF(Z48="","",MROUND(Z48*0.9,'Start-Options'!B38))</f>
        <v>80</v>
      </c>
      <c r="J56" s="132" t="str">
        <f>IF(F56="","",IF(F56&lt;Z48,ROUND((37-36*I56/(Z48+'Start-Options'!F35)),0),ROUND((37-36*I56/(F56+'Start-Options'!F35)),0)))</f>
        <v/>
      </c>
      <c r="K56" s="132" t="str">
        <f>IF(J56="","",MROUND(I56*36/(37-J56),'Start-Options'!B38))</f>
        <v/>
      </c>
      <c r="L56" s="133"/>
      <c r="M56" s="134" t="str">
        <f>IF(L56="","",MROUND(36*I56/(37-L56),'Start-Options'!B38))</f>
        <v/>
      </c>
      <c r="N56" s="135"/>
      <c r="O56" s="136"/>
      <c r="P56" s="136">
        <f>IF(Z48="","",MROUND(Z48*0.95,'Start-Options'!B38))</f>
        <v>85</v>
      </c>
      <c r="Q56" s="132" t="str">
        <f>IF(M56="","",IF(M56&lt;Z48,ROUND((37-36*P56/(Z48+'Start-Options'!F35)),0),ROUND((37-36*P56/(M56+'Start-Options'!F35)),0)))</f>
        <v/>
      </c>
      <c r="R56" s="135" t="str">
        <f>IF(Q56="","",MROUND(P56*36/(37-Q56),'Start-Options'!B38))</f>
        <v/>
      </c>
      <c r="S56" s="138"/>
      <c r="T56" s="139" t="str">
        <f>IF(S56="","",MROUND(36*P56/(37-S56),'Start-Options'!B38))</f>
        <v/>
      </c>
      <c r="U56" s="135"/>
      <c r="V56" s="136"/>
      <c r="W56" s="140">
        <f>IF(Z48="","",MROUND(Z48*0.6,'Start-Options'!B38))</f>
        <v>55</v>
      </c>
      <c r="X56" s="27"/>
      <c r="Y56" s="27"/>
      <c r="Z56" s="27"/>
      <c r="AA56" s="27"/>
      <c r="AB56" s="27"/>
      <c r="AC56" s="27"/>
    </row>
    <row r="57" ht="12.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row>
    <row r="58" ht="21.0" customHeight="1">
      <c r="A58" s="27"/>
      <c r="B58" s="27"/>
      <c r="C58" s="27"/>
      <c r="D58" s="27"/>
      <c r="E58" s="27"/>
      <c r="F58" s="27"/>
      <c r="G58" s="27"/>
      <c r="H58" s="27"/>
      <c r="I58" s="27"/>
      <c r="J58" s="27"/>
      <c r="K58" s="27"/>
      <c r="L58" s="27"/>
      <c r="M58" s="86" t="s">
        <v>112</v>
      </c>
      <c r="N58" s="160"/>
      <c r="O58" s="27"/>
      <c r="P58" s="27"/>
      <c r="Q58" s="27"/>
      <c r="R58" s="27"/>
      <c r="S58" s="27"/>
      <c r="T58" s="27"/>
      <c r="U58" s="27"/>
      <c r="V58" s="27"/>
      <c r="W58" s="27"/>
      <c r="X58" s="27"/>
      <c r="Y58" s="27"/>
      <c r="Z58" s="27"/>
      <c r="AA58" s="27"/>
      <c r="AB58" s="27"/>
      <c r="AC58" s="27"/>
    </row>
    <row r="59" ht="15.75" customHeight="1">
      <c r="A59" s="88"/>
      <c r="B59" s="91"/>
      <c r="C59" s="89" t="s">
        <v>113</v>
      </c>
      <c r="D59" s="91"/>
      <c r="E59" s="91"/>
      <c r="F59" s="91"/>
      <c r="G59" s="91"/>
      <c r="H59" s="91"/>
      <c r="I59" s="92"/>
      <c r="J59" s="89" t="s">
        <v>114</v>
      </c>
      <c r="K59" s="91"/>
      <c r="L59" s="91"/>
      <c r="M59" s="91"/>
      <c r="N59" s="91"/>
      <c r="O59" s="91"/>
      <c r="P59" s="91"/>
      <c r="Q59" s="89" t="s">
        <v>115</v>
      </c>
      <c r="R59" s="91"/>
      <c r="S59" s="91"/>
      <c r="T59" s="91"/>
      <c r="U59" s="91"/>
      <c r="V59" s="93" t="s">
        <v>116</v>
      </c>
      <c r="W59" s="94"/>
      <c r="X59" s="27"/>
      <c r="Y59" s="27"/>
      <c r="Z59" s="27"/>
      <c r="AA59" s="27"/>
      <c r="AB59" s="27"/>
      <c r="AC59" s="27"/>
    </row>
    <row r="60" ht="27.75" customHeight="1">
      <c r="A60" s="95"/>
      <c r="B60" s="96" t="s">
        <v>26</v>
      </c>
      <c r="C60" s="97" t="s">
        <v>88</v>
      </c>
      <c r="D60" s="97" t="s">
        <v>89</v>
      </c>
      <c r="E60" s="97" t="s">
        <v>90</v>
      </c>
      <c r="F60" s="96" t="s">
        <v>91</v>
      </c>
      <c r="G60" s="27"/>
      <c r="H60" s="98"/>
      <c r="I60" s="96" t="s">
        <v>26</v>
      </c>
      <c r="J60" s="97" t="s">
        <v>88</v>
      </c>
      <c r="K60" s="97" t="s">
        <v>89</v>
      </c>
      <c r="L60" s="97" t="s">
        <v>90</v>
      </c>
      <c r="M60" s="96" t="s">
        <v>91</v>
      </c>
      <c r="N60" s="27"/>
      <c r="O60" s="98"/>
      <c r="P60" s="96" t="s">
        <v>26</v>
      </c>
      <c r="Q60" s="97" t="s">
        <v>88</v>
      </c>
      <c r="R60" s="97" t="s">
        <v>89</v>
      </c>
      <c r="S60" s="97" t="s">
        <v>90</v>
      </c>
      <c r="T60" s="96" t="s">
        <v>91</v>
      </c>
      <c r="U60" s="27"/>
      <c r="V60" s="99"/>
      <c r="W60" s="159" t="s">
        <v>26</v>
      </c>
      <c r="X60" s="27"/>
      <c r="Y60" s="101" t="s">
        <v>117</v>
      </c>
      <c r="Z60" s="71"/>
      <c r="AA60" s="141"/>
      <c r="AB60" s="142" t="s">
        <v>104</v>
      </c>
      <c r="AC60" s="143" t="s">
        <v>105</v>
      </c>
    </row>
    <row r="61" ht="12.75" customHeight="1">
      <c r="A61" s="102"/>
      <c r="B61" s="103">
        <f>IF(Z61="","",MROUND(Z61*0.65,'Start-Options'!B38))</f>
        <v>37.5</v>
      </c>
      <c r="C61" s="103"/>
      <c r="D61" s="103"/>
      <c r="E61" s="103"/>
      <c r="F61" s="104"/>
      <c r="G61" s="105"/>
      <c r="H61" s="106"/>
      <c r="I61" s="107">
        <f>IF(Z61="","",MROUND(Z61*0.7,'Start-Options'!B38))</f>
        <v>40</v>
      </c>
      <c r="J61" s="103"/>
      <c r="K61" s="103"/>
      <c r="L61" s="103"/>
      <c r="M61" s="104"/>
      <c r="N61" s="105"/>
      <c r="O61" s="106"/>
      <c r="P61" s="106">
        <f>IF(Z61="","",MROUND(Z61*0.75,'Start-Options'!B38))</f>
        <v>42.5</v>
      </c>
      <c r="Q61" s="108"/>
      <c r="R61" s="108"/>
      <c r="S61" s="108"/>
      <c r="T61" s="109"/>
      <c r="U61" s="105"/>
      <c r="V61" s="106"/>
      <c r="W61" s="110">
        <f>IF(Z61="","",MROUND(Z61*0.4,'Start-Options'!B38))</f>
        <v>22.5</v>
      </c>
      <c r="X61" s="27"/>
      <c r="Y61" s="37" t="str">
        <f>'Start-Options'!B4</f>
        <v>Military</v>
      </c>
      <c r="Z61" s="106">
        <f>IF(Z45="","",IF(ISTEXT(AB45),Z45-AC45,Z45+'Start-Options'!C32))</f>
        <v>57.5</v>
      </c>
      <c r="AA61" s="146"/>
      <c r="AB61" s="36"/>
      <c r="AC61" s="147"/>
    </row>
    <row r="62" ht="12.75" customHeight="1">
      <c r="A62" s="111" t="str">
        <f>'Start-Options'!B4</f>
        <v>Military</v>
      </c>
      <c r="B62" s="112">
        <f>IF(Z61="","",MROUND(Z61*0.75,'Start-Options'!B38))</f>
        <v>42.5</v>
      </c>
      <c r="C62" s="112"/>
      <c r="D62" s="112"/>
      <c r="E62" s="112"/>
      <c r="F62" s="113"/>
      <c r="G62" s="105"/>
      <c r="H62" s="114" t="str">
        <f>'Start-Options'!B4</f>
        <v>Military</v>
      </c>
      <c r="I62" s="115">
        <f>IF(Z61="","",MROUND(Z61*0.8,'Start-Options'!B38))</f>
        <v>45</v>
      </c>
      <c r="J62" s="112"/>
      <c r="K62" s="112"/>
      <c r="L62" s="112"/>
      <c r="M62" s="113"/>
      <c r="N62" s="105"/>
      <c r="O62" s="114" t="str">
        <f>'Start-Options'!B4</f>
        <v>Military</v>
      </c>
      <c r="P62" s="114">
        <f>IF(Z61="","",MROUND(Z61*0.85,'Start-Options'!B38))</f>
        <v>50</v>
      </c>
      <c r="Q62" s="105"/>
      <c r="R62" s="105"/>
      <c r="S62" s="105"/>
      <c r="T62" s="116"/>
      <c r="U62" s="105"/>
      <c r="V62" s="114" t="str">
        <f>'Start-Options'!B4</f>
        <v>Military</v>
      </c>
      <c r="W62" s="117">
        <f>IF(Z61="","",MROUND(Z61*0.5,'Start-Options'!B38))</f>
        <v>30</v>
      </c>
      <c r="X62" s="27"/>
      <c r="Y62" s="118" t="str">
        <f>'Start-Options'!B5</f>
        <v>Deadlift</v>
      </c>
      <c r="Z62" s="114">
        <f>IF(Z46="","",IF(ISTEXT(AB46),Z46-AC46,Z46+'Start-Options'!C33))</f>
        <v>125</v>
      </c>
      <c r="AA62" s="150"/>
      <c r="AB62" s="151"/>
      <c r="AC62" s="147"/>
    </row>
    <row r="63" ht="12.75" customHeight="1">
      <c r="A63" s="119"/>
      <c r="B63" s="120">
        <f>IF(Z61="","",MROUND(Z61*0.85,'Start-Options'!B38))</f>
        <v>50</v>
      </c>
      <c r="C63" s="120">
        <f>IF(Z61="","",ROUND((37-36*B63/(Z61+'Start-Options'!F32)),0))</f>
        <v>7</v>
      </c>
      <c r="D63" s="120">
        <f>IF(Z61="","",MROUND(B63*36/(37-C63),'Start-Options'!B38))</f>
        <v>60</v>
      </c>
      <c r="E63" s="121"/>
      <c r="F63" s="122" t="str">
        <f>IF(E63="","",MROUND(36*B63/(37-E63),'Start-Options'!B38))</f>
        <v/>
      </c>
      <c r="G63" s="105"/>
      <c r="H63" s="123"/>
      <c r="I63" s="124">
        <f>IF(Z61="","",MROUND(Z61*0.9,'Start-Options'!B38))</f>
        <v>52.5</v>
      </c>
      <c r="J63" s="120" t="str">
        <f>IF(F63="","",IF(F63&lt;Z61,ROUND((37-36*I63/(Z61+'Start-Options'!F32)),0),ROUND((37-36*I63/(F63+'Start-Options'!F32)),0)))</f>
        <v/>
      </c>
      <c r="K63" s="120" t="str">
        <f>IF(J63="","",MROUND(I63*36/(37-J63),'Start-Options'!B38))</f>
        <v/>
      </c>
      <c r="L63" s="121"/>
      <c r="M63" s="122" t="str">
        <f>IF(L63="","",MROUND(36*I63/(37-L63),'Start-Options'!B38))</f>
        <v/>
      </c>
      <c r="N63" s="105"/>
      <c r="O63" s="123"/>
      <c r="P63" s="123">
        <f>IF(Z61="","",MROUND(Z61*0.95,'Start-Options'!B38))</f>
        <v>55</v>
      </c>
      <c r="Q63" s="120" t="str">
        <f>IF(M63="","",IF(M63&lt;Z61,ROUND((37-36*P63/(Z61+'Start-Options'!F32)),0),ROUND((37-36*P63/(M63+'Start-Options'!F32)),0)))</f>
        <v/>
      </c>
      <c r="R63" s="125" t="str">
        <f>IF(Q63="","",MROUND(P63*36/(37-Q63),'Start-Options'!B38))</f>
        <v/>
      </c>
      <c r="S63" s="126"/>
      <c r="T63" s="127" t="str">
        <f>IF(S63="","",MROUND(36*P63/(37-S63),'Start-Options'!B38))</f>
        <v/>
      </c>
      <c r="U63" s="105"/>
      <c r="V63" s="123"/>
      <c r="W63" s="128">
        <f>IF(Z61="","",MROUND(Z61*0.6,'Start-Options'!B38))</f>
        <v>35</v>
      </c>
      <c r="X63" s="27"/>
      <c r="Y63" s="118" t="str">
        <f>'Start-Options'!B6</f>
        <v>Bench</v>
      </c>
      <c r="Z63" s="114">
        <f>IF(Z47="","",IF(ISTEXT(AB47),Z47-AC47,Z47+'Start-Options'!C34))</f>
        <v>77.5</v>
      </c>
      <c r="AA63" s="150"/>
      <c r="AB63" s="151"/>
      <c r="AC63" s="147"/>
    </row>
    <row r="64" ht="12.75" customHeight="1">
      <c r="A64" s="102"/>
      <c r="B64" s="103">
        <f>IF(Z62="","",MROUND(Z62*0.65,'Start-Options'!B38))</f>
        <v>82.5</v>
      </c>
      <c r="C64" s="103"/>
      <c r="D64" s="103"/>
      <c r="E64" s="103"/>
      <c r="F64" s="104"/>
      <c r="G64" s="105"/>
      <c r="H64" s="106"/>
      <c r="I64" s="107">
        <f>IF(Z62="","",MROUND(Z62*0.7,'Start-Options'!B38))</f>
        <v>87.5</v>
      </c>
      <c r="J64" s="103"/>
      <c r="K64" s="103"/>
      <c r="L64" s="103"/>
      <c r="M64" s="104"/>
      <c r="N64" s="105"/>
      <c r="O64" s="106"/>
      <c r="P64" s="106">
        <f>IF(Z62="","",MROUND(Z62*0.75,'Start-Options'!B38))</f>
        <v>95</v>
      </c>
      <c r="Q64" s="108"/>
      <c r="R64" s="108"/>
      <c r="S64" s="108"/>
      <c r="T64" s="109"/>
      <c r="U64" s="105"/>
      <c r="V64" s="106"/>
      <c r="W64" s="110">
        <f>IF(Z62="","",MROUND(Z62*0.4,'Start-Options'!B38))</f>
        <v>50</v>
      </c>
      <c r="X64" s="27"/>
      <c r="Y64" s="129" t="str">
        <f>'Start-Options'!B7</f>
        <v>Squat</v>
      </c>
      <c r="Z64" s="123">
        <f>IF(Z48="","",IF(ISTEXT(AB48),Z48-AC48,Z48+'Start-Options'!C35))</f>
        <v>95</v>
      </c>
      <c r="AA64" s="153"/>
      <c r="AB64" s="154"/>
      <c r="AC64" s="155"/>
    </row>
    <row r="65" ht="12.75" customHeight="1">
      <c r="A65" s="111" t="str">
        <f>'Start-Options'!B5</f>
        <v>Deadlift</v>
      </c>
      <c r="B65" s="112">
        <f>IF(Z62="","",MROUND(Z62*0.75,'Start-Options'!B38))</f>
        <v>95</v>
      </c>
      <c r="C65" s="112"/>
      <c r="D65" s="112"/>
      <c r="E65" s="112"/>
      <c r="F65" s="113"/>
      <c r="G65" s="105"/>
      <c r="H65" s="114" t="str">
        <f>'Start-Options'!B5</f>
        <v>Deadlift</v>
      </c>
      <c r="I65" s="115">
        <f>IF(Z62="","",MROUND(Z62*0.8,'Start-Options'!B38))</f>
        <v>100</v>
      </c>
      <c r="J65" s="112"/>
      <c r="K65" s="112"/>
      <c r="L65" s="112"/>
      <c r="M65" s="113"/>
      <c r="N65" s="105"/>
      <c r="O65" s="114" t="str">
        <f>'Start-Options'!B5</f>
        <v>Deadlift</v>
      </c>
      <c r="P65" s="114">
        <f>IF(Z62="","",MROUND(Z62*0.85,'Start-Options'!B38))</f>
        <v>107.5</v>
      </c>
      <c r="Q65" s="105"/>
      <c r="R65" s="105"/>
      <c r="S65" s="105"/>
      <c r="T65" s="116"/>
      <c r="U65" s="105"/>
      <c r="V65" s="114" t="str">
        <f>'Start-Options'!B5</f>
        <v>Deadlift</v>
      </c>
      <c r="W65" s="117">
        <f>IF(Z62="","",MROUND(Z62*0.5,'Start-Options'!B38))</f>
        <v>62.5</v>
      </c>
      <c r="X65" s="27"/>
      <c r="Y65" s="27"/>
      <c r="Z65" s="27"/>
      <c r="AA65" s="27"/>
      <c r="AB65" s="27"/>
      <c r="AC65" s="27"/>
    </row>
    <row r="66" ht="12.75" customHeight="1">
      <c r="A66" s="130"/>
      <c r="B66" s="120">
        <f>IF(Z62="","",MROUND(Z62*0.85,'Start-Options'!B38))</f>
        <v>107.5</v>
      </c>
      <c r="C66" s="120">
        <f>IF(Z62="","",ROUND((37-36*B66/(Z62+'Start-Options'!F33)),0))</f>
        <v>7</v>
      </c>
      <c r="D66" s="120">
        <f>IF(Z62="","",MROUND(B66*36/(37-C66),'Start-Options'!B38))</f>
        <v>130</v>
      </c>
      <c r="E66" s="121"/>
      <c r="F66" s="122" t="str">
        <f>IF(E66="","",MROUND(36*B66/(37-E66),'Start-Options'!B38))</f>
        <v/>
      </c>
      <c r="G66" s="105"/>
      <c r="H66" s="123"/>
      <c r="I66" s="124">
        <f>IF(Z62="","",MROUND(Z62*0.9,'Start-Options'!B38))</f>
        <v>112.5</v>
      </c>
      <c r="J66" s="120" t="str">
        <f>IF(F66="","",IF(F66&lt;Z62,ROUND((37-36*I66/(Z62+'Start-Options'!F33)),0),ROUND((37-36*I66/(F66+'Start-Options'!F33)),0)))</f>
        <v/>
      </c>
      <c r="K66" s="120" t="str">
        <f>IF(J66="","",MROUND(I66*36/(37-J66),'Start-Options'!B38))</f>
        <v/>
      </c>
      <c r="L66" s="121"/>
      <c r="M66" s="122" t="str">
        <f>IF(L66="","",MROUND(36*I66/(37-L66),'Start-Options'!B38))</f>
        <v/>
      </c>
      <c r="N66" s="105"/>
      <c r="O66" s="123"/>
      <c r="P66" s="123">
        <f>IF(Z62="","",MROUND(Z62*0.95,'Start-Options'!B38))</f>
        <v>120</v>
      </c>
      <c r="Q66" s="120" t="str">
        <f>IF(M66="","",IF(M66&lt;Z62,ROUND((37-36*P66/(Z62+'Start-Options'!F33)),0),ROUND((37-36*P66/(M66+'Start-Options'!F33)),0)))</f>
        <v/>
      </c>
      <c r="R66" s="125" t="str">
        <f>IF(Q66="","",MROUND(P66*36/(37-Q66),'Start-Options'!B38))</f>
        <v/>
      </c>
      <c r="S66" s="126"/>
      <c r="T66" s="127" t="str">
        <f>IF(S66="","",MROUND(36*P66/(37-S66),'Start-Options'!B38))</f>
        <v/>
      </c>
      <c r="U66" s="105"/>
      <c r="V66" s="123"/>
      <c r="W66" s="128">
        <f>IF(Z62="","",MROUND(Z62*0.6,'Start-Options'!B38))</f>
        <v>75</v>
      </c>
      <c r="X66" s="27"/>
      <c r="Y66" s="70" t="s">
        <v>93</v>
      </c>
      <c r="Z66" s="71"/>
      <c r="AA66" s="27"/>
      <c r="AB66" s="27"/>
      <c r="AC66" s="27"/>
    </row>
    <row r="67" ht="12.75" customHeight="1">
      <c r="A67" s="102"/>
      <c r="B67" s="103">
        <f>IF(Z63="","",MROUND(Z63*0.65,'Start-Options'!B38))</f>
        <v>50</v>
      </c>
      <c r="C67" s="103"/>
      <c r="D67" s="103"/>
      <c r="E67" s="103"/>
      <c r="F67" s="104"/>
      <c r="G67" s="105"/>
      <c r="H67" s="106"/>
      <c r="I67" s="107">
        <f>IF(Z63="","",MROUND(Z63*0.7,'Start-Options'!B38))</f>
        <v>55</v>
      </c>
      <c r="J67" s="103"/>
      <c r="K67" s="103"/>
      <c r="L67" s="103"/>
      <c r="M67" s="104"/>
      <c r="N67" s="105"/>
      <c r="O67" s="106"/>
      <c r="P67" s="106">
        <f>IF(Z63="","",MROUND(Z63*0.75,'Start-Options'!B38))</f>
        <v>57.5</v>
      </c>
      <c r="Q67" s="108"/>
      <c r="R67" s="108"/>
      <c r="S67" s="108"/>
      <c r="T67" s="109"/>
      <c r="U67" s="105"/>
      <c r="V67" s="106"/>
      <c r="W67" s="110">
        <f>IF(Z63="","",MROUND(Z63*0.4,'Start-Options'!B38))</f>
        <v>30</v>
      </c>
      <c r="X67" s="27"/>
      <c r="Y67" s="25" t="s">
        <v>94</v>
      </c>
      <c r="Z67" s="74">
        <v>90.0</v>
      </c>
      <c r="AA67" s="27"/>
      <c r="AB67" s="27"/>
      <c r="AC67" s="27"/>
    </row>
    <row r="68" ht="12.75" customHeight="1">
      <c r="A68" s="111" t="str">
        <f>'Start-Options'!B6</f>
        <v>Bench</v>
      </c>
      <c r="B68" s="112">
        <f>IF(Z63="","",MROUND(Z63*0.75,'Start-Options'!B38))</f>
        <v>57.5</v>
      </c>
      <c r="C68" s="112"/>
      <c r="D68" s="112"/>
      <c r="E68" s="112"/>
      <c r="F68" s="113"/>
      <c r="G68" s="105"/>
      <c r="H68" s="114" t="str">
        <f>'Start-Options'!B6</f>
        <v>Bench</v>
      </c>
      <c r="I68" s="115">
        <f>IF(Z63="","",MROUND(Z63*0.8,'Start-Options'!B38))</f>
        <v>62.5</v>
      </c>
      <c r="J68" s="112"/>
      <c r="K68" s="112"/>
      <c r="L68" s="112"/>
      <c r="M68" s="113"/>
      <c r="N68" s="105"/>
      <c r="O68" s="114" t="str">
        <f>'Start-Options'!B6</f>
        <v>Bench</v>
      </c>
      <c r="P68" s="114">
        <f>IF(Z63="","",MROUND(Z63*0.85,'Start-Options'!B38))</f>
        <v>65</v>
      </c>
      <c r="Q68" s="105"/>
      <c r="R68" s="105"/>
      <c r="S68" s="105"/>
      <c r="T68" s="116"/>
      <c r="U68" s="105"/>
      <c r="V68" s="114" t="str">
        <f>'Start-Options'!B6</f>
        <v>Bench</v>
      </c>
      <c r="W68" s="117">
        <f>IF(Z63="","",MROUND(Z63*0.5,'Start-Options'!B38))</f>
        <v>40</v>
      </c>
      <c r="X68" s="27"/>
      <c r="Y68" s="77" t="s">
        <v>95</v>
      </c>
      <c r="Z68" s="78">
        <f>IF(Z67="","",MROUND(Z67*0.4,'Start-Options'!$B$38))</f>
        <v>35</v>
      </c>
      <c r="AA68" s="27"/>
      <c r="AB68" s="27"/>
      <c r="AC68" s="27"/>
    </row>
    <row r="69" ht="12.75" customHeight="1">
      <c r="A69" s="119"/>
      <c r="B69" s="120">
        <f>IF(Z63="","",MROUND(Z63*0.85,'Start-Options'!B38))</f>
        <v>65</v>
      </c>
      <c r="C69" s="120">
        <f>IF(Z63="","",ROUND((37-36*B69/(Z63+'Start-Options'!F34)),0))</f>
        <v>8</v>
      </c>
      <c r="D69" s="120">
        <f>IF(Z63="","",MROUND(B69*36/(37-C69),'Start-Options'!B38))</f>
        <v>80</v>
      </c>
      <c r="E69" s="121"/>
      <c r="F69" s="122" t="str">
        <f>IF(E69="","",MROUND(36*B69/(37-E69),'Start-Options'!B38))</f>
        <v/>
      </c>
      <c r="G69" s="105"/>
      <c r="H69" s="123"/>
      <c r="I69" s="124">
        <f>IF(Z63="","",MROUND(Z63*0.9,'Start-Options'!B38))</f>
        <v>70</v>
      </c>
      <c r="J69" s="120" t="str">
        <f>IF(F69="","",IF(F69&lt;Z63,ROUND((37-36*I69/(Z63+'Start-Options'!F34)),0),ROUND((37-36*I69/(F69+'Start-Options'!F34)),0)))</f>
        <v/>
      </c>
      <c r="K69" s="120" t="str">
        <f>IF(J69="","",MROUND(I69*36/(37-J69),'Start-Options'!B38))</f>
        <v/>
      </c>
      <c r="L69" s="121"/>
      <c r="M69" s="122" t="str">
        <f>IF(L69="","",MROUND(36*I69/(37-L69),'Start-Options'!B38))</f>
        <v/>
      </c>
      <c r="N69" s="105"/>
      <c r="O69" s="123"/>
      <c r="P69" s="123">
        <f>IF(Z63="","",MROUND(Z63*0.95,'Start-Options'!B38))</f>
        <v>72.5</v>
      </c>
      <c r="Q69" s="120" t="str">
        <f>IF(M69="","",IF(M69&lt;Z63,ROUND((37-36*P69/(Z63+'Start-Options'!F34)),0),ROUND((37-36*P69/(M69+'Start-Options'!F34)),0)))</f>
        <v/>
      </c>
      <c r="R69" s="125" t="str">
        <f>IF(Q69="","",MROUND(P69*36/(37-Q69),'Start-Options'!B38))</f>
        <v/>
      </c>
      <c r="S69" s="126"/>
      <c r="T69" s="127" t="str">
        <f>IF(S69="","",MROUND(36*P69/(37-S69),'Start-Options'!B38))</f>
        <v/>
      </c>
      <c r="U69" s="105"/>
      <c r="V69" s="123"/>
      <c r="W69" s="128">
        <f>IF(Z63="","",MROUND(Z63*0.6,'Start-Options'!B38))</f>
        <v>47.5</v>
      </c>
      <c r="X69" s="27"/>
      <c r="Y69" s="77" t="s">
        <v>96</v>
      </c>
      <c r="Z69" s="78">
        <f>IF(Z67="","",MROUND(Z67*0.5,'Start-Options'!$B$38))</f>
        <v>45</v>
      </c>
      <c r="AA69" s="27"/>
      <c r="AB69" s="27"/>
      <c r="AC69" s="27"/>
    </row>
    <row r="70" ht="12.75" customHeight="1">
      <c r="A70" s="111"/>
      <c r="B70" s="103">
        <f>IF(Z64="","",MROUND(Z64*0.65,'Start-Options'!B38))</f>
        <v>62.5</v>
      </c>
      <c r="C70" s="103"/>
      <c r="D70" s="103"/>
      <c r="E70" s="103"/>
      <c r="F70" s="104"/>
      <c r="G70" s="105"/>
      <c r="H70" s="106"/>
      <c r="I70" s="107">
        <f>IF(Z64="","",MROUND(Z64*0.7,'Start-Options'!B38))</f>
        <v>67.5</v>
      </c>
      <c r="J70" s="103"/>
      <c r="K70" s="103"/>
      <c r="L70" s="103"/>
      <c r="M70" s="104"/>
      <c r="N70" s="105"/>
      <c r="O70" s="106"/>
      <c r="P70" s="106">
        <f>IF(Z64="","",MROUND(Z64*0.75,'Start-Options'!B38))</f>
        <v>72.5</v>
      </c>
      <c r="Q70" s="108"/>
      <c r="R70" s="108"/>
      <c r="S70" s="108"/>
      <c r="T70" s="109"/>
      <c r="U70" s="105"/>
      <c r="V70" s="106"/>
      <c r="W70" s="110">
        <f>IF(Z64="","",MROUND(Z64*0.4,'Start-Options'!B38))</f>
        <v>37.5</v>
      </c>
      <c r="X70" s="27"/>
      <c r="Y70" s="82" t="s">
        <v>97</v>
      </c>
      <c r="Z70" s="83">
        <f>IF(Z67="","",MROUND(Z67*0.6,'Start-Options'!$B$38))</f>
        <v>55</v>
      </c>
      <c r="AA70" s="27"/>
      <c r="AB70" s="27"/>
      <c r="AC70" s="27"/>
    </row>
    <row r="71" ht="12.75" customHeight="1">
      <c r="A71" s="111" t="str">
        <f>'Start-Options'!B7</f>
        <v>Squat</v>
      </c>
      <c r="B71" s="112">
        <f>IF(Z64="","",MROUND(Z64*0.75,'Start-Options'!B38))</f>
        <v>72.5</v>
      </c>
      <c r="C71" s="112"/>
      <c r="D71" s="112"/>
      <c r="E71" s="112"/>
      <c r="F71" s="113"/>
      <c r="G71" s="105"/>
      <c r="H71" s="114" t="str">
        <f>'Start-Options'!B7</f>
        <v>Squat</v>
      </c>
      <c r="I71" s="115">
        <f>IF(Z64="","",MROUND(Z64*0.8,'Start-Options'!B38))</f>
        <v>75</v>
      </c>
      <c r="J71" s="112"/>
      <c r="K71" s="112"/>
      <c r="L71" s="112"/>
      <c r="M71" s="113"/>
      <c r="N71" s="105"/>
      <c r="O71" s="114" t="str">
        <f>'Start-Options'!B7</f>
        <v>Squat</v>
      </c>
      <c r="P71" s="114">
        <f>IF(Z64="","",MROUND(Z64*0.85,'Start-Options'!B38))</f>
        <v>80</v>
      </c>
      <c r="Q71" s="105"/>
      <c r="R71" s="105"/>
      <c r="S71" s="105"/>
      <c r="T71" s="116"/>
      <c r="U71" s="105"/>
      <c r="V71" s="114" t="str">
        <f>'Start-Options'!B7</f>
        <v>Squat</v>
      </c>
      <c r="W71" s="117">
        <f>IF(Z64="","",MROUND(Z64*0.5,'Start-Options'!B38))</f>
        <v>47.5</v>
      </c>
      <c r="X71" s="27"/>
      <c r="Y71" s="27"/>
      <c r="Z71" s="27"/>
      <c r="AA71" s="27"/>
      <c r="AB71" s="27"/>
      <c r="AC71" s="27"/>
    </row>
    <row r="72" ht="13.5" customHeight="1">
      <c r="A72" s="131"/>
      <c r="B72" s="132">
        <f>IF(Z64="","",MROUND(Z64*0.85,'Start-Options'!B38))</f>
        <v>80</v>
      </c>
      <c r="C72" s="132">
        <f>IF(Z64="","",ROUND((37-36*B72/(Z64+'Start-Options'!F35)),0))</f>
        <v>7</v>
      </c>
      <c r="D72" s="132">
        <f>IF(Z64="","",MROUND(B72*36/(37-C72),'Start-Options'!B38))</f>
        <v>95</v>
      </c>
      <c r="E72" s="133"/>
      <c r="F72" s="134" t="str">
        <f>IF(E72="","",MROUND(36*B72/(37-E72),'Start-Options'!B38))</f>
        <v/>
      </c>
      <c r="G72" s="135"/>
      <c r="H72" s="136"/>
      <c r="I72" s="137">
        <f>IF(Z64="","",MROUND(Z64*0.9,'Start-Options'!B38))</f>
        <v>85</v>
      </c>
      <c r="J72" s="132" t="str">
        <f>IF(F72="","",IF(F72&lt;Z64,ROUND((37-36*I72/(Z64+'Start-Options'!F35)),0),ROUND((37-36*I72/(F72+'Start-Options'!F35)),0)))</f>
        <v/>
      </c>
      <c r="K72" s="132" t="str">
        <f>IF(J72="","",MROUND(I72*36/(37-J72),'Start-Options'!B38))</f>
        <v/>
      </c>
      <c r="L72" s="133"/>
      <c r="M72" s="134" t="str">
        <f>IF(L72="","",MROUND(36*I72/(37-L72),'Start-Options'!B38))</f>
        <v/>
      </c>
      <c r="N72" s="135"/>
      <c r="O72" s="136"/>
      <c r="P72" s="136">
        <f>IF(Z64="","",MROUND(Z64*0.95,'Start-Options'!B38))</f>
        <v>90</v>
      </c>
      <c r="Q72" s="132" t="str">
        <f>IF(M72="","",IF(M72&lt;Z64,ROUND((37-36*P72/(Z64+'Start-Options'!F35)),0),ROUND((37-36*P72/(M72+'Start-Options'!F35)),0)))</f>
        <v/>
      </c>
      <c r="R72" s="135" t="str">
        <f>IF(Q72="","",MROUND(P72*36/(37-Q72),'Start-Options'!B38))</f>
        <v/>
      </c>
      <c r="S72" s="138"/>
      <c r="T72" s="139" t="str">
        <f>IF(S72="","",MROUND(36*P72/(37-S72),'Start-Options'!B38))</f>
        <v/>
      </c>
      <c r="U72" s="135"/>
      <c r="V72" s="136"/>
      <c r="W72" s="140">
        <f>IF(Z64="","",MROUND(Z64*0.6,'Start-Options'!B38))</f>
        <v>57.5</v>
      </c>
      <c r="X72" s="27"/>
      <c r="Y72" s="27"/>
      <c r="Z72" s="27"/>
      <c r="AA72" s="27"/>
      <c r="AB72" s="27"/>
      <c r="AC72" s="27"/>
    </row>
    <row r="73" ht="12.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row>
    <row r="74" ht="21.0" customHeight="1">
      <c r="A74" s="27"/>
      <c r="B74" s="27"/>
      <c r="C74" s="27"/>
      <c r="D74" s="27"/>
      <c r="E74" s="27"/>
      <c r="F74" s="27"/>
      <c r="G74" s="27"/>
      <c r="H74" s="27"/>
      <c r="I74" s="27"/>
      <c r="J74" s="27"/>
      <c r="K74" s="27"/>
      <c r="L74" s="27"/>
      <c r="M74" s="86" t="s">
        <v>118</v>
      </c>
      <c r="N74" s="160"/>
      <c r="O74" s="27"/>
      <c r="P74" s="27"/>
      <c r="Q74" s="27"/>
      <c r="R74" s="27"/>
      <c r="S74" s="27"/>
      <c r="T74" s="27"/>
      <c r="U74" s="27"/>
      <c r="V74" s="27"/>
      <c r="W74" s="27"/>
      <c r="X74" s="27"/>
      <c r="Y74" s="27"/>
      <c r="Z74" s="27"/>
      <c r="AA74" s="27"/>
      <c r="AB74" s="27"/>
      <c r="AC74" s="27"/>
    </row>
    <row r="75" ht="15.75" customHeight="1">
      <c r="A75" s="88"/>
      <c r="B75" s="91"/>
      <c r="C75" s="89" t="s">
        <v>119</v>
      </c>
      <c r="D75" s="91"/>
      <c r="E75" s="91"/>
      <c r="F75" s="91"/>
      <c r="G75" s="91"/>
      <c r="H75" s="91"/>
      <c r="I75" s="92"/>
      <c r="J75" s="89" t="s">
        <v>120</v>
      </c>
      <c r="K75" s="91"/>
      <c r="L75" s="91"/>
      <c r="M75" s="91"/>
      <c r="N75" s="91"/>
      <c r="O75" s="91"/>
      <c r="P75" s="91"/>
      <c r="Q75" s="89" t="s">
        <v>121</v>
      </c>
      <c r="R75" s="91"/>
      <c r="S75" s="91"/>
      <c r="T75" s="91"/>
      <c r="U75" s="91"/>
      <c r="V75" s="93" t="s">
        <v>122</v>
      </c>
      <c r="W75" s="94"/>
      <c r="X75" s="27"/>
      <c r="Y75" s="27"/>
      <c r="Z75" s="27"/>
      <c r="AA75" s="27"/>
      <c r="AB75" s="27"/>
      <c r="AC75" s="27"/>
    </row>
    <row r="76" ht="32.25" customHeight="1">
      <c r="A76" s="95"/>
      <c r="B76" s="96" t="s">
        <v>26</v>
      </c>
      <c r="C76" s="97" t="s">
        <v>88</v>
      </c>
      <c r="D76" s="97" t="s">
        <v>89</v>
      </c>
      <c r="E76" s="97" t="s">
        <v>90</v>
      </c>
      <c r="F76" s="96" t="s">
        <v>91</v>
      </c>
      <c r="G76" s="27"/>
      <c r="H76" s="98"/>
      <c r="I76" s="96" t="s">
        <v>26</v>
      </c>
      <c r="J76" s="97" t="s">
        <v>88</v>
      </c>
      <c r="K76" s="97" t="s">
        <v>89</v>
      </c>
      <c r="L76" s="97" t="s">
        <v>90</v>
      </c>
      <c r="M76" s="96" t="s">
        <v>91</v>
      </c>
      <c r="N76" s="27"/>
      <c r="O76" s="98"/>
      <c r="P76" s="96" t="s">
        <v>26</v>
      </c>
      <c r="Q76" s="97" t="s">
        <v>88</v>
      </c>
      <c r="R76" s="97" t="s">
        <v>89</v>
      </c>
      <c r="S76" s="97" t="s">
        <v>90</v>
      </c>
      <c r="T76" s="96" t="s">
        <v>91</v>
      </c>
      <c r="U76" s="27"/>
      <c r="V76" s="99"/>
      <c r="W76" s="159" t="s">
        <v>26</v>
      </c>
      <c r="X76" s="27"/>
      <c r="Y76" s="101" t="s">
        <v>123</v>
      </c>
      <c r="Z76" s="71"/>
      <c r="AA76" s="141"/>
      <c r="AB76" s="142" t="s">
        <v>104</v>
      </c>
      <c r="AC76" s="143" t="s">
        <v>105</v>
      </c>
    </row>
    <row r="77" ht="12.75" customHeight="1">
      <c r="A77" s="102"/>
      <c r="B77" s="103">
        <f>IF(Z77="","",MROUND(Z77*0.65,'Start-Options'!B38))</f>
        <v>40</v>
      </c>
      <c r="C77" s="103"/>
      <c r="D77" s="103"/>
      <c r="E77" s="103"/>
      <c r="F77" s="104"/>
      <c r="G77" s="105"/>
      <c r="H77" s="106"/>
      <c r="I77" s="107">
        <f>IF(Z77="","",MROUND(Z77*0.7,'Start-Options'!B38))</f>
        <v>42.5</v>
      </c>
      <c r="J77" s="103"/>
      <c r="K77" s="103"/>
      <c r="L77" s="103"/>
      <c r="M77" s="104"/>
      <c r="N77" s="105"/>
      <c r="O77" s="106"/>
      <c r="P77" s="106">
        <f>IF(Z77="","",MROUND(Z77*0.75,'Start-Options'!B38))</f>
        <v>45</v>
      </c>
      <c r="Q77" s="108"/>
      <c r="R77" s="108"/>
      <c r="S77" s="108"/>
      <c r="T77" s="109"/>
      <c r="U77" s="105"/>
      <c r="V77" s="106"/>
      <c r="W77" s="110">
        <f>IF(Z77="","",MROUND(Z77*0.4,'Start-Options'!B38))</f>
        <v>25</v>
      </c>
      <c r="X77" s="27"/>
      <c r="Y77" s="37" t="str">
        <f>'Start-Options'!B4</f>
        <v>Military</v>
      </c>
      <c r="Z77" s="106">
        <f>IF(Z61="","",IF(ISTEXT(AB61),Z61-AC61,Z61+'Start-Options'!C32))</f>
        <v>60</v>
      </c>
      <c r="AA77" s="146"/>
      <c r="AB77" s="36"/>
      <c r="AC77" s="147"/>
    </row>
    <row r="78" ht="12.75" customHeight="1">
      <c r="A78" s="111" t="str">
        <f>'Start-Options'!B4</f>
        <v>Military</v>
      </c>
      <c r="B78" s="112">
        <f>IF(Z77="","",MROUND(Z77*0.75,'Start-Options'!B38))</f>
        <v>45</v>
      </c>
      <c r="C78" s="112"/>
      <c r="D78" s="112"/>
      <c r="E78" s="112"/>
      <c r="F78" s="113"/>
      <c r="G78" s="105"/>
      <c r="H78" s="114" t="str">
        <f>'Start-Options'!B4</f>
        <v>Military</v>
      </c>
      <c r="I78" s="115">
        <f>IF(Z77="","",MROUND(Z77*0.8,'Start-Options'!B38))</f>
        <v>47.5</v>
      </c>
      <c r="J78" s="112"/>
      <c r="K78" s="112"/>
      <c r="L78" s="112"/>
      <c r="M78" s="113"/>
      <c r="N78" s="105"/>
      <c r="O78" s="114" t="str">
        <f>'Start-Options'!B4</f>
        <v>Military</v>
      </c>
      <c r="P78" s="114">
        <f>IF(Z77="","",MROUND(Z77*0.85,'Start-Options'!B38))</f>
        <v>50</v>
      </c>
      <c r="Q78" s="105"/>
      <c r="R78" s="105"/>
      <c r="S78" s="105"/>
      <c r="T78" s="116"/>
      <c r="U78" s="105"/>
      <c r="V78" s="114" t="str">
        <f>'Start-Options'!B4</f>
        <v>Military</v>
      </c>
      <c r="W78" s="117">
        <f>IF(Z77="","",MROUND(Z77*0.5,'Start-Options'!B38))</f>
        <v>30</v>
      </c>
      <c r="X78" s="27"/>
      <c r="Y78" s="118" t="str">
        <f>'Start-Options'!B5</f>
        <v>Deadlift</v>
      </c>
      <c r="Z78" s="114">
        <f>IF(Z62="","",IF(ISTEXT(AB62),Z62-AC62,Z62+'Start-Options'!C33))</f>
        <v>130</v>
      </c>
      <c r="AA78" s="150"/>
      <c r="AB78" s="151"/>
      <c r="AC78" s="147"/>
    </row>
    <row r="79" ht="12.75" customHeight="1">
      <c r="A79" s="119"/>
      <c r="B79" s="120">
        <f>IF(Z77="","",MROUND(Z77*0.85,'Start-Options'!B38))</f>
        <v>50</v>
      </c>
      <c r="C79" s="120">
        <f>IF(Z77="","",ROUND((37-36*B79/(Z77+'Start-Options'!F32)),0))</f>
        <v>8</v>
      </c>
      <c r="D79" s="120">
        <f>IF(Z77="","",MROUND(B79*36/(37-C79),'Start-Options'!B38))</f>
        <v>62.5</v>
      </c>
      <c r="E79" s="121">
        <v>8.0</v>
      </c>
      <c r="F79" s="122">
        <f>IF(E79="","",MROUND(36*B79/(37-E79),'Start-Options'!B38))</f>
        <v>62.5</v>
      </c>
      <c r="G79" s="105"/>
      <c r="H79" s="123"/>
      <c r="I79" s="124">
        <f>IF(Z77="","",MROUND(Z77*0.9,'Start-Options'!B38))</f>
        <v>55</v>
      </c>
      <c r="J79" s="120">
        <f>IF(F79="","",IF(F79&lt;Z77,ROUND((37-36*I79/(Z77+'Start-Options'!F32)),0),ROUND((37-36*I79/(F79+'Start-Options'!F32)),0)))</f>
        <v>7</v>
      </c>
      <c r="K79" s="120">
        <f>IF(J79="","",MROUND(I79*36/(37-J79),'Start-Options'!B38))</f>
        <v>65</v>
      </c>
      <c r="L79" s="121">
        <v>5.0</v>
      </c>
      <c r="M79" s="122">
        <f>IF(L79="","",MROUND(36*I79/(37-L79),'Start-Options'!B38))</f>
        <v>62.5</v>
      </c>
      <c r="N79" s="105"/>
      <c r="O79" s="123"/>
      <c r="P79" s="123">
        <f>IF(Z77="","",MROUND(Z77*0.95,'Start-Options'!B38))</f>
        <v>57.5</v>
      </c>
      <c r="Q79" s="120">
        <f>IF(M79="","",IF(M79&lt;Z77,ROUND((37-36*P79/(Z77+'Start-Options'!F32)),0),ROUND((37-36*P79/(M79+'Start-Options'!F32)),0)))</f>
        <v>5</v>
      </c>
      <c r="R79" s="125">
        <f>IF(Q79="","",MROUND(P79*36/(37-Q79),'Start-Options'!B38))</f>
        <v>65</v>
      </c>
      <c r="S79" s="126">
        <v>6.0</v>
      </c>
      <c r="T79" s="127">
        <f>IF(S79="","",MROUND(36*P79/(37-S79),'Start-Options'!B38))</f>
        <v>67.5</v>
      </c>
      <c r="U79" s="105"/>
      <c r="V79" s="123"/>
      <c r="W79" s="128">
        <f>IF(Z77="","",MROUND(Z77*0.6,'Start-Options'!B38))</f>
        <v>35</v>
      </c>
      <c r="X79" s="27"/>
      <c r="Y79" s="118" t="str">
        <f>'Start-Options'!B6</f>
        <v>Bench</v>
      </c>
      <c r="Z79" s="114">
        <f>IF(Z63="","",IF(ISTEXT(AB63),Z63-AC63,Z63+'Start-Options'!C34))</f>
        <v>80</v>
      </c>
      <c r="AA79" s="150"/>
      <c r="AB79" s="151"/>
      <c r="AC79" s="147"/>
    </row>
    <row r="80" ht="12.75" customHeight="1">
      <c r="A80" s="102"/>
      <c r="B80" s="103">
        <f>IF(Z78="","",MROUND(Z78*0.65,'Start-Options'!B38))</f>
        <v>85</v>
      </c>
      <c r="C80" s="103"/>
      <c r="D80" s="103"/>
      <c r="E80" s="103"/>
      <c r="F80" s="104"/>
      <c r="G80" s="105"/>
      <c r="H80" s="106"/>
      <c r="I80" s="107">
        <f>IF(Z78="","",MROUND(Z78*0.7,'Start-Options'!B38))</f>
        <v>90</v>
      </c>
      <c r="J80" s="103"/>
      <c r="K80" s="103"/>
      <c r="L80" s="103"/>
      <c r="M80" s="104"/>
      <c r="N80" s="105"/>
      <c r="O80" s="106"/>
      <c r="P80" s="106">
        <f>IF(Z78="","",MROUND(Z78*0.75,'Start-Options'!B38))</f>
        <v>97.5</v>
      </c>
      <c r="Q80" s="108"/>
      <c r="R80" s="108"/>
      <c r="S80" s="108"/>
      <c r="T80" s="109"/>
      <c r="U80" s="105"/>
      <c r="V80" s="106"/>
      <c r="W80" s="110">
        <f>IF(Z78="","",MROUND(Z78*0.4,'Start-Options'!B38))</f>
        <v>52.5</v>
      </c>
      <c r="X80" s="27"/>
      <c r="Y80" s="129" t="str">
        <f>'Start-Options'!B7</f>
        <v>Squat</v>
      </c>
      <c r="Z80" s="123">
        <f>IF(Z64="","",IF(ISTEXT(AB64),Z64-AC64,Z64+'Start-Options'!C35))</f>
        <v>100</v>
      </c>
      <c r="AA80" s="153"/>
      <c r="AB80" s="154"/>
      <c r="AC80" s="155"/>
    </row>
    <row r="81" ht="12.75" customHeight="1">
      <c r="A81" s="111" t="str">
        <f>'Start-Options'!B5</f>
        <v>Deadlift</v>
      </c>
      <c r="B81" s="112">
        <f>IF(Z78="","",MROUND(Z78*0.75,'Start-Options'!B38))</f>
        <v>97.5</v>
      </c>
      <c r="C81" s="112"/>
      <c r="D81" s="112"/>
      <c r="E81" s="112"/>
      <c r="F81" s="113"/>
      <c r="G81" s="105"/>
      <c r="H81" s="114" t="str">
        <f>'Start-Options'!B5</f>
        <v>Deadlift</v>
      </c>
      <c r="I81" s="115">
        <f>IF(Z78="","",MROUND(Z78*0.8,'Start-Options'!B38))</f>
        <v>105</v>
      </c>
      <c r="J81" s="112"/>
      <c r="K81" s="112"/>
      <c r="L81" s="112"/>
      <c r="M81" s="113"/>
      <c r="N81" s="105"/>
      <c r="O81" s="114" t="str">
        <f>'Start-Options'!B5</f>
        <v>Deadlift</v>
      </c>
      <c r="P81" s="114">
        <f>IF(Z78="","",MROUND(Z78*0.85,'Start-Options'!B38))</f>
        <v>110</v>
      </c>
      <c r="Q81" s="105"/>
      <c r="R81" s="105"/>
      <c r="S81" s="105"/>
      <c r="T81" s="116"/>
      <c r="U81" s="105"/>
      <c r="V81" s="114" t="str">
        <f>'Start-Options'!B5</f>
        <v>Deadlift</v>
      </c>
      <c r="W81" s="117">
        <f>IF(Z78="","",MROUND(Z78*0.5,'Start-Options'!B38))</f>
        <v>65</v>
      </c>
      <c r="X81" s="27"/>
      <c r="Y81" s="27"/>
      <c r="Z81" s="27"/>
      <c r="AA81" s="27"/>
      <c r="AB81" s="27"/>
      <c r="AC81" s="27"/>
    </row>
    <row r="82" ht="12.75" customHeight="1">
      <c r="A82" s="130"/>
      <c r="B82" s="120">
        <f>IF(Z78="","",MROUND(Z78*0.85,'Start-Options'!B38))</f>
        <v>110</v>
      </c>
      <c r="C82" s="120">
        <f>IF(Z78="","",ROUND((37-36*B82/(Z78+'Start-Options'!F33)),0))</f>
        <v>7</v>
      </c>
      <c r="D82" s="120">
        <f>IF(Z78="","",MROUND(B82*36/(37-C82),'Start-Options'!B38))</f>
        <v>132.5</v>
      </c>
      <c r="E82" s="121">
        <v>7.0</v>
      </c>
      <c r="F82" s="122">
        <f>IF(E82="","",MROUND(36*B82/(37-E82),'Start-Options'!B38))</f>
        <v>132.5</v>
      </c>
      <c r="G82" s="105"/>
      <c r="H82" s="123"/>
      <c r="I82" s="124">
        <f>IF(Z78="","",MROUND(Z78*0.9,'Start-Options'!B38))</f>
        <v>117.5</v>
      </c>
      <c r="J82" s="120">
        <f>IF(F82="","",IF(F82&lt;Z78,ROUND((37-36*I82/(Z78+5)),0),ROUND((37-36*I82/(F82+5)),0)))</f>
        <v>6</v>
      </c>
      <c r="K82" s="120">
        <f>IF(J82="","",MROUND(I82*36/(37-J82),'Start-Options'!B38))</f>
        <v>137.5</v>
      </c>
      <c r="L82" s="121">
        <v>6.0</v>
      </c>
      <c r="M82" s="122">
        <f>IF(L82="","",MROUND(36*I82/(37-L82),'Start-Options'!B38))</f>
        <v>137.5</v>
      </c>
      <c r="N82" s="105"/>
      <c r="O82" s="123"/>
      <c r="P82" s="123">
        <f>IF(Z78="","",MROUND(Z78*0.95,'Start-Options'!B38))</f>
        <v>122.5</v>
      </c>
      <c r="Q82" s="120">
        <f>IF(M82="","",IF(M82&lt;Z78,ROUND((37-36*P82/(Z78+'Start-Options'!F33)),0),ROUND((37-36*P82/(M82+'Start-Options'!F33)),0)))</f>
        <v>6</v>
      </c>
      <c r="R82" s="125">
        <f>IF(Q82="","",MROUND(P82*36/(37-Q82),'Start-Options'!B38))</f>
        <v>142.5</v>
      </c>
      <c r="S82" s="126">
        <v>8.0</v>
      </c>
      <c r="T82" s="127">
        <f>IF(S82="","",MROUND(36*P82/(37-S82),'Start-Options'!B38))</f>
        <v>152.5</v>
      </c>
      <c r="U82" s="105"/>
      <c r="V82" s="123"/>
      <c r="W82" s="128">
        <f>IF(Z78="","",MROUND(Z78*0.6,'Start-Options'!B38))</f>
        <v>77.5</v>
      </c>
      <c r="X82" s="27"/>
      <c r="Y82" s="70" t="s">
        <v>93</v>
      </c>
      <c r="Z82" s="71"/>
      <c r="AA82" s="27"/>
      <c r="AB82" s="27"/>
      <c r="AC82" s="27"/>
    </row>
    <row r="83" ht="12.75" customHeight="1">
      <c r="A83" s="102"/>
      <c r="B83" s="103">
        <f>IF(Z79="","",MROUND(Z79*0.65,'Start-Options'!B38))</f>
        <v>52.5</v>
      </c>
      <c r="C83" s="103"/>
      <c r="D83" s="103"/>
      <c r="E83" s="103"/>
      <c r="F83" s="104"/>
      <c r="G83" s="105"/>
      <c r="H83" s="106"/>
      <c r="I83" s="107">
        <f>IF(Z79="","",MROUND(Z79*0.7,'Start-Options'!B38))</f>
        <v>55</v>
      </c>
      <c r="J83" s="103"/>
      <c r="K83" s="103"/>
      <c r="L83" s="103"/>
      <c r="M83" s="104"/>
      <c r="N83" s="105"/>
      <c r="O83" s="106"/>
      <c r="P83" s="106">
        <f>IF(Z79="","",MROUND(Z79*0.75,'Start-Options'!B38))</f>
        <v>60</v>
      </c>
      <c r="Q83" s="108"/>
      <c r="R83" s="108"/>
      <c r="S83" s="108"/>
      <c r="T83" s="109"/>
      <c r="U83" s="105"/>
      <c r="V83" s="106"/>
      <c r="W83" s="110">
        <f>IF(Z79="","",MROUND(Z79*0.4,'Start-Options'!B38))</f>
        <v>32.5</v>
      </c>
      <c r="X83" s="27"/>
      <c r="Y83" s="25" t="s">
        <v>94</v>
      </c>
      <c r="Z83" s="74">
        <v>95.0</v>
      </c>
      <c r="AA83" s="27"/>
      <c r="AB83" s="27"/>
      <c r="AC83" s="27"/>
    </row>
    <row r="84" ht="12.75" customHeight="1">
      <c r="A84" s="111" t="str">
        <f>'Start-Options'!B6</f>
        <v>Bench</v>
      </c>
      <c r="B84" s="112">
        <f>IF(Z79="","",MROUND(Z79*0.75,'Start-Options'!B38))</f>
        <v>60</v>
      </c>
      <c r="C84" s="112"/>
      <c r="D84" s="112"/>
      <c r="E84" s="112"/>
      <c r="F84" s="113"/>
      <c r="G84" s="105"/>
      <c r="H84" s="114" t="str">
        <f>'Start-Options'!B6</f>
        <v>Bench</v>
      </c>
      <c r="I84" s="115">
        <f>IF(Z79="","",MROUND(Z79*0.8,'Start-Options'!B38))</f>
        <v>65</v>
      </c>
      <c r="J84" s="112"/>
      <c r="K84" s="112"/>
      <c r="L84" s="112"/>
      <c r="M84" s="113"/>
      <c r="N84" s="105"/>
      <c r="O84" s="114" t="str">
        <f>'Start-Options'!B6</f>
        <v>Bench</v>
      </c>
      <c r="P84" s="114">
        <f>IF(Z79="","",MROUND(Z79*0.85,'Start-Options'!B38))</f>
        <v>67.5</v>
      </c>
      <c r="Q84" s="105"/>
      <c r="R84" s="105"/>
      <c r="S84" s="105"/>
      <c r="T84" s="116"/>
      <c r="U84" s="105"/>
      <c r="V84" s="114" t="str">
        <f>'Start-Options'!B6</f>
        <v>Bench</v>
      </c>
      <c r="W84" s="117">
        <f>IF(Z79="","",MROUND(Z79*0.5,'Start-Options'!B38))</f>
        <v>40</v>
      </c>
      <c r="X84" s="27"/>
      <c r="Y84" s="77" t="s">
        <v>95</v>
      </c>
      <c r="Z84" s="78">
        <f>IF(Z83="","",MROUND(Z83*0.4,'Start-Options'!$B$38))</f>
        <v>37.5</v>
      </c>
      <c r="AA84" s="27"/>
      <c r="AB84" s="27"/>
      <c r="AC84" s="27"/>
    </row>
    <row r="85" ht="12.75" customHeight="1">
      <c r="A85" s="119"/>
      <c r="B85" s="120">
        <f>IF(Z79="","",MROUND(Z79*0.85,'Start-Options'!B38))</f>
        <v>67.5</v>
      </c>
      <c r="C85" s="120">
        <f>IF(Z79="","",ROUND((37-36*B85/(Z79+'Start-Options'!F34)),0))</f>
        <v>8</v>
      </c>
      <c r="D85" s="120">
        <f>IF(Z79="","",MROUND(B85*36/(37-C85),'Start-Options'!B38))</f>
        <v>85</v>
      </c>
      <c r="E85" s="121">
        <v>7.0</v>
      </c>
      <c r="F85" s="122">
        <f>IF(E85="","",MROUND(36*B85/(37-E85),'Start-Options'!B38))</f>
        <v>80</v>
      </c>
      <c r="G85" s="105"/>
      <c r="H85" s="123"/>
      <c r="I85" s="124">
        <f>IF(Z79="","",MROUND(Z79*0.9,'Start-Options'!B38))</f>
        <v>72.5</v>
      </c>
      <c r="J85" s="120">
        <f>IF(F85="","",IF(F85&lt;Z79,ROUND((37-36*I85/(Z79+'Start-Options'!F34)),0),ROUND((37-36*I85/(F85+'Start-Options'!F34)),0)))</f>
        <v>5</v>
      </c>
      <c r="K85" s="120">
        <f>IF(J85="","",MROUND(I85*36/(37-J85),'Start-Options'!B38))</f>
        <v>82.5</v>
      </c>
      <c r="L85" s="121">
        <v>5.0</v>
      </c>
      <c r="M85" s="122">
        <f>IF(L85="","",MROUND(36*I85/(37-L85),'Start-Options'!B38))</f>
        <v>82.5</v>
      </c>
      <c r="N85" s="105"/>
      <c r="O85" s="123"/>
      <c r="P85" s="123">
        <f>IF(Z79="","",MROUND(Z79*0.95,'Start-Options'!B38))</f>
        <v>75</v>
      </c>
      <c r="Q85" s="120">
        <f>IF(M85="","",IF(M85&lt;Z79,ROUND((37-36*P85/(Z79+'Start-Options'!F34)),0),ROUND((37-36*P85/(M85+'Start-Options'!F34)),0)))</f>
        <v>5</v>
      </c>
      <c r="R85" s="125">
        <f>IF(Q85="","",MROUND(P85*36/(37-Q85),'Start-Options'!B38))</f>
        <v>85</v>
      </c>
      <c r="S85" s="126">
        <v>3.0</v>
      </c>
      <c r="T85" s="127">
        <f>IF(S85="","",MROUND(36*P85/(37-S85),'Start-Options'!B38))</f>
        <v>80</v>
      </c>
      <c r="U85" s="105"/>
      <c r="V85" s="123"/>
      <c r="W85" s="128">
        <f>IF(Z79="","",MROUND(Z79*0.6,'Start-Options'!B38))</f>
        <v>47.5</v>
      </c>
      <c r="X85" s="27"/>
      <c r="Y85" s="77" t="s">
        <v>96</v>
      </c>
      <c r="Z85" s="78">
        <f>IF(Z83="","",MROUND(Z83*0.5,'Start-Options'!$B$38))</f>
        <v>47.5</v>
      </c>
      <c r="AA85" s="27"/>
      <c r="AB85" s="27"/>
      <c r="AC85" s="27"/>
    </row>
    <row r="86" ht="12.75" customHeight="1">
      <c r="A86" s="111"/>
      <c r="B86" s="103">
        <f>IF(Z80="","",MROUND(Z80*0.65,'Start-Options'!B38))</f>
        <v>65</v>
      </c>
      <c r="C86" s="103"/>
      <c r="D86" s="103"/>
      <c r="E86" s="103"/>
      <c r="F86" s="104"/>
      <c r="G86" s="105"/>
      <c r="H86" s="106"/>
      <c r="I86" s="107">
        <f>IF(Z80="","",MROUND(Z80*0.7,'Start-Options'!B38))</f>
        <v>70</v>
      </c>
      <c r="J86" s="103"/>
      <c r="K86" s="103"/>
      <c r="L86" s="103"/>
      <c r="M86" s="104"/>
      <c r="N86" s="105"/>
      <c r="O86" s="106"/>
      <c r="P86" s="106">
        <f>IF(Z80="","",MROUND(Z80*0.75,'Start-Options'!B38))</f>
        <v>75</v>
      </c>
      <c r="Q86" s="108"/>
      <c r="R86" s="108"/>
      <c r="S86" s="108"/>
      <c r="T86" s="109"/>
      <c r="U86" s="105"/>
      <c r="V86" s="106"/>
      <c r="W86" s="110">
        <f>IF(Z80="","",MROUND(Z80*0.4,'Start-Options'!B38))</f>
        <v>40</v>
      </c>
      <c r="X86" s="27"/>
      <c r="Y86" s="82" t="s">
        <v>97</v>
      </c>
      <c r="Z86" s="83">
        <f>IF(Z83="","",MROUND(Z83*0.6,'Start-Options'!$B$38))</f>
        <v>57.5</v>
      </c>
      <c r="AA86" s="27"/>
      <c r="AB86" s="27"/>
      <c r="AC86" s="27"/>
    </row>
    <row r="87" ht="12.75" customHeight="1">
      <c r="A87" s="111" t="str">
        <f>'Start-Options'!B7</f>
        <v>Squat</v>
      </c>
      <c r="B87" s="112">
        <f>IF(Z80="","",MROUND(Z80*0.75,'Start-Options'!B38))</f>
        <v>75</v>
      </c>
      <c r="C87" s="112"/>
      <c r="D87" s="112"/>
      <c r="E87" s="112"/>
      <c r="F87" s="113"/>
      <c r="G87" s="105"/>
      <c r="H87" s="114" t="str">
        <f>'Start-Options'!B7</f>
        <v>Squat</v>
      </c>
      <c r="I87" s="115">
        <f>IF(Z80="","",MROUND(Z80*0.8,'Start-Options'!B38))</f>
        <v>80</v>
      </c>
      <c r="J87" s="112"/>
      <c r="K87" s="112"/>
      <c r="L87" s="112"/>
      <c r="M87" s="113"/>
      <c r="N87" s="105"/>
      <c r="O87" s="114" t="str">
        <f>'Start-Options'!B7</f>
        <v>Squat</v>
      </c>
      <c r="P87" s="114">
        <f>IF(Z80="","",MROUND(Z80*0.85,'Start-Options'!B38))</f>
        <v>85</v>
      </c>
      <c r="Q87" s="105"/>
      <c r="R87" s="105"/>
      <c r="S87" s="105"/>
      <c r="T87" s="116"/>
      <c r="U87" s="105"/>
      <c r="V87" s="114" t="str">
        <f>'Start-Options'!B7</f>
        <v>Squat</v>
      </c>
      <c r="W87" s="117">
        <f>IF(Z80="","",MROUND(Z80*0.5,'Start-Options'!B38))</f>
        <v>50</v>
      </c>
      <c r="X87" s="27"/>
      <c r="Y87" s="27"/>
      <c r="Z87" s="27"/>
      <c r="AA87" s="27"/>
      <c r="AB87" s="27"/>
      <c r="AC87" s="27"/>
    </row>
    <row r="88" ht="13.5" customHeight="1">
      <c r="A88" s="131"/>
      <c r="B88" s="132">
        <f>IF(Z80="","",MROUND(Z80*0.85,'Start-Options'!B38))</f>
        <v>85</v>
      </c>
      <c r="C88" s="132">
        <f>IF(Z80="","",ROUND((37-36*B88/(Z80+'Start-Options'!F35)),0))</f>
        <v>7</v>
      </c>
      <c r="D88" s="132">
        <f>IF(Z80="","",MROUND(B88*36/(37-C88),'Start-Options'!B38))</f>
        <v>102.5</v>
      </c>
      <c r="E88" s="133">
        <v>7.0</v>
      </c>
      <c r="F88" s="134">
        <f>IF(E88="","",MROUND(36*B88/(37-E88),'Start-Options'!B38))</f>
        <v>102.5</v>
      </c>
      <c r="G88" s="135"/>
      <c r="H88" s="136"/>
      <c r="I88" s="137">
        <f>IF(Z80="","",MROUND(Z80*0.9,'Start-Options'!B38))</f>
        <v>90</v>
      </c>
      <c r="J88" s="132">
        <f>IF(F88="","",IF(F88&lt;Z80,ROUND((37-36*I88/(Z80+'Start-Options'!F35)),0),ROUND((37-36*I88/(F88+'Start-Options'!F35)),0)))</f>
        <v>6</v>
      </c>
      <c r="K88" s="132">
        <f>IF(J88="","",MROUND(I88*36/(37-J88),'Start-Options'!B38))</f>
        <v>105</v>
      </c>
      <c r="L88" s="133">
        <v>6.0</v>
      </c>
      <c r="M88" s="134">
        <f>IF(L88="","",MROUND(36*I88/(37-L88),'Start-Options'!B38))</f>
        <v>105</v>
      </c>
      <c r="N88" s="135"/>
      <c r="O88" s="136"/>
      <c r="P88" s="136">
        <f>IF(Z80="","",MROUND(Z80*0.95,'Start-Options'!B38))</f>
        <v>95</v>
      </c>
      <c r="Q88" s="132">
        <f>IF(M88="","",IF(M88&lt;Z80,ROUND((37-36*P88/(Z80+'Start-Options'!F35)),0),ROUND((37-36*P88/(M88+'Start-Options'!F35)),0)))</f>
        <v>5</v>
      </c>
      <c r="R88" s="135">
        <f>IF(Q88="","",MROUND(P88*36/(37-Q88),'Start-Options'!B38))</f>
        <v>107.5</v>
      </c>
      <c r="S88" s="138">
        <v>5.0</v>
      </c>
      <c r="T88" s="139">
        <f>IF(S88="","",MROUND(36*P88/(37-S88),'Start-Options'!B38))</f>
        <v>107.5</v>
      </c>
      <c r="U88" s="135"/>
      <c r="V88" s="136"/>
      <c r="W88" s="140">
        <f>IF(Z80="","",MROUND(Z80*0.6,'Start-Options'!B38))</f>
        <v>60</v>
      </c>
      <c r="X88" s="27"/>
      <c r="Y88" s="27"/>
      <c r="Z88" s="27"/>
      <c r="AA88" s="27"/>
      <c r="AB88" s="27"/>
      <c r="AC88" s="27"/>
    </row>
    <row r="89" ht="12.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row>
    <row r="90" ht="21.0" customHeight="1">
      <c r="A90" s="27"/>
      <c r="B90" s="27"/>
      <c r="C90" s="27"/>
      <c r="D90" s="27"/>
      <c r="E90" s="27"/>
      <c r="F90" s="27"/>
      <c r="G90" s="27"/>
      <c r="H90" s="27"/>
      <c r="I90" s="27"/>
      <c r="J90" s="27"/>
      <c r="K90" s="27"/>
      <c r="L90" s="27"/>
      <c r="M90" s="86" t="s">
        <v>124</v>
      </c>
      <c r="N90" s="160"/>
      <c r="O90" s="27"/>
      <c r="P90" s="27"/>
      <c r="Q90" s="27"/>
      <c r="R90" s="27"/>
      <c r="S90" s="27"/>
      <c r="T90" s="27"/>
      <c r="U90" s="27"/>
      <c r="V90" s="27"/>
      <c r="W90" s="27"/>
      <c r="X90" s="27"/>
      <c r="Y90" s="27"/>
      <c r="Z90" s="27"/>
      <c r="AA90" s="27"/>
      <c r="AB90" s="27"/>
      <c r="AC90" s="27"/>
    </row>
    <row r="91" ht="15.75" customHeight="1">
      <c r="A91" s="88"/>
      <c r="B91" s="91"/>
      <c r="C91" s="89" t="s">
        <v>125</v>
      </c>
      <c r="D91" s="91"/>
      <c r="E91" s="91"/>
      <c r="F91" s="91"/>
      <c r="G91" s="91"/>
      <c r="H91" s="91"/>
      <c r="I91" s="92"/>
      <c r="J91" s="89" t="s">
        <v>126</v>
      </c>
      <c r="K91" s="91"/>
      <c r="L91" s="91"/>
      <c r="M91" s="91"/>
      <c r="N91" s="91"/>
      <c r="O91" s="91"/>
      <c r="P91" s="91"/>
      <c r="Q91" s="89" t="s">
        <v>127</v>
      </c>
      <c r="R91" s="91"/>
      <c r="S91" s="91"/>
      <c r="T91" s="91"/>
      <c r="U91" s="91"/>
      <c r="V91" s="93" t="s">
        <v>128</v>
      </c>
      <c r="W91" s="94"/>
      <c r="X91" s="27"/>
      <c r="Y91" s="27"/>
      <c r="Z91" s="27"/>
      <c r="AA91" s="27"/>
      <c r="AB91" s="27"/>
      <c r="AC91" s="27"/>
    </row>
    <row r="92" ht="32.25" customHeight="1">
      <c r="A92" s="95"/>
      <c r="B92" s="96" t="s">
        <v>26</v>
      </c>
      <c r="C92" s="97" t="s">
        <v>88</v>
      </c>
      <c r="D92" s="97" t="s">
        <v>89</v>
      </c>
      <c r="E92" s="97" t="s">
        <v>90</v>
      </c>
      <c r="F92" s="96" t="s">
        <v>91</v>
      </c>
      <c r="G92" s="27"/>
      <c r="H92" s="98"/>
      <c r="I92" s="96" t="s">
        <v>26</v>
      </c>
      <c r="J92" s="97" t="s">
        <v>88</v>
      </c>
      <c r="K92" s="97" t="s">
        <v>89</v>
      </c>
      <c r="L92" s="97" t="s">
        <v>90</v>
      </c>
      <c r="M92" s="96" t="s">
        <v>91</v>
      </c>
      <c r="N92" s="27"/>
      <c r="O92" s="98"/>
      <c r="P92" s="96" t="s">
        <v>26</v>
      </c>
      <c r="Q92" s="97" t="s">
        <v>88</v>
      </c>
      <c r="R92" s="97" t="s">
        <v>89</v>
      </c>
      <c r="S92" s="97" t="s">
        <v>90</v>
      </c>
      <c r="T92" s="96" t="s">
        <v>91</v>
      </c>
      <c r="U92" s="27"/>
      <c r="V92" s="99"/>
      <c r="W92" s="159" t="s">
        <v>26</v>
      </c>
      <c r="X92" s="27"/>
      <c r="Y92" s="101" t="s">
        <v>129</v>
      </c>
      <c r="Z92" s="71"/>
      <c r="AA92" s="141"/>
      <c r="AB92" s="142" t="s">
        <v>104</v>
      </c>
      <c r="AC92" s="143" t="s">
        <v>105</v>
      </c>
    </row>
    <row r="93" ht="12.75" customHeight="1">
      <c r="A93" s="102"/>
      <c r="B93" s="103">
        <f>IF(Z93="","",MROUND(Z93*0.65,'Start-Options'!B38))</f>
        <v>40</v>
      </c>
      <c r="C93" s="103"/>
      <c r="D93" s="103"/>
      <c r="E93" s="103"/>
      <c r="F93" s="104"/>
      <c r="G93" s="105"/>
      <c r="H93" s="106"/>
      <c r="I93" s="107">
        <f>IF(Z93="","",MROUND(Z93*0.7,'Start-Options'!B38))</f>
        <v>45</v>
      </c>
      <c r="J93" s="103"/>
      <c r="K93" s="103"/>
      <c r="L93" s="103"/>
      <c r="M93" s="104"/>
      <c r="N93" s="105"/>
      <c r="O93" s="106"/>
      <c r="P93" s="106">
        <f>IF(Z93="","",MROUND(Z93*0.75,'Start-Options'!B38))</f>
        <v>47.5</v>
      </c>
      <c r="Q93" s="108"/>
      <c r="R93" s="108"/>
      <c r="S93" s="108"/>
      <c r="T93" s="109"/>
      <c r="U93" s="105"/>
      <c r="V93" s="106"/>
      <c r="W93" s="110">
        <f>IF(Z93="","",MROUND(Z93*0.4,'Start-Options'!B38))</f>
        <v>25</v>
      </c>
      <c r="X93" s="27"/>
      <c r="Y93" s="37" t="str">
        <f>'Start-Options'!B4</f>
        <v>Military</v>
      </c>
      <c r="Z93" s="106">
        <f>IF(Z77="","",IF(ISTEXT(AB77),Z77-AC77,Z77+'Start-Options'!C32))</f>
        <v>62.5</v>
      </c>
      <c r="AA93" s="146"/>
      <c r="AB93" s="36"/>
      <c r="AC93" s="147"/>
    </row>
    <row r="94" ht="12.75" customHeight="1">
      <c r="A94" s="111" t="str">
        <f>'Start-Options'!B4</f>
        <v>Military</v>
      </c>
      <c r="B94" s="112">
        <f>IF(Z93="","",MROUND(Z93*0.75,'Start-Options'!B38))</f>
        <v>47.5</v>
      </c>
      <c r="C94" s="112"/>
      <c r="D94" s="112"/>
      <c r="E94" s="112"/>
      <c r="F94" s="113"/>
      <c r="G94" s="105"/>
      <c r="H94" s="114" t="str">
        <f>'Start-Options'!B4</f>
        <v>Military</v>
      </c>
      <c r="I94" s="115">
        <f>IF(Z93="","",MROUND(Z93*0.8,'Start-Options'!B38))</f>
        <v>50</v>
      </c>
      <c r="J94" s="112"/>
      <c r="K94" s="112"/>
      <c r="L94" s="112"/>
      <c r="M94" s="113"/>
      <c r="N94" s="105"/>
      <c r="O94" s="114" t="str">
        <f>'Start-Options'!B4</f>
        <v>Military</v>
      </c>
      <c r="P94" s="114">
        <f>IF(Z93="","",MROUND(Z93*0.85,'Start-Options'!B38))</f>
        <v>52.5</v>
      </c>
      <c r="Q94" s="105"/>
      <c r="R94" s="105"/>
      <c r="S94" s="105"/>
      <c r="T94" s="116"/>
      <c r="U94" s="105"/>
      <c r="V94" s="114" t="str">
        <f>'Start-Options'!B4</f>
        <v>Military</v>
      </c>
      <c r="W94" s="117">
        <f>IF(Z93="","",MROUND(Z93*0.5,'Start-Options'!B38))</f>
        <v>32.5</v>
      </c>
      <c r="X94" s="27"/>
      <c r="Y94" s="118" t="str">
        <f>'Start-Options'!B5</f>
        <v>Deadlift</v>
      </c>
      <c r="Z94" s="114">
        <f>IF(Z78="","",IF(ISTEXT(AB78),Z78-AC78,Z78+'Start-Options'!C33))</f>
        <v>135</v>
      </c>
      <c r="AA94" s="150"/>
      <c r="AB94" s="151"/>
      <c r="AC94" s="147"/>
    </row>
    <row r="95" ht="12.75" customHeight="1">
      <c r="A95" s="119"/>
      <c r="B95" s="120">
        <f>IF(Z93="","",MROUND(Z93*0.85,'Start-Options'!B38))</f>
        <v>52.5</v>
      </c>
      <c r="C95" s="120">
        <f>IF(Z93="","",ROUND((37-36*B95/(Z93+'Start-Options'!F32)),0))</f>
        <v>8</v>
      </c>
      <c r="D95" s="120">
        <f>IF(Z93="","",MROUND(B95*36/(37-C95),'Start-Options'!B38))</f>
        <v>65</v>
      </c>
      <c r="E95" s="121">
        <v>5.0</v>
      </c>
      <c r="F95" s="122">
        <f>IF(E95="","",MROUND(36*B95/(37-E95),'Start-Options'!B38))</f>
        <v>60</v>
      </c>
      <c r="G95" s="105"/>
      <c r="H95" s="123"/>
      <c r="I95" s="124">
        <f>IF(Z93="","",MROUND(Z93*0.9,'Start-Options'!B38))</f>
        <v>57.5</v>
      </c>
      <c r="J95" s="120">
        <f>IF(F95="","",IF(F95&lt;Z93,ROUND((37-36*I95/(Z93+'Start-Options'!F32)),0),ROUND((37-36*I95/(F95+'Start-Options'!F32)),0)))</f>
        <v>5</v>
      </c>
      <c r="K95" s="120">
        <f>IF(J95="","",MROUND(I95*36/(37-J95),'Start-Options'!B38))</f>
        <v>65</v>
      </c>
      <c r="L95" s="121">
        <v>6.0</v>
      </c>
      <c r="M95" s="122">
        <f>IF(L95="","",MROUND(36*I95/(37-L95),'Start-Options'!B38))</f>
        <v>67.5</v>
      </c>
      <c r="N95" s="105"/>
      <c r="O95" s="123"/>
      <c r="P95" s="123">
        <f>IF(Z93="","",MROUND(Z93*0.95,'Start-Options'!B38))</f>
        <v>60</v>
      </c>
      <c r="Q95" s="120">
        <f>IF(M95="","",IF(M95&lt;Z93,ROUND((37-36*P95/(Z93+'Start-Options'!F32)),0),ROUND((37-36*P95/(M95+'Start-Options'!F32)),0)))</f>
        <v>6</v>
      </c>
      <c r="R95" s="125">
        <f>IF(Q95="","",MROUND(P95*36/(37-Q95),'Start-Options'!B38))</f>
        <v>70</v>
      </c>
      <c r="S95" s="126">
        <v>2.0</v>
      </c>
      <c r="T95" s="127">
        <f>IF(S95="","",MROUND(36*P95/(37-S95),'Start-Options'!B38))</f>
        <v>62.5</v>
      </c>
      <c r="U95" s="105"/>
      <c r="V95" s="123"/>
      <c r="W95" s="128">
        <f>IF(Z93="","",MROUND(Z93*0.6,'Start-Options'!B38))</f>
        <v>37.5</v>
      </c>
      <c r="X95" s="27"/>
      <c r="Y95" s="118" t="str">
        <f>'Start-Options'!B6</f>
        <v>Bench</v>
      </c>
      <c r="Z95" s="114">
        <f>IF(Z79="","",IF(ISTEXT(AB79),Z79-AC79,Z79+'Start-Options'!C34))</f>
        <v>82.5</v>
      </c>
      <c r="AA95" s="150"/>
      <c r="AB95" s="151"/>
      <c r="AC95" s="147"/>
    </row>
    <row r="96" ht="12.75" customHeight="1">
      <c r="A96" s="102"/>
      <c r="B96" s="103">
        <f>IF(Z94="","",MROUND(Z94*0.65,'Start-Options'!B38))</f>
        <v>87.5</v>
      </c>
      <c r="C96" s="103"/>
      <c r="D96" s="103"/>
      <c r="E96" s="103"/>
      <c r="F96" s="104"/>
      <c r="G96" s="105"/>
      <c r="H96" s="106"/>
      <c r="I96" s="107">
        <f>IF(Z94="","",MROUND(Z94*0.7,'Start-Options'!B38))</f>
        <v>95</v>
      </c>
      <c r="J96" s="103"/>
      <c r="K96" s="103"/>
      <c r="L96" s="103"/>
      <c r="M96" s="104"/>
      <c r="N96" s="105"/>
      <c r="O96" s="106"/>
      <c r="P96" s="106">
        <f>IF(Z94="","",MROUND(Z94*0.75,'Start-Options'!B38))</f>
        <v>102.5</v>
      </c>
      <c r="Q96" s="108"/>
      <c r="R96" s="108"/>
      <c r="S96" s="108"/>
      <c r="T96" s="109"/>
      <c r="U96" s="105"/>
      <c r="V96" s="106"/>
      <c r="W96" s="110">
        <f>IF(Z94="","",MROUND(Z94*0.4,'Start-Options'!B38))</f>
        <v>55</v>
      </c>
      <c r="X96" s="27"/>
      <c r="Y96" s="129" t="str">
        <f>'Start-Options'!B7</f>
        <v>Squat</v>
      </c>
      <c r="Z96" s="123">
        <f>IF(Z80="","",IF(ISTEXT(AB80),Z80-AC80,Z80+'Start-Options'!C35))</f>
        <v>105</v>
      </c>
      <c r="AA96" s="153"/>
      <c r="AB96" s="154"/>
      <c r="AC96" s="155"/>
    </row>
    <row r="97" ht="12.75" customHeight="1">
      <c r="A97" s="111" t="str">
        <f>'Start-Options'!B5</f>
        <v>Deadlift</v>
      </c>
      <c r="B97" s="112">
        <f>IF(Z94="","",MROUND(Z94*0.75,'Start-Options'!B38))</f>
        <v>102.5</v>
      </c>
      <c r="C97" s="112"/>
      <c r="D97" s="112"/>
      <c r="E97" s="112"/>
      <c r="F97" s="113"/>
      <c r="G97" s="105"/>
      <c r="H97" s="114" t="str">
        <f>'Start-Options'!B5</f>
        <v>Deadlift</v>
      </c>
      <c r="I97" s="115">
        <f>IF(Z94="","",MROUND(Z94*0.8,'Start-Options'!B38))</f>
        <v>107.5</v>
      </c>
      <c r="J97" s="112"/>
      <c r="K97" s="112"/>
      <c r="L97" s="112"/>
      <c r="M97" s="113"/>
      <c r="N97" s="105"/>
      <c r="O97" s="114" t="str">
        <f>'Start-Options'!B5</f>
        <v>Deadlift</v>
      </c>
      <c r="P97" s="114">
        <f>IF(Z94="","",MROUND(Z94*0.85,'Start-Options'!B38))</f>
        <v>115</v>
      </c>
      <c r="Q97" s="105"/>
      <c r="R97" s="105"/>
      <c r="S97" s="105"/>
      <c r="T97" s="116"/>
      <c r="U97" s="105"/>
      <c r="V97" s="114" t="str">
        <f>'Start-Options'!B5</f>
        <v>Deadlift</v>
      </c>
      <c r="W97" s="117">
        <f>IF(Z94="","",MROUND(Z94*0.5,'Start-Options'!B38))</f>
        <v>67.5</v>
      </c>
      <c r="X97" s="27"/>
      <c r="Y97" s="27"/>
      <c r="Z97" s="27"/>
      <c r="AA97" s="27"/>
      <c r="AB97" s="27"/>
      <c r="AC97" s="27"/>
    </row>
    <row r="98" ht="12.75" customHeight="1">
      <c r="A98" s="130"/>
      <c r="B98" s="120">
        <f>IF(Z94="","",MROUND(Z94*0.85,'Start-Options'!B38))</f>
        <v>115</v>
      </c>
      <c r="C98" s="120">
        <f>IF(Z94="","",ROUND((37-36*B98/(Z94+'Start-Options'!F33)),0))</f>
        <v>7</v>
      </c>
      <c r="D98" s="120">
        <f>IF(Z94="","",MROUND(B98*36/(37-C98),'Start-Options'!B38))</f>
        <v>137.5</v>
      </c>
      <c r="E98" s="121">
        <v>8.0</v>
      </c>
      <c r="F98" s="122">
        <f>IF(E98="","",MROUND(36*B98/(37-E98),'Start-Options'!B38))</f>
        <v>142.5</v>
      </c>
      <c r="G98" s="105"/>
      <c r="H98" s="123"/>
      <c r="I98" s="124">
        <f>IF(Z94="","",MROUND(Z94*0.9,'Start-Options'!B38))</f>
        <v>122.5</v>
      </c>
      <c r="J98" s="120">
        <f>IF(F98="","",IF(F98&lt;Z94,ROUND((37-36*I98/(Z94+'Start-Options'!F33)),0),ROUND((37-36*I98/(F98+'Start-Options'!F33)),0)))</f>
        <v>7</v>
      </c>
      <c r="K98" s="120">
        <f>IF(J98="","",MROUND(I98*36/(37-J98),'Start-Options'!B38))</f>
        <v>147.5</v>
      </c>
      <c r="L98" s="121">
        <v>7.0</v>
      </c>
      <c r="M98" s="122">
        <f>IF(L98="","",MROUND(36*I98/(37-L98),'Start-Options'!B38))</f>
        <v>147.5</v>
      </c>
      <c r="N98" s="105"/>
      <c r="O98" s="123"/>
      <c r="P98" s="123">
        <f>IF(Z94="","",MROUND(Z94*0.95,'Start-Options'!B38))</f>
        <v>127.5</v>
      </c>
      <c r="Q98" s="120">
        <f>IF(M98="","",IF(M98&lt;Z94,ROUND((37-36*P98/(Z94+'Start-Options'!F33)),0),ROUND((37-36*P98/(M98+'Start-Options'!F33)),0)))</f>
        <v>6</v>
      </c>
      <c r="R98" s="125">
        <f>IF(Q98="","",MROUND(P98*36/(37-Q98),'Start-Options'!B38))</f>
        <v>147.5</v>
      </c>
      <c r="S98" s="126">
        <v>5.0</v>
      </c>
      <c r="T98" s="127">
        <f>IF(S98="","",MROUND(36*P98/(37-S98),'Start-Options'!B38))</f>
        <v>142.5</v>
      </c>
      <c r="U98" s="105"/>
      <c r="V98" s="123"/>
      <c r="W98" s="128">
        <f>IF(Z94="","",MROUND(Z94*0.6,'Start-Options'!B38))</f>
        <v>80</v>
      </c>
      <c r="X98" s="27"/>
      <c r="Y98" s="70" t="s">
        <v>93</v>
      </c>
      <c r="Z98" s="71"/>
      <c r="AA98" s="27"/>
      <c r="AB98" s="27"/>
      <c r="AC98" s="27"/>
    </row>
    <row r="99" ht="12.75" customHeight="1">
      <c r="A99" s="102"/>
      <c r="B99" s="103">
        <f>IF(Z95="","",MROUND(Z95*0.65,'Start-Options'!B38))</f>
        <v>52.5</v>
      </c>
      <c r="C99" s="103"/>
      <c r="D99" s="103"/>
      <c r="E99" s="103"/>
      <c r="F99" s="104"/>
      <c r="G99" s="105"/>
      <c r="H99" s="106"/>
      <c r="I99" s="107">
        <f>IF(Z95="","",MROUND(Z95*0.7,'Start-Options'!B38))</f>
        <v>57.5</v>
      </c>
      <c r="J99" s="103"/>
      <c r="K99" s="103"/>
      <c r="L99" s="103"/>
      <c r="M99" s="104"/>
      <c r="N99" s="105"/>
      <c r="O99" s="106"/>
      <c r="P99" s="106">
        <f>IF(Z95="","",MROUND(Z95*0.75,'Start-Options'!B38))</f>
        <v>62.5</v>
      </c>
      <c r="Q99" s="108"/>
      <c r="R99" s="108"/>
      <c r="S99" s="108"/>
      <c r="T99" s="109"/>
      <c r="U99" s="105"/>
      <c r="V99" s="106"/>
      <c r="W99" s="110">
        <f>IF(Z95="","",MROUND(Z95*0.4,'Start-Options'!B38))</f>
        <v>32.5</v>
      </c>
      <c r="X99" s="27"/>
      <c r="Y99" s="25" t="s">
        <v>94</v>
      </c>
      <c r="Z99" s="74">
        <v>110.0</v>
      </c>
      <c r="AA99" s="27"/>
      <c r="AB99" s="27"/>
      <c r="AC99" s="27"/>
    </row>
    <row r="100" ht="12.75" customHeight="1">
      <c r="A100" s="111" t="str">
        <f>'Start-Options'!B6</f>
        <v>Bench</v>
      </c>
      <c r="B100" s="112">
        <f>IF(Z95="","",MROUND(Z95*0.75,'Start-Options'!B38))</f>
        <v>62.5</v>
      </c>
      <c r="C100" s="112"/>
      <c r="D100" s="112"/>
      <c r="E100" s="112"/>
      <c r="F100" s="113"/>
      <c r="G100" s="105"/>
      <c r="H100" s="114" t="str">
        <f>'Start-Options'!B6</f>
        <v>Bench</v>
      </c>
      <c r="I100" s="115">
        <f>IF(Z95="","",MROUND(Z95*0.8,'Start-Options'!B38))</f>
        <v>65</v>
      </c>
      <c r="J100" s="112"/>
      <c r="K100" s="112"/>
      <c r="L100" s="112"/>
      <c r="M100" s="113"/>
      <c r="N100" s="105"/>
      <c r="O100" s="114" t="str">
        <f>'Start-Options'!B6</f>
        <v>Bench</v>
      </c>
      <c r="P100" s="114">
        <f>IF(Z95="","",MROUND(Z95*0.85,'Start-Options'!B38))</f>
        <v>70</v>
      </c>
      <c r="Q100" s="105"/>
      <c r="R100" s="105"/>
      <c r="S100" s="105"/>
      <c r="T100" s="116"/>
      <c r="U100" s="105"/>
      <c r="V100" s="114" t="str">
        <f>'Start-Options'!B6</f>
        <v>Bench</v>
      </c>
      <c r="W100" s="117">
        <f>IF(Z95="","",MROUND(Z95*0.5,'Start-Options'!B38))</f>
        <v>42.5</v>
      </c>
      <c r="X100" s="27"/>
      <c r="Y100" s="77" t="s">
        <v>95</v>
      </c>
      <c r="Z100" s="78">
        <f>IF(Z99="","",MROUND(Z99*0.4,'Start-Options'!$B$38))</f>
        <v>45</v>
      </c>
      <c r="AA100" s="27"/>
      <c r="AB100" s="27"/>
      <c r="AC100" s="27"/>
    </row>
    <row r="101" ht="12.75" customHeight="1">
      <c r="A101" s="119"/>
      <c r="B101" s="120">
        <f>IF(Z95="","",MROUND(Z95*0.85,'Start-Options'!B38))</f>
        <v>70</v>
      </c>
      <c r="C101" s="120">
        <f>IF(Z95="","",ROUND((37-36*B101/(Z95+'Start-Options'!F34)),0))</f>
        <v>7</v>
      </c>
      <c r="D101" s="120">
        <f>IF(Z95="","",MROUND(B101*36/(37-C101),'Start-Options'!B38))</f>
        <v>85</v>
      </c>
      <c r="E101" s="121">
        <v>7.0</v>
      </c>
      <c r="F101" s="122">
        <f>IF(E101="","",MROUND(36*B101/(37-E101),'Start-Options'!B38))</f>
        <v>85</v>
      </c>
      <c r="G101" s="105"/>
      <c r="H101" s="123"/>
      <c r="I101" s="124">
        <f>IF(Z95="","",MROUND(Z95*0.9,'Start-Options'!B38))</f>
        <v>75</v>
      </c>
      <c r="J101" s="120">
        <f>IF(F101="","",IF(F101&lt;Z95,ROUND((37-36*I101/(Z95+'Start-Options'!F34)),0),ROUND((37-36*I101/(F101+'Start-Options'!F34)),0)))</f>
        <v>6</v>
      </c>
      <c r="K101" s="120">
        <f>IF(J101="","",MROUND(I101*36/(37-J101),'Start-Options'!B38))</f>
        <v>87.5</v>
      </c>
      <c r="L101" s="121">
        <v>4.0</v>
      </c>
      <c r="M101" s="122">
        <f>IF(L101="","",MROUND(36*I101/(37-L101),'Start-Options'!B38))</f>
        <v>82.5</v>
      </c>
      <c r="N101" s="105"/>
      <c r="O101" s="123"/>
      <c r="P101" s="123">
        <f>IF(Z95="","",MROUND(Z95*0.95,'Start-Options'!B38))</f>
        <v>77.5</v>
      </c>
      <c r="Q101" s="120">
        <f>IF(M101="","",IF(M101&lt;Z95,ROUND((37-36*P101/(Z95+'Start-Options'!F34)),0),ROUND((37-36*P101/(M101+'Start-Options'!F34)),0)))</f>
        <v>4</v>
      </c>
      <c r="R101" s="125">
        <f>IF(Q101="","",MROUND(P101*36/(37-Q101),'Start-Options'!B38))</f>
        <v>85</v>
      </c>
      <c r="S101" s="152"/>
      <c r="T101" s="127" t="str">
        <f>IF(S101="","",MROUND(36*P101/(37-S101),'Start-Options'!B38))</f>
        <v/>
      </c>
      <c r="U101" s="105"/>
      <c r="V101" s="123"/>
      <c r="W101" s="128">
        <f>IF(Z95="","",MROUND(Z95*0.6,'Start-Options'!B38))</f>
        <v>50</v>
      </c>
      <c r="X101" s="27"/>
      <c r="Y101" s="77" t="s">
        <v>96</v>
      </c>
      <c r="Z101" s="78">
        <f>IF(Z99="","",MROUND(Z99*0.5,'Start-Options'!$B$38))</f>
        <v>55</v>
      </c>
      <c r="AA101" s="27"/>
      <c r="AB101" s="27"/>
      <c r="AC101" s="27"/>
    </row>
    <row r="102" ht="12.75" customHeight="1">
      <c r="A102" s="111"/>
      <c r="B102" s="103">
        <f>IF(Z96="","",MROUND(Z96*0.65,'Start-Options'!B38))</f>
        <v>67.5</v>
      </c>
      <c r="C102" s="103"/>
      <c r="D102" s="103"/>
      <c r="E102" s="103"/>
      <c r="F102" s="104"/>
      <c r="G102" s="105"/>
      <c r="H102" s="106"/>
      <c r="I102" s="107">
        <f>IF(Z96="","",MROUND(Z96*0.7,'Start-Options'!B38))</f>
        <v>72.5</v>
      </c>
      <c r="J102" s="103"/>
      <c r="K102" s="103"/>
      <c r="L102" s="103"/>
      <c r="M102" s="104"/>
      <c r="N102" s="105"/>
      <c r="O102" s="106"/>
      <c r="P102" s="106">
        <f>IF(Z96="","",MROUND(Z96*0.75,'Start-Options'!B38))</f>
        <v>80</v>
      </c>
      <c r="Q102" s="108"/>
      <c r="R102" s="108"/>
      <c r="S102" s="108"/>
      <c r="T102" s="109"/>
      <c r="U102" s="105"/>
      <c r="V102" s="106"/>
      <c r="W102" s="110">
        <f>IF(Z96="","",MROUND(Z96*0.4,'Start-Options'!B38))</f>
        <v>42.5</v>
      </c>
      <c r="X102" s="27"/>
      <c r="Y102" s="82" t="s">
        <v>97</v>
      </c>
      <c r="Z102" s="83">
        <f>IF(Z99="","",MROUND(Z99*0.6,'Start-Options'!$B$38))</f>
        <v>65</v>
      </c>
      <c r="AA102" s="27"/>
      <c r="AB102" s="27"/>
      <c r="AC102" s="27"/>
    </row>
    <row r="103" ht="12.75" customHeight="1">
      <c r="A103" s="111" t="str">
        <f>'Start-Options'!B7</f>
        <v>Squat</v>
      </c>
      <c r="B103" s="112">
        <f>IF(Z96="","",MROUND(Z96*0.75,'Start-Options'!B38))</f>
        <v>80</v>
      </c>
      <c r="C103" s="112"/>
      <c r="D103" s="112"/>
      <c r="E103" s="112"/>
      <c r="F103" s="113"/>
      <c r="G103" s="105"/>
      <c r="H103" s="114" t="str">
        <f>'Start-Options'!B7</f>
        <v>Squat</v>
      </c>
      <c r="I103" s="115">
        <f>IF(Z96="","",MROUND(Z96*0.8,'Start-Options'!B38))</f>
        <v>85</v>
      </c>
      <c r="J103" s="112"/>
      <c r="K103" s="112"/>
      <c r="L103" s="112"/>
      <c r="M103" s="113"/>
      <c r="N103" s="105"/>
      <c r="O103" s="114" t="str">
        <f>'Start-Options'!B7</f>
        <v>Squat</v>
      </c>
      <c r="P103" s="114">
        <f>IF(Z96="","",MROUND(Z96*0.85,'Start-Options'!B38))</f>
        <v>90</v>
      </c>
      <c r="Q103" s="105"/>
      <c r="R103" s="105"/>
      <c r="S103" s="105"/>
      <c r="T103" s="116"/>
      <c r="U103" s="105"/>
      <c r="V103" s="114" t="str">
        <f>'Start-Options'!B7</f>
        <v>Squat</v>
      </c>
      <c r="W103" s="117">
        <f>IF(Z96="","",MROUND(Z96*0.5,'Start-Options'!B38))</f>
        <v>52.5</v>
      </c>
      <c r="X103" s="27"/>
      <c r="Y103" s="27"/>
      <c r="Z103" s="27"/>
      <c r="AA103" s="27"/>
      <c r="AB103" s="27"/>
      <c r="AC103" s="27"/>
    </row>
    <row r="104" ht="13.5" customHeight="1">
      <c r="A104" s="131"/>
      <c r="B104" s="132">
        <f>IF(Z96="","",MROUND(Z96*0.85,'Start-Options'!B38))</f>
        <v>90</v>
      </c>
      <c r="C104" s="132">
        <f>IF(Z96="","",ROUND((37-36*B104/(Z96+'Start-Options'!F35)),0))</f>
        <v>7</v>
      </c>
      <c r="D104" s="132">
        <f>IF(Z96="","",MROUND(B104*36/(37-C104),'Start-Options'!B38))</f>
        <v>107.5</v>
      </c>
      <c r="E104" s="133">
        <v>5.0</v>
      </c>
      <c r="F104" s="134">
        <f>IF(E104="","",MROUND(36*B104/(37-E104),'Start-Options'!B38))</f>
        <v>102.5</v>
      </c>
      <c r="G104" s="135"/>
      <c r="H104" s="136"/>
      <c r="I104" s="137">
        <f>IF(Z96="","",MROUND(Z96*0.9,'Start-Options'!B38))</f>
        <v>95</v>
      </c>
      <c r="J104" s="132">
        <f>IF(F104="","",IF(F104&lt;Z96,ROUND((37-36*I104/(Z96+'Start-Options'!F35)),0),ROUND((37-36*I104/(F104+'Start-Options'!F35)),0)))</f>
        <v>5</v>
      </c>
      <c r="K104" s="132">
        <f>IF(J104="","",MROUND(I104*36/(37-J104),'Start-Options'!B38))</f>
        <v>107.5</v>
      </c>
      <c r="L104" s="133">
        <v>5.0</v>
      </c>
      <c r="M104" s="134">
        <f>IF(L104="","",MROUND(36*I104/(37-L104),'Start-Options'!B38))</f>
        <v>107.5</v>
      </c>
      <c r="N104" s="135"/>
      <c r="O104" s="136"/>
      <c r="P104" s="136">
        <f>IF(Z96="","",MROUND(Z96*0.95,'Start-Options'!B38))</f>
        <v>100</v>
      </c>
      <c r="Q104" s="132">
        <f>IF(M104="","",IF(M104&lt;Z96,ROUND((37-36*P104/(Z96+'Start-Options'!F35)),0),ROUND((37-36*P104/(M104+'Start-Options'!F35)),0)))</f>
        <v>4</v>
      </c>
      <c r="R104" s="135">
        <f>IF(Q104="","",MROUND(P104*36/(37-Q104),'Start-Options'!B38))</f>
        <v>110</v>
      </c>
      <c r="S104" s="161"/>
      <c r="T104" s="139" t="str">
        <f>IF(S104="","",MROUND(36*P104/(37-S104),'Start-Options'!B38))</f>
        <v/>
      </c>
      <c r="U104" s="135"/>
      <c r="V104" s="136"/>
      <c r="W104" s="140">
        <f>IF(Z96="","",MROUND(Z96*0.6,'Start-Options'!B38))</f>
        <v>62.5</v>
      </c>
      <c r="X104" s="27"/>
      <c r="Y104" s="27"/>
      <c r="Z104" s="27"/>
      <c r="AA104" s="27"/>
      <c r="AB104" s="27"/>
      <c r="AC104" s="27"/>
    </row>
    <row r="105" ht="12.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row>
    <row r="106" ht="21.0" customHeight="1">
      <c r="A106" s="27"/>
      <c r="B106" s="27"/>
      <c r="C106" s="27"/>
      <c r="D106" s="27"/>
      <c r="E106" s="27"/>
      <c r="F106" s="27"/>
      <c r="G106" s="27"/>
      <c r="H106" s="27"/>
      <c r="I106" s="27"/>
      <c r="J106" s="27"/>
      <c r="K106" s="27"/>
      <c r="L106" s="27"/>
      <c r="M106" s="86" t="s">
        <v>130</v>
      </c>
      <c r="N106" s="160"/>
      <c r="O106" s="27"/>
      <c r="P106" s="27"/>
      <c r="Q106" s="27"/>
      <c r="R106" s="27"/>
      <c r="S106" s="27"/>
      <c r="T106" s="27"/>
      <c r="U106" s="27"/>
      <c r="V106" s="27"/>
      <c r="W106" s="27"/>
      <c r="X106" s="27"/>
      <c r="Y106" s="27"/>
      <c r="Z106" s="27"/>
      <c r="AA106" s="27"/>
      <c r="AB106" s="27"/>
      <c r="AC106" s="27"/>
    </row>
    <row r="107" ht="15.75" customHeight="1">
      <c r="A107" s="88"/>
      <c r="B107" s="91"/>
      <c r="C107" s="89" t="s">
        <v>131</v>
      </c>
      <c r="D107" s="91"/>
      <c r="E107" s="91"/>
      <c r="F107" s="91"/>
      <c r="G107" s="91"/>
      <c r="H107" s="91"/>
      <c r="I107" s="92"/>
      <c r="J107" s="89" t="s">
        <v>132</v>
      </c>
      <c r="K107" s="91"/>
      <c r="L107" s="91"/>
      <c r="M107" s="91"/>
      <c r="N107" s="91"/>
      <c r="O107" s="91"/>
      <c r="P107" s="91"/>
      <c r="Q107" s="89" t="s">
        <v>133</v>
      </c>
      <c r="R107" s="91"/>
      <c r="S107" s="91"/>
      <c r="T107" s="91"/>
      <c r="U107" s="91"/>
      <c r="V107" s="93" t="s">
        <v>134</v>
      </c>
      <c r="W107" s="94"/>
      <c r="X107" s="27"/>
      <c r="Y107" s="27"/>
      <c r="Z107" s="27"/>
      <c r="AA107" s="27"/>
      <c r="AB107" s="27"/>
      <c r="AC107" s="27"/>
    </row>
    <row r="108" ht="32.25" customHeight="1">
      <c r="A108" s="95"/>
      <c r="B108" s="96" t="s">
        <v>26</v>
      </c>
      <c r="C108" s="97" t="s">
        <v>88</v>
      </c>
      <c r="D108" s="97" t="s">
        <v>89</v>
      </c>
      <c r="E108" s="97" t="s">
        <v>90</v>
      </c>
      <c r="F108" s="96" t="s">
        <v>91</v>
      </c>
      <c r="G108" s="27"/>
      <c r="H108" s="98"/>
      <c r="I108" s="96" t="s">
        <v>26</v>
      </c>
      <c r="J108" s="97" t="s">
        <v>88</v>
      </c>
      <c r="K108" s="97" t="s">
        <v>89</v>
      </c>
      <c r="L108" s="97" t="s">
        <v>90</v>
      </c>
      <c r="M108" s="96" t="s">
        <v>91</v>
      </c>
      <c r="N108" s="27"/>
      <c r="O108" s="98"/>
      <c r="P108" s="96" t="s">
        <v>26</v>
      </c>
      <c r="Q108" s="97" t="s">
        <v>88</v>
      </c>
      <c r="R108" s="97" t="s">
        <v>89</v>
      </c>
      <c r="S108" s="97" t="s">
        <v>90</v>
      </c>
      <c r="T108" s="96" t="s">
        <v>91</v>
      </c>
      <c r="U108" s="27"/>
      <c r="V108" s="99"/>
      <c r="W108" s="159" t="s">
        <v>26</v>
      </c>
      <c r="X108" s="27"/>
      <c r="Y108" s="101" t="s">
        <v>135</v>
      </c>
      <c r="Z108" s="71"/>
      <c r="AA108" s="141"/>
      <c r="AB108" s="142" t="s">
        <v>104</v>
      </c>
      <c r="AC108" s="143" t="s">
        <v>105</v>
      </c>
    </row>
    <row r="109" ht="12.75" customHeight="1">
      <c r="A109" s="102"/>
      <c r="B109" s="103">
        <f>IF(Z109="","",MROUND(Z109*0.65,'Start-Options'!B38))</f>
        <v>42.5</v>
      </c>
      <c r="C109" s="103"/>
      <c r="D109" s="103"/>
      <c r="E109" s="103"/>
      <c r="F109" s="104"/>
      <c r="G109" s="105"/>
      <c r="H109" s="106"/>
      <c r="I109" s="107">
        <f>IF(Z109="","",MROUND(Z109*0.7,'Start-Options'!B38))</f>
        <v>45</v>
      </c>
      <c r="J109" s="103"/>
      <c r="K109" s="103"/>
      <c r="L109" s="103"/>
      <c r="M109" s="104"/>
      <c r="N109" s="105"/>
      <c r="O109" s="106"/>
      <c r="P109" s="106">
        <f>IF(Z109="","",MROUND(Z109*0.75,'Start-Options'!B38))</f>
        <v>50</v>
      </c>
      <c r="Q109" s="108"/>
      <c r="R109" s="108"/>
      <c r="S109" s="108"/>
      <c r="T109" s="109"/>
      <c r="U109" s="105"/>
      <c r="V109" s="106"/>
      <c r="W109" s="110">
        <f>IF(Z109="","",MROUND(Z109*0.4,'Start-Options'!B38))</f>
        <v>25</v>
      </c>
      <c r="X109" s="27"/>
      <c r="Y109" s="37" t="str">
        <f>'Start-Options'!B4</f>
        <v>Military</v>
      </c>
      <c r="Z109" s="106">
        <f>IF(Z93="","",IF(ISTEXT(AB93),Z93-AC93,Z93+'Start-Options'!C32))</f>
        <v>65</v>
      </c>
      <c r="AA109" s="146"/>
      <c r="AB109" s="36"/>
      <c r="AC109" s="147"/>
    </row>
    <row r="110" ht="12.75" customHeight="1">
      <c r="A110" s="111" t="str">
        <f>'Start-Options'!B4</f>
        <v>Military</v>
      </c>
      <c r="B110" s="112">
        <f>IF(Z109="","",MROUND(Z109*0.75,'Start-Options'!B38))</f>
        <v>50</v>
      </c>
      <c r="C110" s="112"/>
      <c r="D110" s="112"/>
      <c r="E110" s="112"/>
      <c r="F110" s="113"/>
      <c r="G110" s="105"/>
      <c r="H110" s="114" t="str">
        <f>'Start-Options'!B4</f>
        <v>Military</v>
      </c>
      <c r="I110" s="115">
        <f>IF(Z109="","",MROUND(Z109*0.8,'Start-Options'!B38))</f>
        <v>52.5</v>
      </c>
      <c r="J110" s="112"/>
      <c r="K110" s="112"/>
      <c r="L110" s="112"/>
      <c r="M110" s="113"/>
      <c r="N110" s="105"/>
      <c r="O110" s="114" t="str">
        <f>'Start-Options'!B4</f>
        <v>Military</v>
      </c>
      <c r="P110" s="114">
        <f>IF(Z109="","",MROUND(Z109*0.85,'Start-Options'!B38))</f>
        <v>55</v>
      </c>
      <c r="Q110" s="105"/>
      <c r="R110" s="105"/>
      <c r="S110" s="105"/>
      <c r="T110" s="116"/>
      <c r="U110" s="105"/>
      <c r="V110" s="114" t="str">
        <f>'Start-Options'!B4</f>
        <v>Military</v>
      </c>
      <c r="W110" s="117">
        <f>IF(Z109="","",MROUND(Z109*0.5,'Start-Options'!B38))</f>
        <v>32.5</v>
      </c>
      <c r="X110" s="27"/>
      <c r="Y110" s="118" t="str">
        <f>'Start-Options'!B5</f>
        <v>Deadlift</v>
      </c>
      <c r="Z110" s="114">
        <f>IF(Z94="","",IF(ISTEXT(AB94),Z94-AC94,Z94+'Start-Options'!C33))</f>
        <v>140</v>
      </c>
      <c r="AA110" s="150"/>
      <c r="AB110" s="151"/>
      <c r="AC110" s="147"/>
    </row>
    <row r="111" ht="12.75" customHeight="1">
      <c r="A111" s="119"/>
      <c r="B111" s="120">
        <f>IF(Z109="","",MROUND(Z109*0.85,'Start-Options'!B38))</f>
        <v>55</v>
      </c>
      <c r="C111" s="120">
        <f>IF(Z109="","",ROUND((37-36*B111/(Z109+'Start-Options'!F32)),0))</f>
        <v>8</v>
      </c>
      <c r="D111" s="120">
        <f>IF(Z109="","",MROUND(B111*36/(37-C111),'Start-Options'!B38))</f>
        <v>67.5</v>
      </c>
      <c r="E111" s="156"/>
      <c r="F111" s="122" t="str">
        <f>IF(E111="","",MROUND(36*B111/(37-E111),'Start-Options'!B38))</f>
        <v/>
      </c>
      <c r="G111" s="105"/>
      <c r="H111" s="123"/>
      <c r="I111" s="124">
        <f>IF(Z109="","",MROUND(Z109*0.9,'Start-Options'!B38))</f>
        <v>57.5</v>
      </c>
      <c r="J111" s="120" t="str">
        <f>IF(F111="","",IF(F111&lt;Z109,ROUND((37-36*I111/(Z109+'Start-Options'!F32)),0),ROUND((37-36*I111/(F111+'Start-Options'!F32)),0)))</f>
        <v/>
      </c>
      <c r="K111" s="120" t="str">
        <f>IF(J111="","",MROUND(I111*36/(37-J111),'Start-Options'!B38))</f>
        <v/>
      </c>
      <c r="L111" s="156"/>
      <c r="M111" s="122" t="str">
        <f>IF(L111="","",MROUND(36*I111/(37-L111),'Start-Options'!B38))</f>
        <v/>
      </c>
      <c r="N111" s="105"/>
      <c r="O111" s="123"/>
      <c r="P111" s="123">
        <f>IF(Z109="","",MROUND(Z109*0.95,'Start-Options'!B38))</f>
        <v>62.5</v>
      </c>
      <c r="Q111" s="120" t="str">
        <f>IF(M111="","",IF(M111&lt;Z109,ROUND((37-36*P111/(Z109+'Start-Options'!F32)),0),ROUND((37-36*P111/(M111+'Start-Options'!F32)),0)))</f>
        <v/>
      </c>
      <c r="R111" s="125" t="str">
        <f>IF(Q111="","",MROUND(P111*36/(37-Q111),'Start-Options'!B38))</f>
        <v/>
      </c>
      <c r="S111" s="152"/>
      <c r="T111" s="127" t="str">
        <f>IF(S111="","",MROUND(36*P111/(37-S111),'Start-Options'!B38))</f>
        <v/>
      </c>
      <c r="U111" s="105"/>
      <c r="V111" s="123"/>
      <c r="W111" s="128">
        <f>IF(Z109="","",MROUND(Z109*0.6,'Start-Options'!B38))</f>
        <v>40</v>
      </c>
      <c r="X111" s="27"/>
      <c r="Y111" s="118" t="str">
        <f>'Start-Options'!B6</f>
        <v>Bench</v>
      </c>
      <c r="Z111" s="114">
        <f>IF(Z95="","",IF(ISTEXT(AB95),Z95-AC95,Z95+'Start-Options'!C34))</f>
        <v>85</v>
      </c>
      <c r="AA111" s="150"/>
      <c r="AB111" s="151"/>
      <c r="AC111" s="147"/>
    </row>
    <row r="112" ht="12.75" customHeight="1">
      <c r="A112" s="102"/>
      <c r="B112" s="103">
        <f>IF(Z110="","",MROUND(Z110*0.65,'Start-Options'!B38))</f>
        <v>90</v>
      </c>
      <c r="C112" s="103"/>
      <c r="D112" s="103"/>
      <c r="E112" s="103"/>
      <c r="F112" s="104"/>
      <c r="G112" s="105"/>
      <c r="H112" s="106"/>
      <c r="I112" s="107">
        <f>IF(Z110="","",MROUND(Z110*0.7,'Start-Options'!B38))</f>
        <v>97.5</v>
      </c>
      <c r="J112" s="103"/>
      <c r="K112" s="103"/>
      <c r="L112" s="103"/>
      <c r="M112" s="104"/>
      <c r="N112" s="105"/>
      <c r="O112" s="106"/>
      <c r="P112" s="106">
        <f>IF(Z110="","",MROUND(Z110*0.75,'Start-Options'!B38))</f>
        <v>105</v>
      </c>
      <c r="Q112" s="108"/>
      <c r="R112" s="108"/>
      <c r="S112" s="108"/>
      <c r="T112" s="109"/>
      <c r="U112" s="105"/>
      <c r="V112" s="106"/>
      <c r="W112" s="110">
        <f>IF(Z110="","",MROUND(Z110*0.4,'Start-Options'!B38))</f>
        <v>55</v>
      </c>
      <c r="X112" s="27"/>
      <c r="Y112" s="129" t="str">
        <f>'Start-Options'!B7</f>
        <v>Squat</v>
      </c>
      <c r="Z112" s="123">
        <f>IF(Z96="","",IF(ISTEXT(AB96),Z96-AC96,Z96+'Start-Options'!C35))</f>
        <v>110</v>
      </c>
      <c r="AA112" s="153"/>
      <c r="AB112" s="154"/>
      <c r="AC112" s="155"/>
    </row>
    <row r="113" ht="12.75" customHeight="1">
      <c r="A113" s="111" t="str">
        <f>'Start-Options'!B5</f>
        <v>Deadlift</v>
      </c>
      <c r="B113" s="112">
        <f>IF(Z110="","",MROUND(Z110*0.75,'Start-Options'!B38))</f>
        <v>105</v>
      </c>
      <c r="C113" s="112"/>
      <c r="D113" s="112"/>
      <c r="E113" s="112"/>
      <c r="F113" s="113"/>
      <c r="G113" s="105"/>
      <c r="H113" s="114" t="str">
        <f>'Start-Options'!B5</f>
        <v>Deadlift</v>
      </c>
      <c r="I113" s="115">
        <f>IF(Z110="","",MROUND(Z110*0.8,'Start-Options'!B38))</f>
        <v>112.5</v>
      </c>
      <c r="J113" s="112"/>
      <c r="K113" s="112"/>
      <c r="L113" s="112"/>
      <c r="M113" s="113"/>
      <c r="N113" s="105"/>
      <c r="O113" s="114" t="str">
        <f>'Start-Options'!B5</f>
        <v>Deadlift</v>
      </c>
      <c r="P113" s="114">
        <f>IF(Z110="","",MROUND(Z110*0.85,'Start-Options'!B38))</f>
        <v>120</v>
      </c>
      <c r="Q113" s="105"/>
      <c r="R113" s="105"/>
      <c r="S113" s="105"/>
      <c r="T113" s="116"/>
      <c r="U113" s="105"/>
      <c r="V113" s="114" t="str">
        <f>'Start-Options'!B5</f>
        <v>Deadlift</v>
      </c>
      <c r="W113" s="117">
        <f>IF(Z110="","",MROUND(Z110*0.5,'Start-Options'!B38))</f>
        <v>70</v>
      </c>
      <c r="X113" s="27"/>
      <c r="Y113" s="27"/>
      <c r="Z113" s="27"/>
      <c r="AA113" s="27"/>
      <c r="AB113" s="27"/>
      <c r="AC113" s="27"/>
    </row>
    <row r="114" ht="12.75" customHeight="1">
      <c r="A114" s="130"/>
      <c r="B114" s="120">
        <f>IF(Z110="","",MROUND(Z110*0.85,'Start-Options'!B38))</f>
        <v>120</v>
      </c>
      <c r="C114" s="120">
        <f>IF(Z110="","",ROUND((37-36*B114/(Z110+'Start-Options'!F33)),0))</f>
        <v>7</v>
      </c>
      <c r="D114" s="120">
        <f>IF(Z110="","",MROUND(B114*36/(37-C114),'Start-Options'!B38))</f>
        <v>145</v>
      </c>
      <c r="E114" s="156"/>
      <c r="F114" s="122" t="str">
        <f>IF(E114="","",MROUND(36*B114/(37-E114),'Start-Options'!B38))</f>
        <v/>
      </c>
      <c r="G114" s="105"/>
      <c r="H114" s="123"/>
      <c r="I114" s="124">
        <f>IF(Z110="","",MROUND(Z110*0.9,'Start-Options'!B38))</f>
        <v>125</v>
      </c>
      <c r="J114" s="120" t="str">
        <f>IF(F114="","",IF(F114&lt;Z110,ROUND((37-36*I114/(Z110+'Start-Options'!F33)),0),ROUND((37-36*I114/(F114+'Start-Options'!F33)),0)))</f>
        <v/>
      </c>
      <c r="K114" s="120" t="str">
        <f>IF(J114="","",MROUND(I114*36/(37-J114),'Start-Options'!B38))</f>
        <v/>
      </c>
      <c r="L114" s="156"/>
      <c r="M114" s="122" t="str">
        <f>IF(L114="","",MROUND(36*I114/(37-L114),'Start-Options'!B38))</f>
        <v/>
      </c>
      <c r="N114" s="105"/>
      <c r="O114" s="123"/>
      <c r="P114" s="123">
        <f>IF(Z110="","",MROUND(Z110*0.95,'Start-Options'!B38))</f>
        <v>132.5</v>
      </c>
      <c r="Q114" s="120" t="str">
        <f>IF(M114="","",IF(M114&lt;Z110,ROUND((37-36*P114/(Z110+'Start-Options'!F33)),0),ROUND((37-36*P114/(M114+'Start-Options'!F33)),0)))</f>
        <v/>
      </c>
      <c r="R114" s="125" t="str">
        <f>IF(Q114="","",MROUND(P114*36/(37-Q114),'Start-Options'!B38))</f>
        <v/>
      </c>
      <c r="S114" s="152"/>
      <c r="T114" s="127" t="str">
        <f>IF(S114="","",MROUND(36*P114/(37-S114),'Start-Options'!B38))</f>
        <v/>
      </c>
      <c r="U114" s="105"/>
      <c r="V114" s="123"/>
      <c r="W114" s="128">
        <f>IF(Z110="","",MROUND(Z110*0.6,'Start-Options'!B38))</f>
        <v>85</v>
      </c>
      <c r="X114" s="27"/>
      <c r="Y114" s="70" t="s">
        <v>93</v>
      </c>
      <c r="Z114" s="71"/>
      <c r="AA114" s="27"/>
      <c r="AB114" s="27"/>
      <c r="AC114" s="27"/>
    </row>
    <row r="115" ht="12.75" customHeight="1">
      <c r="A115" s="102"/>
      <c r="B115" s="103">
        <f>IF(Z111="","",MROUND(Z111*0.65,'Start-Options'!B38))</f>
        <v>55</v>
      </c>
      <c r="C115" s="103"/>
      <c r="D115" s="103"/>
      <c r="E115" s="103"/>
      <c r="F115" s="104"/>
      <c r="G115" s="105"/>
      <c r="H115" s="106"/>
      <c r="I115" s="107">
        <f>IF(Z111="","",MROUND(Z111*0.7,'Start-Options'!B38))</f>
        <v>60</v>
      </c>
      <c r="J115" s="103"/>
      <c r="K115" s="103"/>
      <c r="L115" s="103"/>
      <c r="M115" s="104"/>
      <c r="N115" s="105"/>
      <c r="O115" s="106"/>
      <c r="P115" s="106">
        <f>IF(Z111="","",MROUND(Z111*0.75,'Start-Options'!B38))</f>
        <v>65</v>
      </c>
      <c r="Q115" s="108"/>
      <c r="R115" s="108"/>
      <c r="S115" s="108"/>
      <c r="T115" s="109"/>
      <c r="U115" s="105"/>
      <c r="V115" s="106"/>
      <c r="W115" s="110">
        <f>IF(Z111="","",MROUND(Z111*0.4,'Start-Options'!B38))</f>
        <v>35</v>
      </c>
      <c r="X115" s="27"/>
      <c r="Y115" s="25" t="s">
        <v>94</v>
      </c>
      <c r="Z115" s="162"/>
      <c r="AA115" s="27"/>
      <c r="AB115" s="27"/>
      <c r="AC115" s="27"/>
    </row>
    <row r="116" ht="12.75" customHeight="1">
      <c r="A116" s="111" t="str">
        <f>'Start-Options'!B6</f>
        <v>Bench</v>
      </c>
      <c r="B116" s="112">
        <f>IF(Z111="","",MROUND(Z111*0.75,'Start-Options'!B38))</f>
        <v>65</v>
      </c>
      <c r="C116" s="112"/>
      <c r="D116" s="112"/>
      <c r="E116" s="112"/>
      <c r="F116" s="113"/>
      <c r="G116" s="105"/>
      <c r="H116" s="114" t="str">
        <f>'Start-Options'!B6</f>
        <v>Bench</v>
      </c>
      <c r="I116" s="115">
        <f>IF(Z111="","",MROUND(Z111*0.8,'Start-Options'!B38))</f>
        <v>67.5</v>
      </c>
      <c r="J116" s="112"/>
      <c r="K116" s="112"/>
      <c r="L116" s="112"/>
      <c r="M116" s="113"/>
      <c r="N116" s="105"/>
      <c r="O116" s="114" t="str">
        <f>'Start-Options'!B6</f>
        <v>Bench</v>
      </c>
      <c r="P116" s="114">
        <f>IF(Z111="","",MROUND(Z111*0.85,'Start-Options'!B38))</f>
        <v>72.5</v>
      </c>
      <c r="Q116" s="105"/>
      <c r="R116" s="105"/>
      <c r="S116" s="105"/>
      <c r="T116" s="116"/>
      <c r="U116" s="105"/>
      <c r="V116" s="114" t="str">
        <f>'Start-Options'!B6</f>
        <v>Bench</v>
      </c>
      <c r="W116" s="117">
        <f>IF(Z111="","",MROUND(Z111*0.5,'Start-Options'!B38))</f>
        <v>42.5</v>
      </c>
      <c r="X116" s="27"/>
      <c r="Y116" s="77" t="s">
        <v>95</v>
      </c>
      <c r="Z116" s="78" t="str">
        <f>IF(Z115="","",MROUND(Z115*0.4,'Start-Options'!$B$38))</f>
        <v/>
      </c>
      <c r="AA116" s="27"/>
      <c r="AB116" s="27"/>
      <c r="AC116" s="27"/>
    </row>
    <row r="117" ht="12.75" customHeight="1">
      <c r="A117" s="119"/>
      <c r="B117" s="120">
        <f>IF(Z111="","",MROUND(Z111*0.85,'Start-Options'!B38))</f>
        <v>72.5</v>
      </c>
      <c r="C117" s="120">
        <f>IF(Z111="","",ROUND((37-36*B117/(Z111+'Start-Options'!F34)),0))</f>
        <v>7</v>
      </c>
      <c r="D117" s="120">
        <f>IF(Z111="","",MROUND(B117*36/(37-C117),'Start-Options'!B38))</f>
        <v>87.5</v>
      </c>
      <c r="E117" s="156"/>
      <c r="F117" s="122" t="str">
        <f>IF(E117="","",MROUND(36*B117/(37-E117),'Start-Options'!B38))</f>
        <v/>
      </c>
      <c r="G117" s="105"/>
      <c r="H117" s="123"/>
      <c r="I117" s="124">
        <f>IF(Z111="","",MROUND(Z111*0.9,'Start-Options'!B38))</f>
        <v>77.5</v>
      </c>
      <c r="J117" s="120" t="str">
        <f>IF(F117="","",IF(F117&lt;Z111,ROUND((37-36*I117/(Z111+'Start-Options'!F34)),0),ROUND((37-36*I117/(F117+'Start-Options'!F34)),0)))</f>
        <v/>
      </c>
      <c r="K117" s="120" t="str">
        <f>IF(J117="","",MROUND(I117*36/(37-J117),'Start-Options'!B38))</f>
        <v/>
      </c>
      <c r="L117" s="156"/>
      <c r="M117" s="122" t="str">
        <f>IF(L117="","",MROUND(36*I117/(37-L117),'Start-Options'!B38))</f>
        <v/>
      </c>
      <c r="N117" s="105"/>
      <c r="O117" s="123"/>
      <c r="P117" s="123">
        <f>IF(Z111="","",MROUND(Z111*0.95,'Start-Options'!B38))</f>
        <v>80</v>
      </c>
      <c r="Q117" s="120" t="str">
        <f>IF(M117="","",IF(M117&lt;Z111,ROUND((37-36*P117/(Z111+'Start-Options'!F34)),0),ROUND((37-36*P117/(M117+'Start-Options'!F34)),0)))</f>
        <v/>
      </c>
      <c r="R117" s="125" t="str">
        <f>IF(Q117="","",MROUND(P117*36/(37-Q117),'Start-Options'!B38))</f>
        <v/>
      </c>
      <c r="S117" s="152"/>
      <c r="T117" s="127" t="str">
        <f>IF(S117="","",MROUND(36*P117/(37-S117),'Start-Options'!B38))</f>
        <v/>
      </c>
      <c r="U117" s="105"/>
      <c r="V117" s="123"/>
      <c r="W117" s="128">
        <f>IF(Z111="","",MROUND(Z111*0.6,'Start-Options'!B38))</f>
        <v>50</v>
      </c>
      <c r="X117" s="27"/>
      <c r="Y117" s="77" t="s">
        <v>96</v>
      </c>
      <c r="Z117" s="78" t="str">
        <f>IF(Z115="","",MROUND(Z115*0.5,'Start-Options'!$B$38))</f>
        <v/>
      </c>
      <c r="AA117" s="27"/>
      <c r="AB117" s="27"/>
      <c r="AC117" s="27"/>
    </row>
    <row r="118" ht="12.75" customHeight="1">
      <c r="A118" s="111"/>
      <c r="B118" s="103">
        <f>IF(Z112="","",MROUND(Z112*0.65,'Start-Options'!B38))</f>
        <v>72.5</v>
      </c>
      <c r="C118" s="103"/>
      <c r="D118" s="103"/>
      <c r="E118" s="103"/>
      <c r="F118" s="104"/>
      <c r="G118" s="105"/>
      <c r="H118" s="106"/>
      <c r="I118" s="107">
        <f>IF(Z112="","",MROUND(Z112*0.7,'Start-Options'!B38))</f>
        <v>77.5</v>
      </c>
      <c r="J118" s="103"/>
      <c r="K118" s="103"/>
      <c r="L118" s="103"/>
      <c r="M118" s="104"/>
      <c r="N118" s="105"/>
      <c r="O118" s="106"/>
      <c r="P118" s="106">
        <f>IF(Z112="","",MROUND(Z112*0.75,'Start-Options'!B38))</f>
        <v>82.5</v>
      </c>
      <c r="Q118" s="108"/>
      <c r="R118" s="108"/>
      <c r="S118" s="108"/>
      <c r="T118" s="109"/>
      <c r="U118" s="105"/>
      <c r="V118" s="106"/>
      <c r="W118" s="110">
        <f>IF(Z112="","",MROUND(Z112*0.4,'Start-Options'!B38))</f>
        <v>45</v>
      </c>
      <c r="X118" s="27"/>
      <c r="Y118" s="82" t="s">
        <v>97</v>
      </c>
      <c r="Z118" s="83" t="str">
        <f>IF(Z115="","",MROUND(Z115*0.6,'Start-Options'!$B$38))</f>
        <v/>
      </c>
      <c r="AA118" s="27"/>
      <c r="AB118" s="27"/>
      <c r="AC118" s="27"/>
    </row>
    <row r="119" ht="12.75" customHeight="1">
      <c r="A119" s="111" t="str">
        <f>'Start-Options'!B7</f>
        <v>Squat</v>
      </c>
      <c r="B119" s="112">
        <f>IF(Z112="","",MROUND(Z112*0.75,'Start-Options'!B38))</f>
        <v>82.5</v>
      </c>
      <c r="C119" s="112"/>
      <c r="D119" s="112"/>
      <c r="E119" s="112"/>
      <c r="F119" s="113"/>
      <c r="G119" s="105"/>
      <c r="H119" s="114" t="str">
        <f>'Start-Options'!B7</f>
        <v>Squat</v>
      </c>
      <c r="I119" s="115">
        <f>IF(Z112="","",MROUND(Z112*0.8,'Start-Options'!B38))</f>
        <v>87.5</v>
      </c>
      <c r="J119" s="112"/>
      <c r="K119" s="112"/>
      <c r="L119" s="112"/>
      <c r="M119" s="113"/>
      <c r="N119" s="105"/>
      <c r="O119" s="114" t="str">
        <f>'Start-Options'!B7</f>
        <v>Squat</v>
      </c>
      <c r="P119" s="114">
        <f>IF(Z112="","",MROUND(Z112*0.85,'Start-Options'!B38))</f>
        <v>92.5</v>
      </c>
      <c r="Q119" s="105"/>
      <c r="R119" s="105"/>
      <c r="S119" s="105"/>
      <c r="T119" s="116"/>
      <c r="U119" s="105"/>
      <c r="V119" s="114" t="str">
        <f>'Start-Options'!B7</f>
        <v>Squat</v>
      </c>
      <c r="W119" s="117">
        <f>IF(Z112="","",MROUND(Z112*0.5,'Start-Options'!B38))</f>
        <v>55</v>
      </c>
      <c r="X119" s="27"/>
      <c r="Y119" s="27"/>
      <c r="Z119" s="27"/>
      <c r="AA119" s="27"/>
      <c r="AB119" s="27"/>
      <c r="AC119" s="27"/>
    </row>
    <row r="120" ht="13.5" customHeight="1">
      <c r="A120" s="131"/>
      <c r="B120" s="132">
        <f>IF(Z112="","",MROUND(Z112*0.85,'Start-Options'!B38))</f>
        <v>92.5</v>
      </c>
      <c r="C120" s="132">
        <f>IF(Z112="","",ROUND((37-36*B120/(Z112+'Start-Options'!F35)),0))</f>
        <v>7</v>
      </c>
      <c r="D120" s="132">
        <f>IF(Z112="","",MROUND(B120*36/(37-C120),'Start-Options'!B38))</f>
        <v>110</v>
      </c>
      <c r="E120" s="157"/>
      <c r="F120" s="134" t="str">
        <f>IF(E120="","",MROUND(36*B120/(37-E120),'Start-Options'!B38))</f>
        <v/>
      </c>
      <c r="G120" s="135"/>
      <c r="H120" s="136"/>
      <c r="I120" s="137">
        <f>IF(Z112="","",MROUND(Z112*0.9,'Start-Options'!B38))</f>
        <v>100</v>
      </c>
      <c r="J120" s="132" t="str">
        <f>IF(F120="","",IF(F120&lt;Z112,ROUND((37-36*I120/(Z112+'Start-Options'!F35)),0),ROUND((37-36*I120/(F120+'Start-Options'!F35)),0)))</f>
        <v/>
      </c>
      <c r="K120" s="132" t="str">
        <f>IF(J120="","",MROUND(I120*36/(37-J120),'Start-Options'!B38))</f>
        <v/>
      </c>
      <c r="L120" s="157"/>
      <c r="M120" s="134" t="str">
        <f>IF(L120="","",MROUND(36*I120/(37-L120),'Start-Options'!B38))</f>
        <v/>
      </c>
      <c r="N120" s="135"/>
      <c r="O120" s="136"/>
      <c r="P120" s="136">
        <f>IF(Z112="","",MROUND(Z112*0.95,'Start-Options'!B38))</f>
        <v>105</v>
      </c>
      <c r="Q120" s="132" t="str">
        <f>IF(M120="","",IF(M120&lt;Z112,ROUND((37-36*P120/(Z112+'Start-Options'!F35)),0),ROUND((37-36*P120/(M120+'Start-Options'!F35)),0)))</f>
        <v/>
      </c>
      <c r="R120" s="135" t="str">
        <f>IF(Q120="","",MROUND(P120*36/(37-Q120),'Start-Options'!B38))</f>
        <v/>
      </c>
      <c r="S120" s="161"/>
      <c r="T120" s="139" t="str">
        <f>IF(S120="","",MROUND(36*P120/(37-S120),'Start-Options'!B38))</f>
        <v/>
      </c>
      <c r="U120" s="135"/>
      <c r="V120" s="136"/>
      <c r="W120" s="140">
        <f>IF(Z112="","",MROUND(Z112*0.6,'Start-Options'!B38))</f>
        <v>65</v>
      </c>
      <c r="X120" s="27"/>
      <c r="Y120" s="27"/>
      <c r="Z120" s="27"/>
      <c r="AA120" s="27"/>
      <c r="AB120" s="27"/>
      <c r="AC120" s="27"/>
    </row>
    <row r="121" ht="12.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row>
    <row r="122" ht="21.0" customHeight="1">
      <c r="A122" s="27"/>
      <c r="B122" s="27"/>
      <c r="C122" s="27"/>
      <c r="D122" s="27"/>
      <c r="E122" s="27"/>
      <c r="F122" s="27"/>
      <c r="G122" s="27"/>
      <c r="H122" s="27"/>
      <c r="I122" s="27"/>
      <c r="J122" s="27"/>
      <c r="K122" s="27"/>
      <c r="L122" s="27"/>
      <c r="M122" s="86" t="s">
        <v>136</v>
      </c>
      <c r="N122" s="160"/>
      <c r="O122" s="27"/>
      <c r="P122" s="27"/>
      <c r="Q122" s="27"/>
      <c r="R122" s="27"/>
      <c r="S122" s="27"/>
      <c r="T122" s="27"/>
      <c r="U122" s="27"/>
      <c r="V122" s="27"/>
      <c r="W122" s="27"/>
      <c r="X122" s="27"/>
      <c r="Y122" s="27"/>
      <c r="Z122" s="27"/>
      <c r="AA122" s="27"/>
      <c r="AB122" s="27"/>
      <c r="AC122" s="27"/>
    </row>
    <row r="123" ht="15.75" customHeight="1">
      <c r="A123" s="88"/>
      <c r="B123" s="91"/>
      <c r="C123" s="89" t="s">
        <v>137</v>
      </c>
      <c r="D123" s="91"/>
      <c r="E123" s="91"/>
      <c r="F123" s="91"/>
      <c r="G123" s="91"/>
      <c r="H123" s="91"/>
      <c r="I123" s="92"/>
      <c r="J123" s="89" t="s">
        <v>138</v>
      </c>
      <c r="K123" s="91"/>
      <c r="L123" s="91"/>
      <c r="M123" s="91"/>
      <c r="N123" s="91"/>
      <c r="O123" s="91"/>
      <c r="P123" s="91"/>
      <c r="Q123" s="89" t="s">
        <v>139</v>
      </c>
      <c r="R123" s="91"/>
      <c r="S123" s="91"/>
      <c r="T123" s="91"/>
      <c r="U123" s="91"/>
      <c r="V123" s="93" t="s">
        <v>140</v>
      </c>
      <c r="W123" s="94"/>
      <c r="X123" s="27"/>
      <c r="Y123" s="27"/>
      <c r="Z123" s="27"/>
      <c r="AA123" s="27"/>
      <c r="AB123" s="27"/>
      <c r="AC123" s="27"/>
    </row>
    <row r="124" ht="32.25" customHeight="1">
      <c r="A124" s="95"/>
      <c r="B124" s="96" t="s">
        <v>26</v>
      </c>
      <c r="C124" s="97" t="s">
        <v>88</v>
      </c>
      <c r="D124" s="97" t="s">
        <v>89</v>
      </c>
      <c r="E124" s="97" t="s">
        <v>90</v>
      </c>
      <c r="F124" s="96" t="s">
        <v>91</v>
      </c>
      <c r="G124" s="27"/>
      <c r="H124" s="98"/>
      <c r="I124" s="96" t="s">
        <v>26</v>
      </c>
      <c r="J124" s="97" t="s">
        <v>88</v>
      </c>
      <c r="K124" s="97" t="s">
        <v>89</v>
      </c>
      <c r="L124" s="97" t="s">
        <v>90</v>
      </c>
      <c r="M124" s="96" t="s">
        <v>91</v>
      </c>
      <c r="N124" s="27"/>
      <c r="O124" s="98"/>
      <c r="P124" s="96" t="s">
        <v>26</v>
      </c>
      <c r="Q124" s="97" t="s">
        <v>88</v>
      </c>
      <c r="R124" s="97" t="s">
        <v>89</v>
      </c>
      <c r="S124" s="97" t="s">
        <v>90</v>
      </c>
      <c r="T124" s="96" t="s">
        <v>91</v>
      </c>
      <c r="U124" s="27"/>
      <c r="V124" s="99"/>
      <c r="W124" s="159" t="s">
        <v>26</v>
      </c>
      <c r="X124" s="27"/>
      <c r="Y124" s="101" t="s">
        <v>141</v>
      </c>
      <c r="Z124" s="71"/>
      <c r="AA124" s="141"/>
      <c r="AB124" s="142" t="s">
        <v>104</v>
      </c>
      <c r="AC124" s="143" t="s">
        <v>105</v>
      </c>
    </row>
    <row r="125" ht="12.75" customHeight="1">
      <c r="A125" s="102"/>
      <c r="B125" s="103">
        <f>IF(Z125="","",MROUND(Z125*0.65,'Start-Options'!B38))</f>
        <v>45</v>
      </c>
      <c r="C125" s="103"/>
      <c r="D125" s="103"/>
      <c r="E125" s="103"/>
      <c r="F125" s="104"/>
      <c r="G125" s="105"/>
      <c r="H125" s="106"/>
      <c r="I125" s="107">
        <f>IF(Z125="","",MROUND(Z125*0.7,'Start-Options'!B38))</f>
        <v>47.5</v>
      </c>
      <c r="J125" s="103"/>
      <c r="K125" s="103"/>
      <c r="L125" s="103"/>
      <c r="M125" s="104"/>
      <c r="N125" s="105"/>
      <c r="O125" s="106"/>
      <c r="P125" s="106">
        <f>IF(Z125="","",MROUND(Z125*0.75,'Start-Options'!B38))</f>
        <v>50</v>
      </c>
      <c r="Q125" s="108"/>
      <c r="R125" s="108"/>
      <c r="S125" s="108"/>
      <c r="T125" s="109"/>
      <c r="U125" s="105"/>
      <c r="V125" s="106"/>
      <c r="W125" s="110">
        <f>IF(Z125="","",MROUND(Z125*0.4,'Start-Options'!B38))</f>
        <v>27.5</v>
      </c>
      <c r="X125" s="27"/>
      <c r="Y125" s="37" t="str">
        <f>'Start-Options'!B4</f>
        <v>Military</v>
      </c>
      <c r="Z125" s="106">
        <f>IF(Z109="","",IF(ISTEXT(AB109),Z109-AC109,Z109+'Start-Options'!C32))</f>
        <v>67.5</v>
      </c>
      <c r="AA125" s="146"/>
      <c r="AB125" s="36"/>
      <c r="AC125" s="147"/>
    </row>
    <row r="126" ht="12.75" customHeight="1">
      <c r="A126" s="111" t="str">
        <f>'Start-Options'!B4</f>
        <v>Military</v>
      </c>
      <c r="B126" s="112">
        <f>IF(Z125="","",MROUND(Z125*0.75,'Start-Options'!B38))</f>
        <v>50</v>
      </c>
      <c r="C126" s="112"/>
      <c r="D126" s="112"/>
      <c r="E126" s="112"/>
      <c r="F126" s="113"/>
      <c r="G126" s="105"/>
      <c r="H126" s="114" t="str">
        <f>'Start-Options'!B4</f>
        <v>Military</v>
      </c>
      <c r="I126" s="115">
        <f>IF(Z125="","",MROUND(Z125*0.8,'Start-Options'!B38))</f>
        <v>55</v>
      </c>
      <c r="J126" s="112"/>
      <c r="K126" s="112"/>
      <c r="L126" s="112"/>
      <c r="M126" s="113"/>
      <c r="N126" s="105"/>
      <c r="O126" s="114" t="str">
        <f>'Start-Options'!B4</f>
        <v>Military</v>
      </c>
      <c r="P126" s="114">
        <f>IF(Z125="","",MROUND(Z125*0.85,'Start-Options'!B38))</f>
        <v>57.5</v>
      </c>
      <c r="Q126" s="105"/>
      <c r="R126" s="105"/>
      <c r="S126" s="105"/>
      <c r="T126" s="116"/>
      <c r="U126" s="105"/>
      <c r="V126" s="114" t="str">
        <f>'Start-Options'!B4</f>
        <v>Military</v>
      </c>
      <c r="W126" s="117">
        <f>IF(Z125="","",MROUND(Z125*0.5,'Start-Options'!B38))</f>
        <v>35</v>
      </c>
      <c r="X126" s="27"/>
      <c r="Y126" s="118" t="str">
        <f>'Start-Options'!B5</f>
        <v>Deadlift</v>
      </c>
      <c r="Z126" s="114">
        <f>IF(Z110="","",IF(ISTEXT(AB110),Z110-AC110,Z110+'Start-Options'!C33))</f>
        <v>145</v>
      </c>
      <c r="AA126" s="150"/>
      <c r="AB126" s="151"/>
      <c r="AC126" s="147"/>
    </row>
    <row r="127" ht="12.75" customHeight="1">
      <c r="A127" s="119"/>
      <c r="B127" s="120">
        <f>IF(Z125="","",MROUND(Z125*0.85,'Start-Options'!B38))</f>
        <v>57.5</v>
      </c>
      <c r="C127" s="120">
        <f>IF(Z125="","",ROUND((37-36*B127/(Z125+'Start-Options'!F32)),0))</f>
        <v>7</v>
      </c>
      <c r="D127" s="120">
        <f>IF(Z125="","",MROUND(B127*36/(37-C127),'Start-Options'!B38))</f>
        <v>70</v>
      </c>
      <c r="E127" s="156"/>
      <c r="F127" s="122" t="str">
        <f>IF(E127="","",MROUND(36*B127/(37-E127),'Start-Options'!B38))</f>
        <v/>
      </c>
      <c r="G127" s="105"/>
      <c r="H127" s="123"/>
      <c r="I127" s="124">
        <f>IF(Z125="","",MROUND(Z125*0.9,'Start-Options'!B38))</f>
        <v>60</v>
      </c>
      <c r="J127" s="120" t="str">
        <f>IF(F127="","",IF(F127&lt;Z125,ROUND((37-36*I127/(Z125+'Start-Options'!F32)),0),ROUND((37-36*I127/(F127+'Start-Options'!F32)),0)))</f>
        <v/>
      </c>
      <c r="K127" s="120" t="str">
        <f>IF(J127="","",MROUND(I127*36/(37-J127),'Start-Options'!B38))</f>
        <v/>
      </c>
      <c r="L127" s="156"/>
      <c r="M127" s="122" t="str">
        <f>IF(L127="","",MROUND(36*I127/(37-L127),'Start-Options'!B38))</f>
        <v/>
      </c>
      <c r="N127" s="105"/>
      <c r="O127" s="123"/>
      <c r="P127" s="123">
        <f>IF(Z125="","",MROUND(Z125*0.95,'Start-Options'!B38))</f>
        <v>65</v>
      </c>
      <c r="Q127" s="120" t="str">
        <f>IF(M127="","",IF(M127&lt;Z125,ROUND((37-36*P127/(Z125+'Start-Options'!F32)),0),ROUND((37-36*P127/(M127+'Start-Options'!F32)),0)))</f>
        <v/>
      </c>
      <c r="R127" s="125" t="str">
        <f>IF(Q127="","",MROUND(P127*36/(37-Q127),'Start-Options'!B38))</f>
        <v/>
      </c>
      <c r="S127" s="152"/>
      <c r="T127" s="127" t="str">
        <f>IF(S127="","",MROUND(36*P127/(37-S127),'Start-Options'!B38))</f>
        <v/>
      </c>
      <c r="U127" s="105"/>
      <c r="V127" s="123"/>
      <c r="W127" s="128">
        <f>IF(Z125="","",MROUND(Z125*0.6,'Start-Options'!B38))</f>
        <v>40</v>
      </c>
      <c r="X127" s="27"/>
      <c r="Y127" s="118" t="str">
        <f>'Start-Options'!B6</f>
        <v>Bench</v>
      </c>
      <c r="Z127" s="114">
        <f>IF(Z111="","",IF(ISTEXT(AB111),Z111-AC111,Z111+'Start-Options'!C34))</f>
        <v>87.5</v>
      </c>
      <c r="AA127" s="150"/>
      <c r="AB127" s="151"/>
      <c r="AC127" s="147"/>
    </row>
    <row r="128" ht="12.75" customHeight="1">
      <c r="A128" s="102"/>
      <c r="B128" s="103">
        <f>IF(Z126="","",MROUND(Z126*0.65,'Start-Options'!B38))</f>
        <v>95</v>
      </c>
      <c r="C128" s="103"/>
      <c r="D128" s="103"/>
      <c r="E128" s="103"/>
      <c r="F128" s="104"/>
      <c r="G128" s="105"/>
      <c r="H128" s="106"/>
      <c r="I128" s="107">
        <f>IF(Z126="","",MROUND(Z126*0.7,'Start-Options'!B38))</f>
        <v>102.5</v>
      </c>
      <c r="J128" s="103"/>
      <c r="K128" s="103"/>
      <c r="L128" s="103"/>
      <c r="M128" s="104"/>
      <c r="N128" s="105"/>
      <c r="O128" s="106"/>
      <c r="P128" s="106">
        <f>IF(Z126="","",MROUND(Z126*0.75,'Start-Options'!B38))</f>
        <v>110</v>
      </c>
      <c r="Q128" s="108"/>
      <c r="R128" s="108"/>
      <c r="S128" s="108"/>
      <c r="T128" s="109"/>
      <c r="U128" s="105"/>
      <c r="V128" s="106"/>
      <c r="W128" s="110">
        <f>IF(Z126="","",MROUND(Z126*0.4,'Start-Options'!B38))</f>
        <v>57.5</v>
      </c>
      <c r="X128" s="27"/>
      <c r="Y128" s="129" t="str">
        <f>'Start-Options'!B7</f>
        <v>Squat</v>
      </c>
      <c r="Z128" s="123">
        <f>IF(Z112="","",IF(ISTEXT(AB112),Z112-AC112,Z112+'Start-Options'!C35))</f>
        <v>115</v>
      </c>
      <c r="AA128" s="153"/>
      <c r="AB128" s="154"/>
      <c r="AC128" s="155"/>
    </row>
    <row r="129" ht="12.75" customHeight="1">
      <c r="A129" s="111" t="str">
        <f>'Start-Options'!B5</f>
        <v>Deadlift</v>
      </c>
      <c r="B129" s="112">
        <f>IF(Z126="","",MROUND(Z126*0.75,'Start-Options'!B38))</f>
        <v>110</v>
      </c>
      <c r="C129" s="112"/>
      <c r="D129" s="112"/>
      <c r="E129" s="112"/>
      <c r="F129" s="113"/>
      <c r="G129" s="105"/>
      <c r="H129" s="114" t="str">
        <f>'Start-Options'!B5</f>
        <v>Deadlift</v>
      </c>
      <c r="I129" s="115">
        <f>IF(Z126="","",MROUND(Z126*0.8,'Start-Options'!B38))</f>
        <v>115</v>
      </c>
      <c r="J129" s="112"/>
      <c r="K129" s="112"/>
      <c r="L129" s="112"/>
      <c r="M129" s="113"/>
      <c r="N129" s="105"/>
      <c r="O129" s="114" t="str">
        <f>'Start-Options'!B5</f>
        <v>Deadlift</v>
      </c>
      <c r="P129" s="114">
        <f>IF(Z126="","",MROUND(Z126*0.85,'Start-Options'!B38))</f>
        <v>122.5</v>
      </c>
      <c r="Q129" s="105"/>
      <c r="R129" s="105"/>
      <c r="S129" s="105"/>
      <c r="T129" s="116"/>
      <c r="U129" s="105"/>
      <c r="V129" s="114" t="str">
        <f>'Start-Options'!B5</f>
        <v>Deadlift</v>
      </c>
      <c r="W129" s="117">
        <f>IF(Z126="","",MROUND(Z126*0.5,'Start-Options'!B38))</f>
        <v>72.5</v>
      </c>
      <c r="X129" s="27"/>
      <c r="Y129" s="27"/>
      <c r="Z129" s="27"/>
      <c r="AA129" s="27"/>
      <c r="AB129" s="27"/>
      <c r="AC129" s="27"/>
    </row>
    <row r="130" ht="12.75" customHeight="1">
      <c r="A130" s="130"/>
      <c r="B130" s="120">
        <f>IF(Z126="","",MROUND(Z126*0.85,'Start-Options'!B38))</f>
        <v>122.5</v>
      </c>
      <c r="C130" s="120">
        <f>IF(Z126="","",ROUND((37-36*B130/(Z126+'Start-Options'!F33)),0))</f>
        <v>7</v>
      </c>
      <c r="D130" s="120">
        <f>IF(Z126="","",MROUND(B130*36/(37-C130),'Start-Options'!B38))</f>
        <v>147.5</v>
      </c>
      <c r="E130" s="156"/>
      <c r="F130" s="122" t="str">
        <f>IF(E130="","",MROUND(36*B130/(37-E130),'Start-Options'!B38))</f>
        <v/>
      </c>
      <c r="G130" s="105"/>
      <c r="H130" s="123"/>
      <c r="I130" s="124">
        <f>IF(Z126="","",MROUND(Z126*0.9,'Start-Options'!B38))</f>
        <v>130</v>
      </c>
      <c r="J130" s="120" t="str">
        <f>IF(F130="","",IF(F130&lt;Z126,ROUND((37-36*I130/(Z126+'Start-Options'!F33)),0),ROUND((37-36*I130/(F130+'Start-Options'!F33)),0)))</f>
        <v/>
      </c>
      <c r="K130" s="120" t="str">
        <f>IF(J130="","",MROUND(I130*36/(37-J130),'Start-Options'!B38))</f>
        <v/>
      </c>
      <c r="L130" s="156"/>
      <c r="M130" s="122" t="str">
        <f>IF(L130="","",MROUND(36*I130/(37-L130),'Start-Options'!B38))</f>
        <v/>
      </c>
      <c r="N130" s="105"/>
      <c r="O130" s="123"/>
      <c r="P130" s="123">
        <f>IF(Z126="","",MROUND(Z126*0.95,'Start-Options'!B38))</f>
        <v>137.5</v>
      </c>
      <c r="Q130" s="120" t="str">
        <f>IF(M130="","",IF(M130&lt;Z126,ROUND((37-36*P130/(Z126+'Start-Options'!F33)),0),ROUND((37-36*P130/(M130+'Start-Options'!F33)),0)))</f>
        <v/>
      </c>
      <c r="R130" s="125" t="str">
        <f>IF(Q130="","",MROUND(P130*36/(37-Q130),'Start-Options'!B38))</f>
        <v/>
      </c>
      <c r="S130" s="152"/>
      <c r="T130" s="127" t="str">
        <f>IF(S130="","",MROUND(36*P130/(37-S130),'Start-Options'!B38))</f>
        <v/>
      </c>
      <c r="U130" s="105"/>
      <c r="V130" s="123"/>
      <c r="W130" s="128">
        <f>IF(Z126="","",MROUND(Z126*0.6,'Start-Options'!B38))</f>
        <v>87.5</v>
      </c>
      <c r="X130" s="27"/>
      <c r="Y130" s="70" t="s">
        <v>93</v>
      </c>
      <c r="Z130" s="71"/>
      <c r="AA130" s="27"/>
      <c r="AB130" s="27"/>
      <c r="AC130" s="27"/>
    </row>
    <row r="131" ht="12.75" customHeight="1">
      <c r="A131" s="102"/>
      <c r="B131" s="103">
        <f>IF(Z127="","",MROUND(Z127*0.65,'Start-Options'!B38))</f>
        <v>57.5</v>
      </c>
      <c r="C131" s="103"/>
      <c r="D131" s="103"/>
      <c r="E131" s="103"/>
      <c r="F131" s="104"/>
      <c r="G131" s="105"/>
      <c r="H131" s="106"/>
      <c r="I131" s="107">
        <f>IF(Z127="","",MROUND(Z127*0.7,'Start-Options'!B38))</f>
        <v>62.5</v>
      </c>
      <c r="J131" s="103"/>
      <c r="K131" s="103"/>
      <c r="L131" s="103"/>
      <c r="M131" s="104"/>
      <c r="N131" s="105"/>
      <c r="O131" s="106"/>
      <c r="P131" s="106">
        <f>IF(Z127="","",MROUND(Z127*0.75,'Start-Options'!B38))</f>
        <v>65</v>
      </c>
      <c r="Q131" s="108"/>
      <c r="R131" s="108"/>
      <c r="S131" s="108"/>
      <c r="T131" s="109"/>
      <c r="U131" s="105"/>
      <c r="V131" s="106"/>
      <c r="W131" s="110">
        <f>IF(Z127="","",MROUND(Z127*0.4,'Start-Options'!B38))</f>
        <v>35</v>
      </c>
      <c r="X131" s="27"/>
      <c r="Y131" s="25" t="s">
        <v>94</v>
      </c>
      <c r="Z131" s="162"/>
      <c r="AA131" s="27"/>
      <c r="AB131" s="27"/>
      <c r="AC131" s="27"/>
    </row>
    <row r="132" ht="12.75" customHeight="1">
      <c r="A132" s="111" t="str">
        <f>'Start-Options'!B6</f>
        <v>Bench</v>
      </c>
      <c r="B132" s="112">
        <f>IF(Z127="","",MROUND(Z127*0.75,'Start-Options'!B38))</f>
        <v>65</v>
      </c>
      <c r="C132" s="112"/>
      <c r="D132" s="112"/>
      <c r="E132" s="112"/>
      <c r="F132" s="113"/>
      <c r="G132" s="105"/>
      <c r="H132" s="114" t="str">
        <f>'Start-Options'!B6</f>
        <v>Bench</v>
      </c>
      <c r="I132" s="115">
        <f>IF(Z127="","",MROUND(Z127*0.8,'Start-Options'!B38))</f>
        <v>70</v>
      </c>
      <c r="J132" s="112"/>
      <c r="K132" s="112"/>
      <c r="L132" s="112"/>
      <c r="M132" s="113"/>
      <c r="N132" s="105"/>
      <c r="O132" s="114" t="str">
        <f>'Start-Options'!B6</f>
        <v>Bench</v>
      </c>
      <c r="P132" s="114">
        <f>IF(Z127="","",MROUND(Z127*0.85,'Start-Options'!B38))</f>
        <v>75</v>
      </c>
      <c r="Q132" s="105"/>
      <c r="R132" s="105"/>
      <c r="S132" s="105"/>
      <c r="T132" s="116"/>
      <c r="U132" s="105"/>
      <c r="V132" s="114" t="str">
        <f>'Start-Options'!B6</f>
        <v>Bench</v>
      </c>
      <c r="W132" s="117">
        <f>IF(Z127="","",MROUND(Z127*0.5,'Start-Options'!B38))</f>
        <v>45</v>
      </c>
      <c r="X132" s="27"/>
      <c r="Y132" s="77" t="s">
        <v>95</v>
      </c>
      <c r="Z132" s="78" t="str">
        <f>IF(Z131="","",MROUND(Z131*0.4,'Start-Options'!$B$38))</f>
        <v/>
      </c>
      <c r="AA132" s="27"/>
      <c r="AB132" s="27"/>
      <c r="AC132" s="27"/>
    </row>
    <row r="133" ht="12.75" customHeight="1">
      <c r="A133" s="119"/>
      <c r="B133" s="120">
        <f>IF(Z127="","",MROUND(Z127*0.85,'Start-Options'!B38))</f>
        <v>75</v>
      </c>
      <c r="C133" s="120">
        <f>IF(Z127="","",ROUND((37-36*B133/(Z127+'Start-Options'!F34)),0))</f>
        <v>7</v>
      </c>
      <c r="D133" s="120">
        <f>IF(Z127="","",MROUND(B133*36/(37-C133),'Start-Options'!B38))</f>
        <v>90</v>
      </c>
      <c r="E133" s="156"/>
      <c r="F133" s="122" t="str">
        <f>IF(E133="","",MROUND(36*B133/(37-E133),'Start-Options'!B38))</f>
        <v/>
      </c>
      <c r="G133" s="105"/>
      <c r="H133" s="123"/>
      <c r="I133" s="124">
        <f>IF(Z127="","",MROUND(Z127*0.9,'Start-Options'!B38))</f>
        <v>80</v>
      </c>
      <c r="J133" s="120" t="str">
        <f>IF(F133="","",IF(F133&lt;Z127,ROUND((37-36*I133/(Z127+'Start-Options'!F34)),0),ROUND((37-36*I133/(F133+'Start-Options'!F34)),0)))</f>
        <v/>
      </c>
      <c r="K133" s="120" t="str">
        <f>IF(J133="","",MROUND(I133*36/(37-J133),'Start-Options'!B38))</f>
        <v/>
      </c>
      <c r="L133" s="156"/>
      <c r="M133" s="122" t="str">
        <f>IF(L133="","",MROUND(36*I133/(37-L133),'Start-Options'!B38))</f>
        <v/>
      </c>
      <c r="N133" s="105"/>
      <c r="O133" s="123"/>
      <c r="P133" s="123">
        <f>IF(Z127="","",MROUND(Z127*0.95,'Start-Options'!B38))</f>
        <v>82.5</v>
      </c>
      <c r="Q133" s="120" t="str">
        <f>IF(M133="","",IF(M133&lt;Z127,ROUND((37-36*P133/(Z127+'Start-Options'!F34)),0),ROUND((37-36*P133/(M133+'Start-Options'!F34)),0)))</f>
        <v/>
      </c>
      <c r="R133" s="125" t="str">
        <f>IF(Q133="","",MROUND(P133*36/(37-Q133),'Start-Options'!B38))</f>
        <v/>
      </c>
      <c r="S133" s="152"/>
      <c r="T133" s="127" t="str">
        <f>IF(S133="","",MROUND(36*P133/(37-S133),'Start-Options'!B38))</f>
        <v/>
      </c>
      <c r="U133" s="105"/>
      <c r="V133" s="123"/>
      <c r="W133" s="128">
        <f>IF(Z127="","",MROUND(Z127*0.6,'Start-Options'!B38))</f>
        <v>52.5</v>
      </c>
      <c r="X133" s="27"/>
      <c r="Y133" s="77" t="s">
        <v>96</v>
      </c>
      <c r="Z133" s="78" t="str">
        <f>IF(Z131="","",MROUND(Z131*0.5,'Start-Options'!$B$38))</f>
        <v/>
      </c>
      <c r="AA133" s="27"/>
      <c r="AB133" s="27"/>
      <c r="AC133" s="27"/>
    </row>
    <row r="134" ht="12.75" customHeight="1">
      <c r="A134" s="111"/>
      <c r="B134" s="103">
        <f>IF(Z128="","",MROUND(Z128*0.65,'Start-Options'!B38))</f>
        <v>75</v>
      </c>
      <c r="C134" s="103"/>
      <c r="D134" s="103"/>
      <c r="E134" s="103"/>
      <c r="F134" s="104"/>
      <c r="G134" s="105"/>
      <c r="H134" s="106"/>
      <c r="I134" s="107">
        <f>IF(Z128="","",MROUND(Z128*0.7,'Start-Options'!B38))</f>
        <v>80</v>
      </c>
      <c r="J134" s="103"/>
      <c r="K134" s="103"/>
      <c r="L134" s="103"/>
      <c r="M134" s="104"/>
      <c r="N134" s="105"/>
      <c r="O134" s="106"/>
      <c r="P134" s="106">
        <f>IF(Z128="","",MROUND(Z128*0.75,'Start-Options'!B38))</f>
        <v>87.5</v>
      </c>
      <c r="Q134" s="108"/>
      <c r="R134" s="108"/>
      <c r="S134" s="108"/>
      <c r="T134" s="109"/>
      <c r="U134" s="105"/>
      <c r="V134" s="106"/>
      <c r="W134" s="110">
        <f>IF(Z128="","",MROUND(Z128*0.4,'Start-Options'!B38))</f>
        <v>45</v>
      </c>
      <c r="X134" s="27"/>
      <c r="Y134" s="82" t="s">
        <v>97</v>
      </c>
      <c r="Z134" s="83" t="str">
        <f>IF(Z131="","",MROUND(Z131*0.6,'Start-Options'!$B$38))</f>
        <v/>
      </c>
      <c r="AA134" s="27"/>
      <c r="AB134" s="27"/>
      <c r="AC134" s="27"/>
    </row>
    <row r="135" ht="12.75" customHeight="1">
      <c r="A135" s="111" t="str">
        <f>'Start-Options'!B7</f>
        <v>Squat</v>
      </c>
      <c r="B135" s="112">
        <f>IF(Z128="","",MROUND(Z128*0.75,'Start-Options'!B38))</f>
        <v>87.5</v>
      </c>
      <c r="C135" s="112"/>
      <c r="D135" s="112"/>
      <c r="E135" s="112"/>
      <c r="F135" s="113"/>
      <c r="G135" s="105"/>
      <c r="H135" s="114" t="str">
        <f>'Start-Options'!B7</f>
        <v>Squat</v>
      </c>
      <c r="I135" s="115">
        <f>IF(Z128="","",MROUND(Z128*0.8,'Start-Options'!B38))</f>
        <v>92.5</v>
      </c>
      <c r="J135" s="112"/>
      <c r="K135" s="112"/>
      <c r="L135" s="112"/>
      <c r="M135" s="113"/>
      <c r="N135" s="105"/>
      <c r="O135" s="114" t="str">
        <f>'Start-Options'!B7</f>
        <v>Squat</v>
      </c>
      <c r="P135" s="114">
        <f>IF(Z128="","",MROUND(Z128*0.85,'Start-Options'!B38))</f>
        <v>97.5</v>
      </c>
      <c r="Q135" s="105"/>
      <c r="R135" s="105"/>
      <c r="S135" s="105"/>
      <c r="T135" s="116"/>
      <c r="U135" s="105"/>
      <c r="V135" s="114" t="str">
        <f>'Start-Options'!B7</f>
        <v>Squat</v>
      </c>
      <c r="W135" s="117">
        <f>IF(Z128="","",MROUND(Z128*0.5,'Start-Options'!B38))</f>
        <v>57.5</v>
      </c>
      <c r="X135" s="27"/>
      <c r="Y135" s="27"/>
      <c r="Z135" s="27"/>
      <c r="AA135" s="27"/>
      <c r="AB135" s="27"/>
      <c r="AC135" s="27"/>
    </row>
    <row r="136" ht="13.5" customHeight="1">
      <c r="A136" s="131"/>
      <c r="B136" s="132">
        <f>IF(Z128="","",MROUND(Z128*0.85,'Start-Options'!B38))</f>
        <v>97.5</v>
      </c>
      <c r="C136" s="132">
        <f>IF(Z128="","",ROUND((37-36*B136/(Z128+'Start-Options'!F35)),0))</f>
        <v>7</v>
      </c>
      <c r="D136" s="132">
        <f>IF(Z128="","",MROUND(B136*36/(37-C136),'Start-Options'!B38))</f>
        <v>117.5</v>
      </c>
      <c r="E136" s="157"/>
      <c r="F136" s="134" t="str">
        <f>IF(E136="","",MROUND(36*B136/(37-E136),'Start-Options'!B38))</f>
        <v/>
      </c>
      <c r="G136" s="135"/>
      <c r="H136" s="136"/>
      <c r="I136" s="137">
        <f>IF(Z128="","",MROUND(Z128*0.9,'Start-Options'!B38))</f>
        <v>102.5</v>
      </c>
      <c r="J136" s="132" t="str">
        <f>IF(F136="","",IF(F136&lt;Z128,ROUND((37-36*I136/(Z128+'Start-Options'!F35)),0),ROUND((37-36*I136/(F136+'Start-Options'!F35)),0)))</f>
        <v/>
      </c>
      <c r="K136" s="132" t="str">
        <f>IF(J136="","",MROUND(I136*36/(37-J136),'Start-Options'!B38))</f>
        <v/>
      </c>
      <c r="L136" s="157"/>
      <c r="M136" s="134" t="str">
        <f>IF(L136="","",MROUND(36*I136/(37-L136),'Start-Options'!B38))</f>
        <v/>
      </c>
      <c r="N136" s="135"/>
      <c r="O136" s="136"/>
      <c r="P136" s="136">
        <f>IF(Z128="","",MROUND(Z128*0.95,'Start-Options'!B38))</f>
        <v>110</v>
      </c>
      <c r="Q136" s="132" t="str">
        <f>IF(M136="","",IF(M136&lt;Z128,ROUND((37-36*P136/(Z128+'Start-Options'!F35)),0),ROUND((37-36*P136/(M136+'Start-Options'!F35)),0)))</f>
        <v/>
      </c>
      <c r="R136" s="135" t="str">
        <f>IF(Q136="","",MROUND(P136*36/(37-Q136),'Start-Options'!B38))</f>
        <v/>
      </c>
      <c r="S136" s="161"/>
      <c r="T136" s="139" t="str">
        <f>IF(S136="","",MROUND(36*P136/(37-S136),'Start-Options'!B38))</f>
        <v/>
      </c>
      <c r="U136" s="135"/>
      <c r="V136" s="136"/>
      <c r="W136" s="140">
        <f>IF(Z128="","",MROUND(Z128*0.6,'Start-Options'!B38))</f>
        <v>70</v>
      </c>
      <c r="X136" s="27"/>
      <c r="Y136" s="27"/>
      <c r="Z136" s="27"/>
      <c r="AA136" s="27"/>
      <c r="AB136" s="27"/>
      <c r="AC136" s="27"/>
    </row>
    <row r="137" ht="12.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row>
    <row r="138" ht="21.0" customHeight="1">
      <c r="A138" s="27"/>
      <c r="B138" s="27"/>
      <c r="C138" s="27"/>
      <c r="D138" s="27"/>
      <c r="E138" s="27"/>
      <c r="F138" s="27"/>
      <c r="G138" s="27"/>
      <c r="H138" s="27"/>
      <c r="I138" s="27"/>
      <c r="J138" s="27"/>
      <c r="K138" s="27"/>
      <c r="L138" s="27"/>
      <c r="M138" s="86" t="s">
        <v>142</v>
      </c>
      <c r="N138" s="160"/>
      <c r="O138" s="27"/>
      <c r="P138" s="27"/>
      <c r="Q138" s="27"/>
      <c r="R138" s="27"/>
      <c r="S138" s="27"/>
      <c r="T138" s="27"/>
      <c r="U138" s="27"/>
      <c r="V138" s="27"/>
      <c r="W138" s="27"/>
      <c r="X138" s="27"/>
      <c r="Y138" s="27"/>
      <c r="Z138" s="27"/>
      <c r="AA138" s="27"/>
      <c r="AB138" s="27"/>
      <c r="AC138" s="27"/>
    </row>
    <row r="139" ht="15.75" customHeight="1">
      <c r="A139" s="88"/>
      <c r="B139" s="91"/>
      <c r="C139" s="89" t="s">
        <v>143</v>
      </c>
      <c r="D139" s="91"/>
      <c r="E139" s="91"/>
      <c r="F139" s="91"/>
      <c r="G139" s="91"/>
      <c r="H139" s="91"/>
      <c r="I139" s="92"/>
      <c r="J139" s="89" t="s">
        <v>144</v>
      </c>
      <c r="K139" s="91"/>
      <c r="L139" s="91"/>
      <c r="M139" s="91"/>
      <c r="N139" s="91"/>
      <c r="O139" s="91"/>
      <c r="P139" s="91"/>
      <c r="Q139" s="89" t="s">
        <v>145</v>
      </c>
      <c r="R139" s="91"/>
      <c r="S139" s="91"/>
      <c r="T139" s="91"/>
      <c r="U139" s="91"/>
      <c r="V139" s="93" t="s">
        <v>146</v>
      </c>
      <c r="W139" s="94"/>
      <c r="X139" s="27"/>
      <c r="Y139" s="27"/>
      <c r="Z139" s="27"/>
      <c r="AA139" s="27"/>
      <c r="AB139" s="27"/>
      <c r="AC139" s="27"/>
    </row>
    <row r="140" ht="32.25" customHeight="1">
      <c r="A140" s="95"/>
      <c r="B140" s="96" t="s">
        <v>26</v>
      </c>
      <c r="C140" s="97" t="s">
        <v>88</v>
      </c>
      <c r="D140" s="97" t="s">
        <v>89</v>
      </c>
      <c r="E140" s="97" t="s">
        <v>90</v>
      </c>
      <c r="F140" s="96" t="s">
        <v>91</v>
      </c>
      <c r="G140" s="27"/>
      <c r="H140" s="98"/>
      <c r="I140" s="96" t="s">
        <v>26</v>
      </c>
      <c r="J140" s="97" t="s">
        <v>88</v>
      </c>
      <c r="K140" s="97" t="s">
        <v>89</v>
      </c>
      <c r="L140" s="97" t="s">
        <v>90</v>
      </c>
      <c r="M140" s="96" t="s">
        <v>91</v>
      </c>
      <c r="N140" s="27"/>
      <c r="O140" s="98"/>
      <c r="P140" s="96" t="s">
        <v>26</v>
      </c>
      <c r="Q140" s="97" t="s">
        <v>88</v>
      </c>
      <c r="R140" s="97" t="s">
        <v>89</v>
      </c>
      <c r="S140" s="97" t="s">
        <v>90</v>
      </c>
      <c r="T140" s="96" t="s">
        <v>91</v>
      </c>
      <c r="U140" s="27"/>
      <c r="V140" s="99"/>
      <c r="W140" s="159" t="s">
        <v>26</v>
      </c>
      <c r="X140" s="27"/>
      <c r="Y140" s="101" t="s">
        <v>147</v>
      </c>
      <c r="Z140" s="71"/>
      <c r="AA140" s="141"/>
      <c r="AB140" s="142" t="s">
        <v>104</v>
      </c>
      <c r="AC140" s="143" t="s">
        <v>105</v>
      </c>
    </row>
    <row r="141" ht="12.75" customHeight="1">
      <c r="A141" s="102"/>
      <c r="B141" s="103">
        <f>IF(Z141="","",MROUND(Z141*0.65,'Start-Options'!B38))</f>
        <v>45</v>
      </c>
      <c r="C141" s="103"/>
      <c r="D141" s="103"/>
      <c r="E141" s="103"/>
      <c r="F141" s="104"/>
      <c r="G141" s="105"/>
      <c r="H141" s="106"/>
      <c r="I141" s="107">
        <f>IF(Z141="","",MROUND(Z141*0.7,'Start-Options'!B38))</f>
        <v>50</v>
      </c>
      <c r="J141" s="103"/>
      <c r="K141" s="103"/>
      <c r="L141" s="103"/>
      <c r="M141" s="104"/>
      <c r="N141" s="105"/>
      <c r="O141" s="106"/>
      <c r="P141" s="106">
        <f>IF(Z141="","",MROUND(Z141*0.75,'Start-Options'!B38))</f>
        <v>52.5</v>
      </c>
      <c r="Q141" s="108"/>
      <c r="R141" s="108"/>
      <c r="S141" s="108"/>
      <c r="T141" s="109"/>
      <c r="U141" s="105"/>
      <c r="V141" s="106"/>
      <c r="W141" s="110">
        <f>IF(Z141="","",MROUND(Z141*0.4,'Start-Options'!B38))</f>
        <v>27.5</v>
      </c>
      <c r="X141" s="27"/>
      <c r="Y141" s="37" t="str">
        <f>'Start-Options'!B4</f>
        <v>Military</v>
      </c>
      <c r="Z141" s="106">
        <f>IF(Z125="","",IF(ISTEXT(AB125),Z125-AC125,Z125+'Start-Options'!C32))</f>
        <v>70</v>
      </c>
      <c r="AA141" s="146"/>
      <c r="AB141" s="36"/>
      <c r="AC141" s="147"/>
    </row>
    <row r="142" ht="12.75" customHeight="1">
      <c r="A142" s="111" t="str">
        <f>'Start-Options'!B4</f>
        <v>Military</v>
      </c>
      <c r="B142" s="112">
        <f>IF(Z141="","",MROUND(Z141*0.75,'Start-Options'!B38))</f>
        <v>52.5</v>
      </c>
      <c r="C142" s="112"/>
      <c r="D142" s="112"/>
      <c r="E142" s="112"/>
      <c r="F142" s="113"/>
      <c r="G142" s="105"/>
      <c r="H142" s="114" t="str">
        <f>'Start-Options'!B4</f>
        <v>Military</v>
      </c>
      <c r="I142" s="115">
        <f>IF(Z141="","",MROUND(Z141*0.8,'Start-Options'!B38))</f>
        <v>55</v>
      </c>
      <c r="J142" s="112"/>
      <c r="K142" s="112"/>
      <c r="L142" s="112"/>
      <c r="M142" s="113"/>
      <c r="N142" s="105"/>
      <c r="O142" s="114" t="str">
        <f>'Start-Options'!B4</f>
        <v>Military</v>
      </c>
      <c r="P142" s="114">
        <f>IF(Z141="","",MROUND(Z141*0.85,'Start-Options'!B38))</f>
        <v>60</v>
      </c>
      <c r="Q142" s="105"/>
      <c r="R142" s="105"/>
      <c r="S142" s="105"/>
      <c r="T142" s="116"/>
      <c r="U142" s="105"/>
      <c r="V142" s="114" t="str">
        <f>'Start-Options'!B4</f>
        <v>Military</v>
      </c>
      <c r="W142" s="117">
        <f>IF(Z141="","",MROUND(Z141*0.5,'Start-Options'!B38))</f>
        <v>35</v>
      </c>
      <c r="X142" s="27"/>
      <c r="Y142" s="118" t="str">
        <f>'Start-Options'!B5</f>
        <v>Deadlift</v>
      </c>
      <c r="Z142" s="114">
        <f>IF(Z126="","",IF(ISTEXT(AB126),Z126-AC126,Z126+'Start-Options'!C33))</f>
        <v>150</v>
      </c>
      <c r="AA142" s="150"/>
      <c r="AB142" s="151"/>
      <c r="AC142" s="147"/>
    </row>
    <row r="143" ht="12.75" customHeight="1">
      <c r="A143" s="119"/>
      <c r="B143" s="120">
        <f>IF(Z141="","",MROUND(Z141*0.85,'Start-Options'!B38))</f>
        <v>60</v>
      </c>
      <c r="C143" s="120">
        <f>IF(Z141="","",ROUND((37-36*B143/(Z141+'Start-Options'!F32)),0))</f>
        <v>7</v>
      </c>
      <c r="D143" s="120">
        <f>IF(Z141="","",MROUND(B143*36/(37-C143),'Start-Options'!B38))</f>
        <v>72.5</v>
      </c>
      <c r="E143" s="156"/>
      <c r="F143" s="122" t="str">
        <f>IF(E143="","",MROUND(36*B143/(37-E143),'Start-Options'!B38))</f>
        <v/>
      </c>
      <c r="G143" s="105"/>
      <c r="H143" s="123"/>
      <c r="I143" s="124">
        <f>IF(Z141="","",MROUND(Z141*0.9,'Start-Options'!B38))</f>
        <v>62.5</v>
      </c>
      <c r="J143" s="120" t="str">
        <f>IF(F143="","",IF(F143&lt;Z141,ROUND((37-36*I143/(Z141+'Start-Options'!F32)),0),ROUND((37-36*I143/(F143+'Start-Options'!F32)),0)))</f>
        <v/>
      </c>
      <c r="K143" s="120" t="str">
        <f>IF(J143="","",MROUND(I143*36/(37-J143),'Start-Options'!B38))</f>
        <v/>
      </c>
      <c r="L143" s="156"/>
      <c r="M143" s="122" t="str">
        <f>IF(L143="","",MROUND(36*I143/(37-L143),'Start-Options'!B38))</f>
        <v/>
      </c>
      <c r="N143" s="105"/>
      <c r="O143" s="123"/>
      <c r="P143" s="123">
        <f>IF(Z141="","",MROUND(Z141*0.95,'Start-Options'!B38))</f>
        <v>67.5</v>
      </c>
      <c r="Q143" s="120" t="str">
        <f>IF(M143="","",IF(M143&lt;Z141,ROUND((37-36*P143/(Z141+'Start-Options'!F32)),0),ROUND((37-36*P143/(M143+'Start-Options'!F32)),0)))</f>
        <v/>
      </c>
      <c r="R143" s="125" t="str">
        <f>IF(Q143="","",MROUND(P143*36/(37-Q143),'Start-Options'!B38))</f>
        <v/>
      </c>
      <c r="S143" s="152"/>
      <c r="T143" s="127" t="str">
        <f>IF(S143="","",MROUND(36*P143/(37-S143),'Start-Options'!B38))</f>
        <v/>
      </c>
      <c r="U143" s="105"/>
      <c r="V143" s="123"/>
      <c r="W143" s="128">
        <f>IF(Z141="","",MROUND(Z141*0.6,'Start-Options'!B38))</f>
        <v>42.5</v>
      </c>
      <c r="X143" s="27"/>
      <c r="Y143" s="118" t="str">
        <f>'Start-Options'!B6</f>
        <v>Bench</v>
      </c>
      <c r="Z143" s="114">
        <f>IF(Z127="","",IF(ISTEXT(AB127),Z127-AC127,Z127+'Start-Options'!C34))</f>
        <v>90</v>
      </c>
      <c r="AA143" s="150"/>
      <c r="AB143" s="151"/>
      <c r="AC143" s="147"/>
    </row>
    <row r="144" ht="12.75" customHeight="1">
      <c r="A144" s="102"/>
      <c r="B144" s="103">
        <f>IF(Z142="","",MROUND(Z142*0.65,'Start-Options'!B38))</f>
        <v>97.5</v>
      </c>
      <c r="C144" s="103"/>
      <c r="D144" s="103"/>
      <c r="E144" s="103"/>
      <c r="F144" s="104"/>
      <c r="G144" s="105"/>
      <c r="H144" s="106"/>
      <c r="I144" s="107">
        <f>IF(Z142="","",MROUND(Z142*0.7,'Start-Options'!B38))</f>
        <v>105</v>
      </c>
      <c r="J144" s="103"/>
      <c r="K144" s="103"/>
      <c r="L144" s="103"/>
      <c r="M144" s="104"/>
      <c r="N144" s="105"/>
      <c r="O144" s="106"/>
      <c r="P144" s="106">
        <f>IF(Z142="","",MROUND(Z142*0.75,'Start-Options'!B38))</f>
        <v>112.5</v>
      </c>
      <c r="Q144" s="108"/>
      <c r="R144" s="108"/>
      <c r="S144" s="108"/>
      <c r="T144" s="109"/>
      <c r="U144" s="105"/>
      <c r="V144" s="106"/>
      <c r="W144" s="110">
        <f>IF(Z142="","",MROUND(Z142*0.4,'Start-Options'!B38))</f>
        <v>60</v>
      </c>
      <c r="X144" s="27"/>
      <c r="Y144" s="129" t="str">
        <f>'Start-Options'!B7</f>
        <v>Squat</v>
      </c>
      <c r="Z144" s="123">
        <f>IF(Z128="","",IF(ISTEXT(AB128),Z128-AC128,Z128+'Start-Options'!C35))</f>
        <v>120</v>
      </c>
      <c r="AA144" s="153"/>
      <c r="AB144" s="154"/>
      <c r="AC144" s="155"/>
    </row>
    <row r="145" ht="12.75" customHeight="1">
      <c r="A145" s="111" t="str">
        <f>'Start-Options'!B5</f>
        <v>Deadlift</v>
      </c>
      <c r="B145" s="112">
        <f>IF(Z142="","",MROUND(Z142*0.75,'Start-Options'!B38))</f>
        <v>112.5</v>
      </c>
      <c r="C145" s="112"/>
      <c r="D145" s="112"/>
      <c r="E145" s="112"/>
      <c r="F145" s="113"/>
      <c r="G145" s="105"/>
      <c r="H145" s="114" t="str">
        <f>'Start-Options'!B5</f>
        <v>Deadlift</v>
      </c>
      <c r="I145" s="115">
        <f>IF(Z142="","",MROUND(Z142*0.8,'Start-Options'!B38))</f>
        <v>120</v>
      </c>
      <c r="J145" s="112"/>
      <c r="K145" s="112"/>
      <c r="L145" s="112"/>
      <c r="M145" s="113"/>
      <c r="N145" s="105"/>
      <c r="O145" s="114" t="str">
        <f>'Start-Options'!B5</f>
        <v>Deadlift</v>
      </c>
      <c r="P145" s="114">
        <f>IF(Z142="","",MROUND(Z142*0.85,'Start-Options'!B38))</f>
        <v>127.5</v>
      </c>
      <c r="Q145" s="105"/>
      <c r="R145" s="105"/>
      <c r="S145" s="105"/>
      <c r="T145" s="116"/>
      <c r="U145" s="105"/>
      <c r="V145" s="114" t="str">
        <f>'Start-Options'!B5</f>
        <v>Deadlift</v>
      </c>
      <c r="W145" s="117">
        <f>IF(Z142="","",MROUND(Z142*0.5,'Start-Options'!B38))</f>
        <v>75</v>
      </c>
      <c r="X145" s="27"/>
      <c r="Y145" s="27"/>
      <c r="Z145" s="27"/>
      <c r="AA145" s="27"/>
      <c r="AB145" s="27"/>
      <c r="AC145" s="27"/>
    </row>
    <row r="146" ht="12.75" customHeight="1">
      <c r="A146" s="130"/>
      <c r="B146" s="120">
        <f>IF(Z142="","",MROUND(Z142*0.85,'Start-Options'!B38))</f>
        <v>127.5</v>
      </c>
      <c r="C146" s="120">
        <f>IF(Z142="","",ROUND((37-36*B146/(Z142+'Start-Options'!F33)),0))</f>
        <v>7</v>
      </c>
      <c r="D146" s="120">
        <f>IF(Z142="","",MROUND(B146*36/(37-C146),'Start-Options'!B38))</f>
        <v>152.5</v>
      </c>
      <c r="E146" s="156"/>
      <c r="F146" s="122" t="str">
        <f>IF(E146="","",MROUND(36*B146/(37-E146),'Start-Options'!B38))</f>
        <v/>
      </c>
      <c r="G146" s="105"/>
      <c r="H146" s="123"/>
      <c r="I146" s="124">
        <f>IF(Z142="","",MROUND(Z142*0.9,'Start-Options'!B38))</f>
        <v>135</v>
      </c>
      <c r="J146" s="120" t="str">
        <f>IF(F146="","",IF(F146&lt;Z142,ROUND((37-36*I146/(Z142+'Start-Options'!F33)),0),ROUND((37-36*I146/(F146+'Start-Options'!F33)),0)))</f>
        <v/>
      </c>
      <c r="K146" s="120" t="str">
        <f>IF(J146="","",MROUND(I146*36/(37-J146),'Start-Options'!B38))</f>
        <v/>
      </c>
      <c r="L146" s="156"/>
      <c r="M146" s="122" t="str">
        <f>IF(L146="","",MROUND(36*I146/(37-L146),'Start-Options'!B38))</f>
        <v/>
      </c>
      <c r="N146" s="105"/>
      <c r="O146" s="123"/>
      <c r="P146" s="123">
        <f>IF(Z142="","",MROUND(Z142*0.95,'Start-Options'!B38))</f>
        <v>142.5</v>
      </c>
      <c r="Q146" s="120" t="str">
        <f>IF(M146="","",IF(M146&lt;Z142,ROUND((37-36*P146/(Z142+'Start-Options'!F33)),0),ROUND((37-36*P146/(M146+'Start-Options'!F33)),0)))</f>
        <v/>
      </c>
      <c r="R146" s="125" t="str">
        <f>IF(Q146="","",MROUND(P146*36/(37-Q146),'Start-Options'!B38))</f>
        <v/>
      </c>
      <c r="S146" s="152"/>
      <c r="T146" s="127" t="str">
        <f>IF(S146="","",MROUND(36*P146/(37-S146),'Start-Options'!B38))</f>
        <v/>
      </c>
      <c r="U146" s="105"/>
      <c r="V146" s="123"/>
      <c r="W146" s="128">
        <f>IF(Z142="","",MROUND(Z142*0.6,'Start-Options'!B38))</f>
        <v>90</v>
      </c>
      <c r="X146" s="27"/>
      <c r="Y146" s="70" t="s">
        <v>93</v>
      </c>
      <c r="Z146" s="71"/>
      <c r="AA146" s="27"/>
      <c r="AB146" s="27"/>
      <c r="AC146" s="27"/>
    </row>
    <row r="147" ht="12.75" customHeight="1">
      <c r="A147" s="102"/>
      <c r="B147" s="103">
        <f>IF(Z143="","",MROUND(Z143*0.65,'Start-Options'!B38))</f>
        <v>57.5</v>
      </c>
      <c r="C147" s="103"/>
      <c r="D147" s="103"/>
      <c r="E147" s="103"/>
      <c r="F147" s="104"/>
      <c r="G147" s="105"/>
      <c r="H147" s="106"/>
      <c r="I147" s="107">
        <f>IF(Z143="","",MROUND(Z143*0.7,'Start-Options'!B38))</f>
        <v>62.5</v>
      </c>
      <c r="J147" s="103"/>
      <c r="K147" s="103"/>
      <c r="L147" s="103"/>
      <c r="M147" s="104"/>
      <c r="N147" s="105"/>
      <c r="O147" s="106"/>
      <c r="P147" s="106">
        <f>IF(Z143="","",MROUND(Z143*0.75,'Start-Options'!B38))</f>
        <v>67.5</v>
      </c>
      <c r="Q147" s="108"/>
      <c r="R147" s="108"/>
      <c r="S147" s="108"/>
      <c r="T147" s="109"/>
      <c r="U147" s="105"/>
      <c r="V147" s="106"/>
      <c r="W147" s="110">
        <f>IF(Z143="","",MROUND(Z143*0.4,'Start-Options'!B38))</f>
        <v>35</v>
      </c>
      <c r="X147" s="27"/>
      <c r="Y147" s="25" t="s">
        <v>94</v>
      </c>
      <c r="Z147" s="162"/>
      <c r="AA147" s="27"/>
      <c r="AB147" s="27"/>
      <c r="AC147" s="27"/>
    </row>
    <row r="148" ht="12.75" customHeight="1">
      <c r="A148" s="111" t="str">
        <f>'Start-Options'!B6</f>
        <v>Bench</v>
      </c>
      <c r="B148" s="112">
        <f>IF(Z143="","",MROUND(Z143*0.75,'Start-Options'!B38))</f>
        <v>67.5</v>
      </c>
      <c r="C148" s="112"/>
      <c r="D148" s="112"/>
      <c r="E148" s="112"/>
      <c r="F148" s="113"/>
      <c r="G148" s="105"/>
      <c r="H148" s="114" t="str">
        <f>'Start-Options'!B6</f>
        <v>Bench</v>
      </c>
      <c r="I148" s="115">
        <f>IF(Z143="","",MROUND(Z143*0.8,'Start-Options'!B38))</f>
        <v>72.5</v>
      </c>
      <c r="J148" s="112"/>
      <c r="K148" s="112"/>
      <c r="L148" s="112"/>
      <c r="M148" s="113"/>
      <c r="N148" s="105"/>
      <c r="O148" s="114" t="str">
        <f>'Start-Options'!B6</f>
        <v>Bench</v>
      </c>
      <c r="P148" s="114">
        <f>IF(Z143="","",MROUND(Z143*0.85,'Start-Options'!B38))</f>
        <v>77.5</v>
      </c>
      <c r="Q148" s="105"/>
      <c r="R148" s="105"/>
      <c r="S148" s="105"/>
      <c r="T148" s="116"/>
      <c r="U148" s="105"/>
      <c r="V148" s="114" t="str">
        <f>'Start-Options'!B6</f>
        <v>Bench</v>
      </c>
      <c r="W148" s="117">
        <f>IF(Z143="","",MROUND(Z143*0.5,'Start-Options'!B38))</f>
        <v>45</v>
      </c>
      <c r="X148" s="27"/>
      <c r="Y148" s="77" t="s">
        <v>95</v>
      </c>
      <c r="Z148" s="78" t="str">
        <f>IF(Z147="","",MROUND(Z147*0.4,'Start-Options'!$B$38))</f>
        <v/>
      </c>
      <c r="AA148" s="27"/>
      <c r="AB148" s="27"/>
      <c r="AC148" s="27"/>
    </row>
    <row r="149" ht="12.75" customHeight="1">
      <c r="A149" s="119"/>
      <c r="B149" s="120">
        <f>IF(Z143="","",MROUND(Z143*0.85,'Start-Options'!B38))</f>
        <v>77.5</v>
      </c>
      <c r="C149" s="120">
        <f>IF(Z143="","",ROUND((37-36*B149/(Z143+'Start-Options'!F34)),0))</f>
        <v>7</v>
      </c>
      <c r="D149" s="120">
        <f>IF(Z143="","",MROUND(B149*36/(37-C149),'Start-Options'!B38))</f>
        <v>92.5</v>
      </c>
      <c r="E149" s="156"/>
      <c r="F149" s="122" t="str">
        <f>IF(E149="","",MROUND(36*B149/(37-E149),'Start-Options'!B38))</f>
        <v/>
      </c>
      <c r="G149" s="105"/>
      <c r="H149" s="123"/>
      <c r="I149" s="124">
        <f>IF(Z143="","",MROUND(Z143*0.9,'Start-Options'!B38))</f>
        <v>80</v>
      </c>
      <c r="J149" s="120" t="str">
        <f>IF(F149="","",IF(F149&lt;Z143,ROUND((37-36*I149/(Z143+'Start-Options'!F34)),0),ROUND((37-36*I149/(F149+'Start-Options'!F34)),0)))</f>
        <v/>
      </c>
      <c r="K149" s="120" t="str">
        <f>IF(J149="","",MROUND(I149*36/(37-J149),'Start-Options'!B38))</f>
        <v/>
      </c>
      <c r="L149" s="156"/>
      <c r="M149" s="122" t="str">
        <f>IF(L149="","",MROUND(36*I149/(37-L149),'Start-Options'!B38))</f>
        <v/>
      </c>
      <c r="N149" s="105"/>
      <c r="O149" s="123"/>
      <c r="P149" s="123">
        <f>IF(Z143="","",MROUND(Z143*0.95,'Start-Options'!B38))</f>
        <v>85</v>
      </c>
      <c r="Q149" s="120" t="str">
        <f>IF(M149="","",IF(M149&lt;Z143,ROUND((37-36*P149/(Z143+'Start-Options'!F34)),0),ROUND((37-36*P149/(M149+'Start-Options'!F34)),0)))</f>
        <v/>
      </c>
      <c r="R149" s="125" t="str">
        <f>IF(Q149="","",MROUND(P149*36/(37-Q149),'Start-Options'!B38))</f>
        <v/>
      </c>
      <c r="S149" s="152"/>
      <c r="T149" s="127" t="str">
        <f>IF(S149="","",MROUND(36*P149/(37-S149),'Start-Options'!B38))</f>
        <v/>
      </c>
      <c r="U149" s="105"/>
      <c r="V149" s="123"/>
      <c r="W149" s="128">
        <f>IF(Z143="","",MROUND(Z143*0.6,'Start-Options'!B38))</f>
        <v>55</v>
      </c>
      <c r="X149" s="27"/>
      <c r="Y149" s="77" t="s">
        <v>96</v>
      </c>
      <c r="Z149" s="78" t="str">
        <f>IF(Z147="","",MROUND(Z147*0.5,'Start-Options'!$B$38))</f>
        <v/>
      </c>
      <c r="AA149" s="27"/>
      <c r="AB149" s="27"/>
      <c r="AC149" s="27"/>
    </row>
    <row r="150" ht="12.75" customHeight="1">
      <c r="A150" s="111"/>
      <c r="B150" s="103">
        <f>IF(Z144="","",MROUND(Z144*0.65,'Start-Options'!B38))</f>
        <v>77.5</v>
      </c>
      <c r="C150" s="103"/>
      <c r="D150" s="103"/>
      <c r="E150" s="103"/>
      <c r="F150" s="104"/>
      <c r="G150" s="105"/>
      <c r="H150" s="106"/>
      <c r="I150" s="107">
        <f>IF(Z144="","",MROUND(Z144*0.7,'Start-Options'!B38))</f>
        <v>85</v>
      </c>
      <c r="J150" s="103"/>
      <c r="K150" s="103"/>
      <c r="L150" s="103"/>
      <c r="M150" s="104"/>
      <c r="N150" s="105"/>
      <c r="O150" s="106"/>
      <c r="P150" s="106">
        <f>IF(Z144="","",MROUND(Z144*0.75,'Start-Options'!B38))</f>
        <v>90</v>
      </c>
      <c r="Q150" s="108"/>
      <c r="R150" s="108"/>
      <c r="S150" s="108"/>
      <c r="T150" s="109"/>
      <c r="U150" s="105"/>
      <c r="V150" s="106"/>
      <c r="W150" s="110">
        <f>IF(Z144="","",MROUND(Z144*0.4,'Start-Options'!B38))</f>
        <v>47.5</v>
      </c>
      <c r="X150" s="27"/>
      <c r="Y150" s="82" t="s">
        <v>97</v>
      </c>
      <c r="Z150" s="83" t="str">
        <f>IF(Z147="","",MROUND(Z147*0.6,'Start-Options'!$B$38))</f>
        <v/>
      </c>
      <c r="AA150" s="27"/>
      <c r="AB150" s="27"/>
      <c r="AC150" s="27"/>
    </row>
    <row r="151" ht="12.75" customHeight="1">
      <c r="A151" s="111" t="str">
        <f>'Start-Options'!B7</f>
        <v>Squat</v>
      </c>
      <c r="B151" s="112">
        <f>IF(Z144="","",MROUND(Z144*0.75,'Start-Options'!B38))</f>
        <v>90</v>
      </c>
      <c r="C151" s="112"/>
      <c r="D151" s="112"/>
      <c r="E151" s="112"/>
      <c r="F151" s="113"/>
      <c r="G151" s="105"/>
      <c r="H151" s="114" t="str">
        <f>'Start-Options'!B7</f>
        <v>Squat</v>
      </c>
      <c r="I151" s="115">
        <f>IF(Z144="","",MROUND(Z144*0.8,'Start-Options'!B38))</f>
        <v>95</v>
      </c>
      <c r="J151" s="112"/>
      <c r="K151" s="112"/>
      <c r="L151" s="112"/>
      <c r="M151" s="113"/>
      <c r="N151" s="105"/>
      <c r="O151" s="114" t="str">
        <f>'Start-Options'!B7</f>
        <v>Squat</v>
      </c>
      <c r="P151" s="114">
        <f>IF(Z144="","",MROUND(Z144*0.85,'Start-Options'!B38))</f>
        <v>102.5</v>
      </c>
      <c r="Q151" s="105"/>
      <c r="R151" s="105"/>
      <c r="S151" s="105"/>
      <c r="T151" s="116"/>
      <c r="U151" s="105"/>
      <c r="V151" s="114" t="str">
        <f>'Start-Options'!B7</f>
        <v>Squat</v>
      </c>
      <c r="W151" s="117">
        <f>IF(Z144="","",MROUND(Z144*0.5,'Start-Options'!B38))</f>
        <v>60</v>
      </c>
      <c r="X151" s="27"/>
      <c r="Y151" s="27"/>
      <c r="Z151" s="27"/>
      <c r="AA151" s="27"/>
      <c r="AB151" s="27"/>
      <c r="AC151" s="27"/>
    </row>
    <row r="152" ht="13.5" customHeight="1">
      <c r="A152" s="131"/>
      <c r="B152" s="132">
        <f>IF(Z144="","",MROUND(Z144*0.85,'Start-Options'!B38))</f>
        <v>102.5</v>
      </c>
      <c r="C152" s="132">
        <f>IF(Z144="","",ROUND((37-36*B152/(Z144+'Start-Options'!F35)),0))</f>
        <v>7</v>
      </c>
      <c r="D152" s="132">
        <f>IF(Z144="","",MROUND(B152*36/(37-C152),'Start-Options'!B38))</f>
        <v>122.5</v>
      </c>
      <c r="E152" s="157"/>
      <c r="F152" s="134" t="str">
        <f>IF(E152="","",MROUND(36*B152/(37-E152),'Start-Options'!B38))</f>
        <v/>
      </c>
      <c r="G152" s="135"/>
      <c r="H152" s="136"/>
      <c r="I152" s="137">
        <f>IF(Z144="","",MROUND(Z144*0.9,'Start-Options'!B38))</f>
        <v>107.5</v>
      </c>
      <c r="J152" s="132" t="str">
        <f>IF(F152="","",IF(F152&lt;Z144,ROUND((37-36*I152/(Z144+'Start-Options'!F35)),0),ROUND((37-36*I152/(F152+'Start-Options'!F35)),0)))</f>
        <v/>
      </c>
      <c r="K152" s="132" t="str">
        <f>IF(J152="","",MROUND(I152*36/(37-J152),'Start-Options'!B38))</f>
        <v/>
      </c>
      <c r="L152" s="157"/>
      <c r="M152" s="134" t="str">
        <f>IF(L152="","",MROUND(36*I152/(37-L152),'Start-Options'!B38))</f>
        <v/>
      </c>
      <c r="N152" s="135"/>
      <c r="O152" s="136"/>
      <c r="P152" s="136">
        <f>IF(Z144="","",MROUND(Z144*0.95,'Start-Options'!B38))</f>
        <v>115</v>
      </c>
      <c r="Q152" s="132" t="str">
        <f>IF(M152="","",IF(M152&lt;Z144,ROUND((37-36*P152/(Z144+'Start-Options'!F35)),0),ROUND((37-36*P152/(M152+'Start-Options'!F35)),0)))</f>
        <v/>
      </c>
      <c r="R152" s="135" t="str">
        <f>IF(Q152="","",MROUND(P152*36/(37-Q152),'Start-Options'!B38))</f>
        <v/>
      </c>
      <c r="S152" s="161"/>
      <c r="T152" s="139" t="str">
        <f>IF(S152="","",MROUND(36*P152/(37-S152),'Start-Options'!B38))</f>
        <v/>
      </c>
      <c r="U152" s="135"/>
      <c r="V152" s="136"/>
      <c r="W152" s="140">
        <f>IF(Z144="","",MROUND(Z144*0.6,'Start-Options'!B38))</f>
        <v>72.5</v>
      </c>
      <c r="X152" s="27"/>
      <c r="Y152" s="27"/>
      <c r="Z152" s="27"/>
      <c r="AA152" s="27"/>
      <c r="AB152" s="27"/>
      <c r="AC152" s="27"/>
    </row>
    <row r="153"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row>
    <row r="154" ht="21.0" customHeight="1">
      <c r="A154" s="27"/>
      <c r="B154" s="27"/>
      <c r="C154" s="27"/>
      <c r="D154" s="27"/>
      <c r="E154" s="27"/>
      <c r="F154" s="27"/>
      <c r="G154" s="27"/>
      <c r="H154" s="27"/>
      <c r="I154" s="27"/>
      <c r="J154" s="27"/>
      <c r="K154" s="27"/>
      <c r="L154" s="27"/>
      <c r="M154" s="86" t="s">
        <v>148</v>
      </c>
      <c r="N154" s="160"/>
      <c r="O154" s="27"/>
      <c r="P154" s="27"/>
      <c r="Q154" s="27"/>
      <c r="R154" s="27"/>
      <c r="S154" s="27"/>
      <c r="T154" s="27"/>
      <c r="U154" s="27"/>
      <c r="V154" s="27"/>
      <c r="W154" s="27"/>
      <c r="X154" s="27"/>
      <c r="Y154" s="27"/>
      <c r="Z154" s="27"/>
      <c r="AA154" s="27"/>
      <c r="AB154" s="27"/>
      <c r="AC154" s="27"/>
    </row>
    <row r="155" ht="15.75" customHeight="1">
      <c r="A155" s="88"/>
      <c r="B155" s="91"/>
      <c r="C155" s="89" t="s">
        <v>149</v>
      </c>
      <c r="D155" s="91"/>
      <c r="E155" s="91"/>
      <c r="F155" s="91"/>
      <c r="G155" s="91"/>
      <c r="H155" s="91"/>
      <c r="I155" s="92"/>
      <c r="J155" s="89" t="s">
        <v>150</v>
      </c>
      <c r="K155" s="91"/>
      <c r="L155" s="91"/>
      <c r="M155" s="91"/>
      <c r="N155" s="91"/>
      <c r="O155" s="91"/>
      <c r="P155" s="91"/>
      <c r="Q155" s="89" t="s">
        <v>151</v>
      </c>
      <c r="R155" s="91"/>
      <c r="S155" s="91"/>
      <c r="T155" s="91"/>
      <c r="U155" s="91"/>
      <c r="V155" s="93" t="s">
        <v>152</v>
      </c>
      <c r="W155" s="94"/>
      <c r="X155" s="27"/>
      <c r="Y155" s="27"/>
      <c r="Z155" s="27"/>
      <c r="AA155" s="27"/>
      <c r="AB155" s="27"/>
      <c r="AC155" s="27"/>
    </row>
    <row r="156" ht="32.25" customHeight="1">
      <c r="A156" s="95"/>
      <c r="B156" s="96" t="s">
        <v>26</v>
      </c>
      <c r="C156" s="97" t="s">
        <v>88</v>
      </c>
      <c r="D156" s="97" t="s">
        <v>89</v>
      </c>
      <c r="E156" s="97" t="s">
        <v>90</v>
      </c>
      <c r="F156" s="96" t="s">
        <v>91</v>
      </c>
      <c r="G156" s="27"/>
      <c r="H156" s="98"/>
      <c r="I156" s="96" t="s">
        <v>26</v>
      </c>
      <c r="J156" s="97" t="s">
        <v>88</v>
      </c>
      <c r="K156" s="97" t="s">
        <v>89</v>
      </c>
      <c r="L156" s="97" t="s">
        <v>90</v>
      </c>
      <c r="M156" s="96" t="s">
        <v>91</v>
      </c>
      <c r="N156" s="27"/>
      <c r="O156" s="98"/>
      <c r="P156" s="96" t="s">
        <v>26</v>
      </c>
      <c r="Q156" s="97" t="s">
        <v>88</v>
      </c>
      <c r="R156" s="97" t="s">
        <v>89</v>
      </c>
      <c r="S156" s="97" t="s">
        <v>90</v>
      </c>
      <c r="T156" s="96" t="s">
        <v>91</v>
      </c>
      <c r="U156" s="27"/>
      <c r="V156" s="99"/>
      <c r="W156" s="159" t="s">
        <v>26</v>
      </c>
      <c r="X156" s="27"/>
      <c r="Y156" s="101" t="s">
        <v>153</v>
      </c>
      <c r="Z156" s="71"/>
      <c r="AA156" s="141"/>
      <c r="AB156" s="142" t="s">
        <v>104</v>
      </c>
      <c r="AC156" s="143" t="s">
        <v>105</v>
      </c>
    </row>
    <row r="157" ht="12.75" customHeight="1">
      <c r="A157" s="102"/>
      <c r="B157" s="103">
        <f>IF(Z157="","",MROUND(Z157*0.65,'Start-Options'!B38))</f>
        <v>47.5</v>
      </c>
      <c r="C157" s="103"/>
      <c r="D157" s="103"/>
      <c r="E157" s="103"/>
      <c r="F157" s="104"/>
      <c r="G157" s="105"/>
      <c r="H157" s="106"/>
      <c r="I157" s="107">
        <f>IF(Z157="","",MROUND(Z157*0.7,'Start-Options'!B38))</f>
        <v>50</v>
      </c>
      <c r="J157" s="103"/>
      <c r="K157" s="103"/>
      <c r="L157" s="103"/>
      <c r="M157" s="104"/>
      <c r="N157" s="105"/>
      <c r="O157" s="106"/>
      <c r="P157" s="106">
        <f>IF(Z157="","",MROUND(Z157*0.75,'Start-Options'!B38))</f>
        <v>55</v>
      </c>
      <c r="Q157" s="108"/>
      <c r="R157" s="108"/>
      <c r="S157" s="108"/>
      <c r="T157" s="109"/>
      <c r="U157" s="105"/>
      <c r="V157" s="106"/>
      <c r="W157" s="110">
        <f>IF(Z157="","",MROUND(Z157*0.4,'Start-Options'!B38))</f>
        <v>30</v>
      </c>
      <c r="X157" s="27"/>
      <c r="Y157" s="37" t="str">
        <f>'Start-Options'!B4</f>
        <v>Military</v>
      </c>
      <c r="Z157" s="106">
        <f>IF(Z141="","",IF(ISTEXT(AB141),Z141-AC141,Z141+'Start-Options'!C32))</f>
        <v>72.5</v>
      </c>
      <c r="AA157" s="146"/>
      <c r="AB157" s="36"/>
      <c r="AC157" s="147"/>
    </row>
    <row r="158" ht="12.75" customHeight="1">
      <c r="A158" s="111" t="str">
        <f>'Start-Options'!B4</f>
        <v>Military</v>
      </c>
      <c r="B158" s="112">
        <f>IF(Z157="","",MROUND(Z157*0.75,'Start-Options'!B38))</f>
        <v>55</v>
      </c>
      <c r="C158" s="112"/>
      <c r="D158" s="112"/>
      <c r="E158" s="112"/>
      <c r="F158" s="113"/>
      <c r="G158" s="105"/>
      <c r="H158" s="114" t="str">
        <f>'Start-Options'!B4</f>
        <v>Military</v>
      </c>
      <c r="I158" s="115">
        <f>IF(Z157="","",MROUND(Z157*0.8,'Start-Options'!B38))</f>
        <v>57.5</v>
      </c>
      <c r="J158" s="112"/>
      <c r="K158" s="112"/>
      <c r="L158" s="112"/>
      <c r="M158" s="113"/>
      <c r="N158" s="105"/>
      <c r="O158" s="114" t="str">
        <f>'Start-Options'!B4</f>
        <v>Military</v>
      </c>
      <c r="P158" s="114">
        <f>IF(Z157="","",MROUND(Z157*0.85,'Start-Options'!B38))</f>
        <v>62.5</v>
      </c>
      <c r="Q158" s="105"/>
      <c r="R158" s="105"/>
      <c r="S158" s="105"/>
      <c r="T158" s="116"/>
      <c r="U158" s="105"/>
      <c r="V158" s="114" t="str">
        <f>'Start-Options'!B4</f>
        <v>Military</v>
      </c>
      <c r="W158" s="117">
        <f>IF(Z157="","",MROUND(Z157*0.5,'Start-Options'!B38))</f>
        <v>37.5</v>
      </c>
      <c r="X158" s="27"/>
      <c r="Y158" s="118" t="str">
        <f>'Start-Options'!B5</f>
        <v>Deadlift</v>
      </c>
      <c r="Z158" s="114">
        <f>IF(Z142="","",IF(ISTEXT(AB142),Z142-AC142,Z142+'Start-Options'!C33))</f>
        <v>155</v>
      </c>
      <c r="AA158" s="150"/>
      <c r="AB158" s="151"/>
      <c r="AC158" s="147"/>
    </row>
    <row r="159" ht="12.75" customHeight="1">
      <c r="A159" s="119"/>
      <c r="B159" s="120">
        <f>IF(Z157="","",MROUND(Z157*0.85,'Start-Options'!B38))</f>
        <v>62.5</v>
      </c>
      <c r="C159" s="120">
        <f>IF(Z157="","",ROUND((37-36*B159/(Z157+'Start-Options'!F32)),0))</f>
        <v>7</v>
      </c>
      <c r="D159" s="120">
        <f>IF(Z157="","",MROUND(B159*36/(37-C159),'Start-Options'!B38))</f>
        <v>75</v>
      </c>
      <c r="E159" s="156"/>
      <c r="F159" s="122" t="str">
        <f>IF(E159="","",MROUND(36*B159/(37-E159),'Start-Options'!B38))</f>
        <v/>
      </c>
      <c r="G159" s="105"/>
      <c r="H159" s="123"/>
      <c r="I159" s="124">
        <f>IF(Z157="","",MROUND(Z157*0.9,'Start-Options'!B38))</f>
        <v>65</v>
      </c>
      <c r="J159" s="120" t="str">
        <f>IF(F159="","",IF(F159&lt;Z157,ROUND((37-36*I159/(Z157+'Start-Options'!F32)),0),ROUND((37-36*I159/(F159+'Start-Options'!F32)),0)))</f>
        <v/>
      </c>
      <c r="K159" s="120" t="str">
        <f>IF(J159="","",MROUND(I159*36/(37-J159),'Start-Options'!B38))</f>
        <v/>
      </c>
      <c r="L159" s="156"/>
      <c r="M159" s="122" t="str">
        <f>IF(L159="","",MROUND(36*I159/(37-L159),'Start-Options'!B38))</f>
        <v/>
      </c>
      <c r="N159" s="105"/>
      <c r="O159" s="123"/>
      <c r="P159" s="123">
        <f>IF(Z157="","",MROUND(Z157*0.95,'Start-Options'!B38))</f>
        <v>70</v>
      </c>
      <c r="Q159" s="120" t="str">
        <f>IF(M159="","",IF(M159&lt;Z157,ROUND((37-36*P159/(Z157+'Start-Options'!F32)),0),ROUND((37-36*P159/(M159+'Start-Options'!F32)),0)))</f>
        <v/>
      </c>
      <c r="R159" s="125" t="str">
        <f>IF(Q159="","",MROUND(P159*36/(37-Q159),'Start-Options'!B38))</f>
        <v/>
      </c>
      <c r="S159" s="152"/>
      <c r="T159" s="127" t="str">
        <f>IF(S159="","",MROUND(36*P159/(37-S159),'Start-Options'!B38))</f>
        <v/>
      </c>
      <c r="U159" s="105"/>
      <c r="V159" s="123"/>
      <c r="W159" s="128">
        <f>IF(Z157="","",MROUND(Z157*0.6,'Start-Options'!B38))</f>
        <v>42.5</v>
      </c>
      <c r="X159" s="27"/>
      <c r="Y159" s="118" t="str">
        <f>'Start-Options'!B6</f>
        <v>Bench</v>
      </c>
      <c r="Z159" s="114">
        <f>IF(Z143="","",IF(ISTEXT(AB143),Z143-AC143,Z143+'Start-Options'!C34))</f>
        <v>92.5</v>
      </c>
      <c r="AA159" s="150"/>
      <c r="AB159" s="151"/>
      <c r="AC159" s="147"/>
    </row>
    <row r="160" ht="12.75" customHeight="1">
      <c r="A160" s="102"/>
      <c r="B160" s="103">
        <f>IF(Z158="","",MROUND(Z158*0.65,'Start-Options'!B38))</f>
        <v>100</v>
      </c>
      <c r="C160" s="103"/>
      <c r="D160" s="103"/>
      <c r="E160" s="103"/>
      <c r="F160" s="104"/>
      <c r="G160" s="105"/>
      <c r="H160" s="106"/>
      <c r="I160" s="107">
        <f>IF(Z158="","",MROUND(Z158*0.7,'Start-Options'!B38))</f>
        <v>107.5</v>
      </c>
      <c r="J160" s="103"/>
      <c r="K160" s="103"/>
      <c r="L160" s="103"/>
      <c r="M160" s="104"/>
      <c r="N160" s="105"/>
      <c r="O160" s="106"/>
      <c r="P160" s="106">
        <f>IF(Z158="","",MROUND(Z158*0.75,'Start-Options'!B38))</f>
        <v>117.5</v>
      </c>
      <c r="Q160" s="108"/>
      <c r="R160" s="108"/>
      <c r="S160" s="108"/>
      <c r="T160" s="109"/>
      <c r="U160" s="105"/>
      <c r="V160" s="106"/>
      <c r="W160" s="110">
        <f>IF(Z158="","",MROUND(Z158*0.4,'Start-Options'!B38))</f>
        <v>62.5</v>
      </c>
      <c r="X160" s="27"/>
      <c r="Y160" s="129" t="str">
        <f>'Start-Options'!B7</f>
        <v>Squat</v>
      </c>
      <c r="Z160" s="123">
        <f>IF(Z144="","",IF(ISTEXT(AB144),Z144-AC144,Z144+'Start-Options'!C35))</f>
        <v>125</v>
      </c>
      <c r="AA160" s="153"/>
      <c r="AB160" s="154"/>
      <c r="AC160" s="155"/>
    </row>
    <row r="161" ht="12.75" customHeight="1">
      <c r="A161" s="111" t="str">
        <f>'Start-Options'!B5</f>
        <v>Deadlift</v>
      </c>
      <c r="B161" s="112">
        <f>IF(Z158="","",MROUND(Z158*0.75,'Start-Options'!B38))</f>
        <v>117.5</v>
      </c>
      <c r="C161" s="112"/>
      <c r="D161" s="112"/>
      <c r="E161" s="112"/>
      <c r="F161" s="113"/>
      <c r="G161" s="105"/>
      <c r="H161" s="114" t="str">
        <f>'Start-Options'!B5</f>
        <v>Deadlift</v>
      </c>
      <c r="I161" s="115">
        <f>IF(Z158="","",MROUND(Z158*0.8,'Start-Options'!B38))</f>
        <v>125</v>
      </c>
      <c r="J161" s="112"/>
      <c r="K161" s="112"/>
      <c r="L161" s="112"/>
      <c r="M161" s="113"/>
      <c r="N161" s="105"/>
      <c r="O161" s="114" t="str">
        <f>'Start-Options'!B5</f>
        <v>Deadlift</v>
      </c>
      <c r="P161" s="114">
        <f>IF(Z158="","",MROUND(Z158*0.85,'Start-Options'!B38))</f>
        <v>132.5</v>
      </c>
      <c r="Q161" s="105"/>
      <c r="R161" s="105"/>
      <c r="S161" s="105"/>
      <c r="T161" s="116"/>
      <c r="U161" s="105"/>
      <c r="V161" s="114" t="str">
        <f>'Start-Options'!B5</f>
        <v>Deadlift</v>
      </c>
      <c r="W161" s="117">
        <f>IF(Z158="","",MROUND(Z158*0.5,'Start-Options'!B38))</f>
        <v>77.5</v>
      </c>
      <c r="X161" s="27"/>
      <c r="Y161" s="27"/>
      <c r="Z161" s="27"/>
      <c r="AA161" s="27"/>
      <c r="AB161" s="27"/>
      <c r="AC161" s="27"/>
    </row>
    <row r="162" ht="12.75" customHeight="1">
      <c r="A162" s="130"/>
      <c r="B162" s="120">
        <f>IF(Z158="","",MROUND(Z158*0.85,'Start-Options'!B38))</f>
        <v>132.5</v>
      </c>
      <c r="C162" s="120">
        <f>IF(Z158="","",ROUND((37-36*B162/(Z158+'Start-Options'!F33)),0))</f>
        <v>7</v>
      </c>
      <c r="D162" s="120">
        <f>IF(Z158="","",MROUND(B162*36/(37-C162),'Start-Options'!B38))</f>
        <v>160</v>
      </c>
      <c r="E162" s="156"/>
      <c r="F162" s="122" t="str">
        <f>IF(E162="","",MROUND(36*B162/(37-E162),'Start-Options'!B38))</f>
        <v/>
      </c>
      <c r="G162" s="105"/>
      <c r="H162" s="123"/>
      <c r="I162" s="124">
        <f>IF(Z158="","",MROUND(Z158*0.9,'Start-Options'!B38))</f>
        <v>140</v>
      </c>
      <c r="J162" s="120" t="str">
        <f>IF(F162="","",IF(F162&lt;Z158,ROUND((37-36*I162/(Z158+'Start-Options'!F33)),0),ROUND((37-36*I162/(F162+'Start-Options'!F33)),0)))</f>
        <v/>
      </c>
      <c r="K162" s="120" t="str">
        <f>IF(J162="","",MROUND(I162*36/(37-J162),'Start-Options'!B38))</f>
        <v/>
      </c>
      <c r="L162" s="156"/>
      <c r="M162" s="122" t="str">
        <f>IF(L162="","",MROUND(36*I162/(37-L162),'Start-Options'!B38))</f>
        <v/>
      </c>
      <c r="N162" s="105"/>
      <c r="O162" s="123"/>
      <c r="P162" s="123">
        <f>IF(Z158="","",MROUND(Z158*0.95,'Start-Options'!B38))</f>
        <v>147.5</v>
      </c>
      <c r="Q162" s="120" t="str">
        <f>IF(M162="","",IF(M162&lt;Z158,ROUND((37-36*P162/(Z158+'Start-Options'!F33)),0),ROUND((37-36*P162/(M162+'Start-Options'!F33)),0)))</f>
        <v/>
      </c>
      <c r="R162" s="125" t="str">
        <f>IF(Q162="","",MROUND(P162*36/(37-Q162),'Start-Options'!B38))</f>
        <v/>
      </c>
      <c r="S162" s="152"/>
      <c r="T162" s="127" t="str">
        <f>IF(S162="","",MROUND(36*P162/(37-S162),'Start-Options'!B38))</f>
        <v/>
      </c>
      <c r="U162" s="105"/>
      <c r="V162" s="123"/>
      <c r="W162" s="128">
        <f>IF(Z158="","",MROUND(Z158*0.6,'Start-Options'!B38))</f>
        <v>92.5</v>
      </c>
      <c r="X162" s="27"/>
      <c r="Y162" s="70" t="s">
        <v>93</v>
      </c>
      <c r="Z162" s="71"/>
      <c r="AA162" s="27"/>
      <c r="AB162" s="27"/>
      <c r="AC162" s="27"/>
    </row>
    <row r="163" ht="12.75" customHeight="1">
      <c r="A163" s="102"/>
      <c r="B163" s="103">
        <f>IF(Z159="","",MROUND(Z159*0.65,'Start-Options'!B38))</f>
        <v>60</v>
      </c>
      <c r="C163" s="103"/>
      <c r="D163" s="103"/>
      <c r="E163" s="103"/>
      <c r="F163" s="104"/>
      <c r="G163" s="105"/>
      <c r="H163" s="106"/>
      <c r="I163" s="107">
        <f>IF(Z159="","",MROUND(Z159*0.7,'Start-Options'!B38))</f>
        <v>65</v>
      </c>
      <c r="J163" s="103"/>
      <c r="K163" s="103"/>
      <c r="L163" s="103"/>
      <c r="M163" s="104"/>
      <c r="N163" s="105"/>
      <c r="O163" s="106"/>
      <c r="P163" s="106">
        <f>IF(Z159="","",MROUND(Z159*0.75,'Start-Options'!B38))</f>
        <v>70</v>
      </c>
      <c r="Q163" s="108"/>
      <c r="R163" s="108"/>
      <c r="S163" s="108"/>
      <c r="T163" s="109"/>
      <c r="U163" s="105"/>
      <c r="V163" s="106"/>
      <c r="W163" s="110">
        <f>IF(Z159="","",MROUND(Z159*0.4,'Start-Options'!B38))</f>
        <v>37.5</v>
      </c>
      <c r="X163" s="27"/>
      <c r="Y163" s="25" t="s">
        <v>94</v>
      </c>
      <c r="Z163" s="162"/>
      <c r="AA163" s="27"/>
      <c r="AB163" s="27"/>
      <c r="AC163" s="27"/>
    </row>
    <row r="164" ht="12.75" customHeight="1">
      <c r="A164" s="111" t="str">
        <f>'Start-Options'!B6</f>
        <v>Bench</v>
      </c>
      <c r="B164" s="112">
        <f>IF(Z159="","",MROUND(Z159*0.75,'Start-Options'!B38))</f>
        <v>70</v>
      </c>
      <c r="C164" s="112"/>
      <c r="D164" s="112"/>
      <c r="E164" s="112"/>
      <c r="F164" s="113"/>
      <c r="G164" s="105"/>
      <c r="H164" s="114" t="str">
        <f>'Start-Options'!B6</f>
        <v>Bench</v>
      </c>
      <c r="I164" s="115">
        <f>IF(Z159="","",MROUND(Z159*0.8,'Start-Options'!B38))</f>
        <v>75</v>
      </c>
      <c r="J164" s="112"/>
      <c r="K164" s="112"/>
      <c r="L164" s="112"/>
      <c r="M164" s="113"/>
      <c r="N164" s="105"/>
      <c r="O164" s="114" t="str">
        <f>'Start-Options'!B6</f>
        <v>Bench</v>
      </c>
      <c r="P164" s="114">
        <f>IF(Z159="","",MROUND(Z159*0.85,'Start-Options'!B38))</f>
        <v>77.5</v>
      </c>
      <c r="Q164" s="105"/>
      <c r="R164" s="105"/>
      <c r="S164" s="105"/>
      <c r="T164" s="116"/>
      <c r="U164" s="105"/>
      <c r="V164" s="114" t="str">
        <f>'Start-Options'!B6</f>
        <v>Bench</v>
      </c>
      <c r="W164" s="117">
        <f>IF(Z159="","",MROUND(Z159*0.5,'Start-Options'!B38))</f>
        <v>47.5</v>
      </c>
      <c r="X164" s="27"/>
      <c r="Y164" s="77" t="s">
        <v>95</v>
      </c>
      <c r="Z164" s="78" t="str">
        <f>IF(Z163="","",MROUND(Z163*0.4,'Start-Options'!$B$38))</f>
        <v/>
      </c>
      <c r="AA164" s="27"/>
      <c r="AB164" s="27"/>
      <c r="AC164" s="27"/>
    </row>
    <row r="165" ht="12.75" customHeight="1">
      <c r="A165" s="119"/>
      <c r="B165" s="120">
        <f>IF(Z159="","",MROUND(Z159*0.85,'Start-Options'!B38))</f>
        <v>77.5</v>
      </c>
      <c r="C165" s="120">
        <f>IF(Z159="","",ROUND((37-36*B165/(Z159+'Start-Options'!F34)),0))</f>
        <v>8</v>
      </c>
      <c r="D165" s="120">
        <f>IF(Z159="","",MROUND(B165*36/(37-C165),'Start-Options'!B38))</f>
        <v>95</v>
      </c>
      <c r="E165" s="156"/>
      <c r="F165" s="122" t="str">
        <f>IF(E165="","",MROUND(36*B165/(37-E165),'Start-Options'!B38))</f>
        <v/>
      </c>
      <c r="G165" s="105"/>
      <c r="H165" s="123"/>
      <c r="I165" s="124">
        <f>IF(Z159="","",MROUND(Z159*0.9,'Start-Options'!B38))</f>
        <v>82.5</v>
      </c>
      <c r="J165" s="120" t="str">
        <f>IF(F165="","",IF(F165&lt;Z159,ROUND((37-36*I165/(Z159+'Start-Options'!F34)),0),ROUND((37-36*I165/(F165+'Start-Options'!F34)),0)))</f>
        <v/>
      </c>
      <c r="K165" s="120" t="str">
        <f>IF(J165="","",MROUND(I165*36/(37-J165),'Start-Options'!B38))</f>
        <v/>
      </c>
      <c r="L165" s="156"/>
      <c r="M165" s="122" t="str">
        <f>IF(L165="","",MROUND(36*I165/(37-L165),'Start-Options'!B38))</f>
        <v/>
      </c>
      <c r="N165" s="105"/>
      <c r="O165" s="123"/>
      <c r="P165" s="123">
        <f>IF(Z159="","",MROUND(Z159*0.95,'Start-Options'!B38))</f>
        <v>87.5</v>
      </c>
      <c r="Q165" s="120" t="str">
        <f>IF(M165="","",IF(M165&lt;Z159,ROUND((37-36*P165/(Z159+'Start-Options'!F34)),0),ROUND((37-36*P165/(M165+'Start-Options'!F34)),0)))</f>
        <v/>
      </c>
      <c r="R165" s="125" t="str">
        <f>IF(Q165="","",MROUND(P165*36/(37-Q165),'Start-Options'!B38))</f>
        <v/>
      </c>
      <c r="S165" s="152"/>
      <c r="T165" s="127" t="str">
        <f>IF(S165="","",MROUND(36*P165/(37-S165),'Start-Options'!B38))</f>
        <v/>
      </c>
      <c r="U165" s="105"/>
      <c r="V165" s="123"/>
      <c r="W165" s="128">
        <f>IF(Z159="","",MROUND(Z159*0.6,'Start-Options'!B38))</f>
        <v>55</v>
      </c>
      <c r="X165" s="27"/>
      <c r="Y165" s="77" t="s">
        <v>96</v>
      </c>
      <c r="Z165" s="78" t="str">
        <f>IF(Z163="","",MROUND(Z163*0.5,'Start-Options'!$B$38))</f>
        <v/>
      </c>
      <c r="AA165" s="27"/>
      <c r="AB165" s="27"/>
      <c r="AC165" s="27"/>
    </row>
    <row r="166" ht="12.75" customHeight="1">
      <c r="A166" s="111"/>
      <c r="B166" s="103">
        <f>IF(Z160="","",MROUND(Z160*0.65,'Start-Options'!B38))</f>
        <v>82.5</v>
      </c>
      <c r="C166" s="103"/>
      <c r="D166" s="103"/>
      <c r="E166" s="103"/>
      <c r="F166" s="104"/>
      <c r="G166" s="105"/>
      <c r="H166" s="106"/>
      <c r="I166" s="107">
        <f>IF(Z160="","",MROUND(Z160*0.7,'Start-Options'!B38))</f>
        <v>87.5</v>
      </c>
      <c r="J166" s="103"/>
      <c r="K166" s="103"/>
      <c r="L166" s="103"/>
      <c r="M166" s="104"/>
      <c r="N166" s="105"/>
      <c r="O166" s="106"/>
      <c r="P166" s="106">
        <f>IF(Z160="","",MROUND(Z160*0.75,'Start-Options'!B38))</f>
        <v>95</v>
      </c>
      <c r="Q166" s="108"/>
      <c r="R166" s="108"/>
      <c r="S166" s="108"/>
      <c r="T166" s="109"/>
      <c r="U166" s="105"/>
      <c r="V166" s="106"/>
      <c r="W166" s="110">
        <f>IF(Z160="","",MROUND(Z160*0.4,'Start-Options'!B38))</f>
        <v>50</v>
      </c>
      <c r="X166" s="27"/>
      <c r="Y166" s="82" t="s">
        <v>97</v>
      </c>
      <c r="Z166" s="83" t="str">
        <f>IF(Z163="","",MROUND(Z163*0.6,'Start-Options'!$B$38))</f>
        <v/>
      </c>
      <c r="AA166" s="27"/>
      <c r="AB166" s="27"/>
      <c r="AC166" s="27"/>
    </row>
    <row r="167" ht="12.75" customHeight="1">
      <c r="A167" s="111" t="str">
        <f>'Start-Options'!B7</f>
        <v>Squat</v>
      </c>
      <c r="B167" s="112">
        <f>IF(Z160="","",MROUND(Z160*0.75,'Start-Options'!B38))</f>
        <v>95</v>
      </c>
      <c r="C167" s="112"/>
      <c r="D167" s="112"/>
      <c r="E167" s="112"/>
      <c r="F167" s="113"/>
      <c r="G167" s="105"/>
      <c r="H167" s="114" t="str">
        <f>'Start-Options'!B7</f>
        <v>Squat</v>
      </c>
      <c r="I167" s="115">
        <f>IF(Z160="","",MROUND(Z160*0.8,'Start-Options'!B38))</f>
        <v>100</v>
      </c>
      <c r="J167" s="112"/>
      <c r="K167" s="112"/>
      <c r="L167" s="112"/>
      <c r="M167" s="113"/>
      <c r="N167" s="105"/>
      <c r="O167" s="114" t="str">
        <f>'Start-Options'!B7</f>
        <v>Squat</v>
      </c>
      <c r="P167" s="114">
        <f>IF(Z160="","",MROUND(Z160*0.85,'Start-Options'!B38))</f>
        <v>107.5</v>
      </c>
      <c r="Q167" s="105"/>
      <c r="R167" s="105"/>
      <c r="S167" s="105"/>
      <c r="T167" s="116"/>
      <c r="U167" s="105"/>
      <c r="V167" s="114" t="str">
        <f>'Start-Options'!B7</f>
        <v>Squat</v>
      </c>
      <c r="W167" s="117">
        <f>IF(Z160="","",MROUND(Z160*0.5,'Start-Options'!B38))</f>
        <v>62.5</v>
      </c>
      <c r="X167" s="27"/>
      <c r="Y167" s="27"/>
      <c r="Z167" s="27"/>
      <c r="AA167" s="27"/>
      <c r="AB167" s="27"/>
      <c r="AC167" s="27"/>
    </row>
    <row r="168" ht="13.5" customHeight="1">
      <c r="A168" s="131"/>
      <c r="B168" s="132">
        <f>IF(Z160="","",MROUND(Z160*0.85,'Start-Options'!B38))</f>
        <v>107.5</v>
      </c>
      <c r="C168" s="132">
        <f>IF(Z160="","",ROUND((37-36*B168/(Z160+'Start-Options'!F35)),0))</f>
        <v>7</v>
      </c>
      <c r="D168" s="132">
        <f>IF(Z160="","",MROUND(B168*36/(37-C168),'Start-Options'!B38))</f>
        <v>130</v>
      </c>
      <c r="E168" s="157"/>
      <c r="F168" s="134" t="str">
        <f>IF(E168="","",MROUND(36*B168/(37-E168),'Start-Options'!B38))</f>
        <v/>
      </c>
      <c r="G168" s="135"/>
      <c r="H168" s="136"/>
      <c r="I168" s="137">
        <f>IF(Z160="","",MROUND(Z160*0.9,'Start-Options'!B38))</f>
        <v>112.5</v>
      </c>
      <c r="J168" s="132" t="str">
        <f>IF(F168="","",IF(F168&lt;Z160,ROUND((37-36*I168/(Z160+'Start-Options'!F35)),0),ROUND((37-36*I168/(F168+'Start-Options'!F35)),0)))</f>
        <v/>
      </c>
      <c r="K168" s="132" t="str">
        <f>IF(J168="","",MROUND(I168*36/(37-J168),'Start-Options'!B38))</f>
        <v/>
      </c>
      <c r="L168" s="157"/>
      <c r="M168" s="134" t="str">
        <f>IF(L168="","",MROUND(36*I168/(37-L168),'Start-Options'!B38))</f>
        <v/>
      </c>
      <c r="N168" s="135"/>
      <c r="O168" s="136"/>
      <c r="P168" s="136">
        <f>IF(Z160="","",MROUND(Z160*0.95,'Start-Options'!B38))</f>
        <v>120</v>
      </c>
      <c r="Q168" s="132" t="str">
        <f>IF(M168="","",IF(M168&lt;Z160,ROUND((37-36*P168/(Z160+'Start-Options'!F35)),0),ROUND((37-36*P168/(M168+'Start-Options'!F35)),0)))</f>
        <v/>
      </c>
      <c r="R168" s="135" t="str">
        <f>IF(Q168="","",MROUND(P168*36/(37-Q168),'Start-Options'!B38))</f>
        <v/>
      </c>
      <c r="S168" s="161"/>
      <c r="T168" s="139" t="str">
        <f>IF(S168="","",MROUND(36*P168/(37-S168),'Start-Options'!B38))</f>
        <v/>
      </c>
      <c r="U168" s="135"/>
      <c r="V168" s="136"/>
      <c r="W168" s="140">
        <f>IF(Z160="","",MROUND(Z160*0.6,'Start-Options'!B38))</f>
        <v>75</v>
      </c>
      <c r="X168" s="27"/>
      <c r="Y168" s="27"/>
      <c r="Z168" s="27"/>
      <c r="AA168" s="27"/>
      <c r="AB168" s="27"/>
      <c r="AC168" s="27"/>
    </row>
    <row r="169"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row>
    <row r="170" ht="21.0" customHeight="1">
      <c r="A170" s="27"/>
      <c r="B170" s="27"/>
      <c r="C170" s="27"/>
      <c r="D170" s="27"/>
      <c r="E170" s="27"/>
      <c r="F170" s="27"/>
      <c r="G170" s="27"/>
      <c r="H170" s="27"/>
      <c r="I170" s="27"/>
      <c r="J170" s="27"/>
      <c r="K170" s="27"/>
      <c r="L170" s="27"/>
      <c r="M170" s="86" t="s">
        <v>154</v>
      </c>
      <c r="N170" s="160"/>
      <c r="O170" s="27"/>
      <c r="P170" s="27"/>
      <c r="Q170" s="27"/>
      <c r="R170" s="27"/>
      <c r="S170" s="27"/>
      <c r="T170" s="27"/>
      <c r="U170" s="27"/>
      <c r="V170" s="27"/>
      <c r="W170" s="27"/>
      <c r="X170" s="27"/>
      <c r="Y170" s="27"/>
      <c r="Z170" s="27"/>
      <c r="AA170" s="27"/>
      <c r="AB170" s="27"/>
      <c r="AC170" s="27"/>
    </row>
    <row r="171" ht="15.75" customHeight="1">
      <c r="A171" s="88"/>
      <c r="B171" s="91"/>
      <c r="C171" s="89" t="s">
        <v>155</v>
      </c>
      <c r="D171" s="91"/>
      <c r="E171" s="91"/>
      <c r="F171" s="91"/>
      <c r="G171" s="91"/>
      <c r="H171" s="91"/>
      <c r="I171" s="92"/>
      <c r="J171" s="89" t="s">
        <v>156</v>
      </c>
      <c r="K171" s="91"/>
      <c r="L171" s="91"/>
      <c r="M171" s="91"/>
      <c r="N171" s="91"/>
      <c r="O171" s="91"/>
      <c r="P171" s="91"/>
      <c r="Q171" s="89" t="s">
        <v>157</v>
      </c>
      <c r="R171" s="91"/>
      <c r="S171" s="91"/>
      <c r="T171" s="91"/>
      <c r="U171" s="91"/>
      <c r="V171" s="93" t="s">
        <v>158</v>
      </c>
      <c r="W171" s="94"/>
      <c r="X171" s="27"/>
      <c r="Y171" s="27"/>
      <c r="Z171" s="27"/>
      <c r="AA171" s="27"/>
      <c r="AB171" s="27"/>
      <c r="AC171" s="27"/>
    </row>
    <row r="172" ht="32.25" customHeight="1">
      <c r="A172" s="95"/>
      <c r="B172" s="96" t="s">
        <v>26</v>
      </c>
      <c r="C172" s="97" t="s">
        <v>88</v>
      </c>
      <c r="D172" s="97" t="s">
        <v>89</v>
      </c>
      <c r="E172" s="97" t="s">
        <v>90</v>
      </c>
      <c r="F172" s="96" t="s">
        <v>91</v>
      </c>
      <c r="G172" s="27"/>
      <c r="H172" s="98"/>
      <c r="I172" s="96" t="s">
        <v>26</v>
      </c>
      <c r="J172" s="97" t="s">
        <v>88</v>
      </c>
      <c r="K172" s="97" t="s">
        <v>89</v>
      </c>
      <c r="L172" s="97" t="s">
        <v>90</v>
      </c>
      <c r="M172" s="96" t="s">
        <v>91</v>
      </c>
      <c r="N172" s="27"/>
      <c r="O172" s="98"/>
      <c r="P172" s="96" t="s">
        <v>26</v>
      </c>
      <c r="Q172" s="97" t="s">
        <v>88</v>
      </c>
      <c r="R172" s="97" t="s">
        <v>89</v>
      </c>
      <c r="S172" s="97" t="s">
        <v>90</v>
      </c>
      <c r="T172" s="96" t="s">
        <v>91</v>
      </c>
      <c r="U172" s="27"/>
      <c r="V172" s="99"/>
      <c r="W172" s="159" t="s">
        <v>26</v>
      </c>
      <c r="X172" s="27"/>
      <c r="Y172" s="101" t="s">
        <v>159</v>
      </c>
      <c r="Z172" s="71"/>
      <c r="AA172" s="141"/>
      <c r="AB172" s="142" t="s">
        <v>104</v>
      </c>
      <c r="AC172" s="143" t="s">
        <v>105</v>
      </c>
    </row>
    <row r="173" ht="12.75" customHeight="1">
      <c r="A173" s="102"/>
      <c r="B173" s="103">
        <f>IF(Z173="","",MROUND(Z173*0.65,'Start-Options'!B38))</f>
        <v>50</v>
      </c>
      <c r="C173" s="103"/>
      <c r="D173" s="103"/>
      <c r="E173" s="103"/>
      <c r="F173" s="104"/>
      <c r="G173" s="105"/>
      <c r="H173" s="106"/>
      <c r="I173" s="107">
        <f>IF(Z173="","",MROUND(Z173*0.7,'Start-Options'!B38))</f>
        <v>52.5</v>
      </c>
      <c r="J173" s="103"/>
      <c r="K173" s="103"/>
      <c r="L173" s="103"/>
      <c r="M173" s="104"/>
      <c r="N173" s="105"/>
      <c r="O173" s="106"/>
      <c r="P173" s="106">
        <f>IF(Z173="","",MROUND(Z173*0.75,'Start-Options'!B38))</f>
        <v>57.5</v>
      </c>
      <c r="Q173" s="108"/>
      <c r="R173" s="108"/>
      <c r="S173" s="108"/>
      <c r="T173" s="109"/>
      <c r="U173" s="105"/>
      <c r="V173" s="106"/>
      <c r="W173" s="110">
        <f>IF(Z173="","",MROUND(Z173*0.4,'Start-Options'!B38))</f>
        <v>30</v>
      </c>
      <c r="X173" s="27"/>
      <c r="Y173" s="37" t="str">
        <f>'Start-Options'!B4</f>
        <v>Military</v>
      </c>
      <c r="Z173" s="106">
        <f>IF(Z157="","",IF(ISTEXT(AB157),Z157-AC157,Z157+'Start-Options'!C32))</f>
        <v>75</v>
      </c>
      <c r="AA173" s="146"/>
      <c r="AB173" s="36"/>
      <c r="AC173" s="147"/>
    </row>
    <row r="174" ht="12.75" customHeight="1">
      <c r="A174" s="111" t="str">
        <f>'Start-Options'!B4</f>
        <v>Military</v>
      </c>
      <c r="B174" s="112">
        <f>IF(Z173="","",MROUND(Z173*0.75,'Start-Options'!B38))</f>
        <v>57.5</v>
      </c>
      <c r="C174" s="112"/>
      <c r="D174" s="112"/>
      <c r="E174" s="112"/>
      <c r="F174" s="113"/>
      <c r="G174" s="105"/>
      <c r="H174" s="114" t="str">
        <f>'Start-Options'!B4</f>
        <v>Military</v>
      </c>
      <c r="I174" s="115">
        <f>IF(Z173="","",MROUND(Z173*0.8,'Start-Options'!B38))</f>
        <v>60</v>
      </c>
      <c r="J174" s="112"/>
      <c r="K174" s="112"/>
      <c r="L174" s="112"/>
      <c r="M174" s="113"/>
      <c r="N174" s="105"/>
      <c r="O174" s="114" t="str">
        <f>'Start-Options'!B4</f>
        <v>Military</v>
      </c>
      <c r="P174" s="114">
        <f>IF(Z173="","",MROUND(Z173*0.85,'Start-Options'!B38))</f>
        <v>65</v>
      </c>
      <c r="Q174" s="105"/>
      <c r="R174" s="105"/>
      <c r="S174" s="105"/>
      <c r="T174" s="116"/>
      <c r="U174" s="105"/>
      <c r="V174" s="114" t="str">
        <f>'Start-Options'!B4</f>
        <v>Military</v>
      </c>
      <c r="W174" s="117">
        <f>IF(Z173="","",MROUND(Z173*0.5,'Start-Options'!B38))</f>
        <v>37.5</v>
      </c>
      <c r="X174" s="27"/>
      <c r="Y174" s="118" t="str">
        <f>'Start-Options'!B5</f>
        <v>Deadlift</v>
      </c>
      <c r="Z174" s="114">
        <f>IF(Z158="","",IF(ISTEXT(AB158),Z158-AC158,Z158+'Start-Options'!C33))</f>
        <v>160</v>
      </c>
      <c r="AA174" s="150"/>
      <c r="AB174" s="151"/>
      <c r="AC174" s="147"/>
    </row>
    <row r="175" ht="12.75" customHeight="1">
      <c r="A175" s="119"/>
      <c r="B175" s="120">
        <f>IF(Z173="","",MROUND(Z173*0.85,'Start-Options'!B38))</f>
        <v>65</v>
      </c>
      <c r="C175" s="120">
        <f>IF(Z173="","",ROUND((37-36*B175/(Z173+'Start-Options'!F32)),0))</f>
        <v>7</v>
      </c>
      <c r="D175" s="120">
        <f>IF(Z173="","",MROUND(B175*36/(37-C175),'Start-Options'!B38))</f>
        <v>77.5</v>
      </c>
      <c r="E175" s="156"/>
      <c r="F175" s="122" t="str">
        <f>IF(E175="","",MROUND(36*B175/(37-E175),'Start-Options'!B38))</f>
        <v/>
      </c>
      <c r="G175" s="105"/>
      <c r="H175" s="123"/>
      <c r="I175" s="124">
        <f>IF(Z173="","",MROUND(Z173*0.9,'Start-Options'!B38))</f>
        <v>67.5</v>
      </c>
      <c r="J175" s="120" t="str">
        <f>IF(F175="","",IF(F175&lt;Z173,ROUND((37-36*I175/(Z173+'Start-Options'!F32)),0),ROUND((37-36*I175/(F175+'Start-Options'!F32)),0)))</f>
        <v/>
      </c>
      <c r="K175" s="120" t="str">
        <f>IF(J175="","",MROUND(I175*36/(37-J175),'Start-Options'!B38))</f>
        <v/>
      </c>
      <c r="L175" s="156"/>
      <c r="M175" s="122" t="str">
        <f>IF(L175="","",MROUND(36*I175/(37-L175),'Start-Options'!B38))</f>
        <v/>
      </c>
      <c r="N175" s="105"/>
      <c r="O175" s="123"/>
      <c r="P175" s="123">
        <f>IF(Z173="","",MROUND(Z173*0.95,'Start-Options'!B38))</f>
        <v>72.5</v>
      </c>
      <c r="Q175" s="120" t="str">
        <f>IF(M175="","",IF(M175&lt;Z173,ROUND((37-36*P175/(Z173+'Start-Options'!F32)),0),ROUND((37-36*P175/(M175+'Start-Options'!F32)),0)))</f>
        <v/>
      </c>
      <c r="R175" s="125" t="str">
        <f>IF(Q175="","",MROUND(P175*36/(37-Q175),'Start-Options'!B38))</f>
        <v/>
      </c>
      <c r="S175" s="152"/>
      <c r="T175" s="127" t="str">
        <f>IF(S175="","",MROUND(36*P175/(37-S175),'Start-Options'!B38))</f>
        <v/>
      </c>
      <c r="U175" s="105"/>
      <c r="V175" s="123"/>
      <c r="W175" s="128">
        <f>IF(Z173="","",MROUND(Z173*0.6,'Start-Options'!B38))</f>
        <v>45</v>
      </c>
      <c r="X175" s="27"/>
      <c r="Y175" s="118" t="str">
        <f>'Start-Options'!B6</f>
        <v>Bench</v>
      </c>
      <c r="Z175" s="114">
        <f>IF(Z159="","",IF(ISTEXT(AB159),Z159-AC159,Z159+'Start-Options'!C34))</f>
        <v>95</v>
      </c>
      <c r="AA175" s="150"/>
      <c r="AB175" s="151"/>
      <c r="AC175" s="147"/>
    </row>
    <row r="176" ht="12.75" customHeight="1">
      <c r="A176" s="102"/>
      <c r="B176" s="103">
        <f>IF(Z174="","",MROUND(Z174*0.65,'Start-Options'!B38))</f>
        <v>105</v>
      </c>
      <c r="C176" s="103"/>
      <c r="D176" s="103"/>
      <c r="E176" s="103"/>
      <c r="F176" s="104"/>
      <c r="G176" s="105"/>
      <c r="H176" s="106"/>
      <c r="I176" s="107">
        <f>IF(Z174="","",MROUND(Z174*0.7,'Start-Options'!B38))</f>
        <v>112.5</v>
      </c>
      <c r="J176" s="103"/>
      <c r="K176" s="103"/>
      <c r="L176" s="103"/>
      <c r="M176" s="104"/>
      <c r="N176" s="105"/>
      <c r="O176" s="106"/>
      <c r="P176" s="106">
        <f>IF(Z174="","",MROUND(Z174*0.75,'Start-Options'!B38))</f>
        <v>120</v>
      </c>
      <c r="Q176" s="108"/>
      <c r="R176" s="108"/>
      <c r="S176" s="108"/>
      <c r="T176" s="109"/>
      <c r="U176" s="105"/>
      <c r="V176" s="106"/>
      <c r="W176" s="110">
        <f>IF(Z174="","",MROUND(Z174*0.4,'Start-Options'!B38))</f>
        <v>65</v>
      </c>
      <c r="X176" s="27"/>
      <c r="Y176" s="129" t="str">
        <f>'Start-Options'!B7</f>
        <v>Squat</v>
      </c>
      <c r="Z176" s="123">
        <f>IF(Z160="","",IF(ISTEXT(AB160),Z160-AC160,Z160+'Start-Options'!C35))</f>
        <v>130</v>
      </c>
      <c r="AA176" s="153"/>
      <c r="AB176" s="154"/>
      <c r="AC176" s="155"/>
    </row>
    <row r="177" ht="12.75" customHeight="1">
      <c r="A177" s="111" t="str">
        <f>'Start-Options'!B5</f>
        <v>Deadlift</v>
      </c>
      <c r="B177" s="112">
        <f>IF(Z174="","",MROUND(Z174*0.75,'Start-Options'!B38))</f>
        <v>120</v>
      </c>
      <c r="C177" s="112"/>
      <c r="D177" s="112"/>
      <c r="E177" s="112"/>
      <c r="F177" s="113"/>
      <c r="G177" s="105"/>
      <c r="H177" s="114" t="str">
        <f>'Start-Options'!B5</f>
        <v>Deadlift</v>
      </c>
      <c r="I177" s="115">
        <f>IF(Z174="","",MROUND(Z174*0.8,'Start-Options'!B38))</f>
        <v>127.5</v>
      </c>
      <c r="J177" s="112"/>
      <c r="K177" s="112"/>
      <c r="L177" s="112"/>
      <c r="M177" s="113"/>
      <c r="N177" s="105"/>
      <c r="O177" s="114" t="str">
        <f>'Start-Options'!B5</f>
        <v>Deadlift</v>
      </c>
      <c r="P177" s="114">
        <f>IF(Z174="","",MROUND(Z174*0.85,'Start-Options'!B38))</f>
        <v>135</v>
      </c>
      <c r="Q177" s="105"/>
      <c r="R177" s="105"/>
      <c r="S177" s="105"/>
      <c r="T177" s="116"/>
      <c r="U177" s="105"/>
      <c r="V177" s="114" t="str">
        <f>'Start-Options'!B5</f>
        <v>Deadlift</v>
      </c>
      <c r="W177" s="117">
        <f>IF(Z174="","",MROUND(Z174*0.5,'Start-Options'!B38))</f>
        <v>80</v>
      </c>
      <c r="X177" s="27"/>
      <c r="Y177" s="27"/>
      <c r="Z177" s="27"/>
      <c r="AA177" s="27"/>
      <c r="AB177" s="27"/>
      <c r="AC177" s="27"/>
    </row>
    <row r="178" ht="12.75" customHeight="1">
      <c r="A178" s="130"/>
      <c r="B178" s="120">
        <f>IF(Z174="","",MROUND(Z174*0.85,'Start-Options'!B38))</f>
        <v>135</v>
      </c>
      <c r="C178" s="120">
        <f>IF(Z174="","",ROUND((37-36*B178/(Z174+'Start-Options'!F33)),0))</f>
        <v>7</v>
      </c>
      <c r="D178" s="120">
        <f>IF(Z174="","",MROUND(B178*36/(37-C178),'Start-Options'!B38))</f>
        <v>162.5</v>
      </c>
      <c r="E178" s="156"/>
      <c r="F178" s="122" t="str">
        <f>IF(E178="","",MROUND(36*B178/(37-E178),'Start-Options'!B38))</f>
        <v/>
      </c>
      <c r="G178" s="105"/>
      <c r="H178" s="123"/>
      <c r="I178" s="124">
        <f>IF(Z174="","",MROUND(Z174*0.9,'Start-Options'!B38))</f>
        <v>145</v>
      </c>
      <c r="J178" s="120" t="str">
        <f>IF(F178="","",IF(F178&lt;Z174,ROUND((37-36*I178/(Z174+'Start-Options'!F33)),0),ROUND((37-36*I178/(F178+'Start-Options'!F33)),0)))</f>
        <v/>
      </c>
      <c r="K178" s="120" t="str">
        <f>IF(J178="","",MROUND(I178*36/(37-J178),'Start-Options'!B38))</f>
        <v/>
      </c>
      <c r="L178" s="156"/>
      <c r="M178" s="122" t="str">
        <f>IF(L178="","",MROUND(36*I178/(37-L178),'Start-Options'!B38))</f>
        <v/>
      </c>
      <c r="N178" s="105"/>
      <c r="O178" s="123"/>
      <c r="P178" s="123">
        <f>IF(Z174="","",MROUND(Z174*0.95,'Start-Options'!B38))</f>
        <v>152.5</v>
      </c>
      <c r="Q178" s="120" t="str">
        <f>IF(M178="","",IF(M178&lt;Z174,ROUND((37-36*P178/(Z174+'Start-Options'!F33)),0),ROUND((37-36*P178/(M178+'Start-Options'!F33)),0)))</f>
        <v/>
      </c>
      <c r="R178" s="125" t="str">
        <f>IF(Q178="","",MROUND(P178*36/(37-Q178),'Start-Options'!B38))</f>
        <v/>
      </c>
      <c r="S178" s="152"/>
      <c r="T178" s="127" t="str">
        <f>IF(S178="","",MROUND(36*P178/(37-S178),'Start-Options'!B38))</f>
        <v/>
      </c>
      <c r="U178" s="105"/>
      <c r="V178" s="123"/>
      <c r="W178" s="128">
        <f>IF(Z174="","",MROUND(Z174*0.6,'Start-Options'!B38))</f>
        <v>95</v>
      </c>
      <c r="X178" s="27"/>
      <c r="Y178" s="70" t="s">
        <v>93</v>
      </c>
      <c r="Z178" s="71"/>
      <c r="AA178" s="27"/>
      <c r="AB178" s="27"/>
      <c r="AC178" s="27"/>
    </row>
    <row r="179" ht="12.75" customHeight="1">
      <c r="A179" s="102"/>
      <c r="B179" s="103">
        <f>IF(Z175="","",MROUND(Z175*0.65,'Start-Options'!B38))</f>
        <v>62.5</v>
      </c>
      <c r="C179" s="103"/>
      <c r="D179" s="103"/>
      <c r="E179" s="103"/>
      <c r="F179" s="104"/>
      <c r="G179" s="105"/>
      <c r="H179" s="106"/>
      <c r="I179" s="107">
        <f>IF(Z175="","",MROUND(Z175*0.7,'Start-Options'!B38))</f>
        <v>67.5</v>
      </c>
      <c r="J179" s="103"/>
      <c r="K179" s="103"/>
      <c r="L179" s="103"/>
      <c r="M179" s="104"/>
      <c r="N179" s="105"/>
      <c r="O179" s="106"/>
      <c r="P179" s="106">
        <f>IF(Z175="","",MROUND(Z175*0.75,'Start-Options'!B38))</f>
        <v>72.5</v>
      </c>
      <c r="Q179" s="108"/>
      <c r="R179" s="108"/>
      <c r="S179" s="108"/>
      <c r="T179" s="109"/>
      <c r="U179" s="105"/>
      <c r="V179" s="106"/>
      <c r="W179" s="110">
        <f>IF(Z175="","",MROUND(Z175*0.4,'Start-Options'!B38))</f>
        <v>37.5</v>
      </c>
      <c r="X179" s="27"/>
      <c r="Y179" s="25" t="s">
        <v>94</v>
      </c>
      <c r="Z179" s="162"/>
      <c r="AA179" s="27"/>
      <c r="AB179" s="27"/>
      <c r="AC179" s="27"/>
    </row>
    <row r="180" ht="12.75" customHeight="1">
      <c r="A180" s="111" t="str">
        <f>'Start-Options'!B6</f>
        <v>Bench</v>
      </c>
      <c r="B180" s="112">
        <f>IF(Z175="","",MROUND(Z175*0.75,'Start-Options'!B38))</f>
        <v>72.5</v>
      </c>
      <c r="C180" s="112"/>
      <c r="D180" s="112"/>
      <c r="E180" s="112"/>
      <c r="F180" s="113"/>
      <c r="G180" s="105"/>
      <c r="H180" s="114" t="str">
        <f>'Start-Options'!B6</f>
        <v>Bench</v>
      </c>
      <c r="I180" s="115">
        <f>IF(Z175="","",MROUND(Z175*0.8,'Start-Options'!B38))</f>
        <v>75</v>
      </c>
      <c r="J180" s="112"/>
      <c r="K180" s="112"/>
      <c r="L180" s="112"/>
      <c r="M180" s="113"/>
      <c r="N180" s="105"/>
      <c r="O180" s="114" t="str">
        <f>'Start-Options'!B6</f>
        <v>Bench</v>
      </c>
      <c r="P180" s="114">
        <f>IF(Z175="","",MROUND(Z175*0.85,'Start-Options'!B38))</f>
        <v>80</v>
      </c>
      <c r="Q180" s="105"/>
      <c r="R180" s="105"/>
      <c r="S180" s="105"/>
      <c r="T180" s="116"/>
      <c r="U180" s="105"/>
      <c r="V180" s="114" t="str">
        <f>'Start-Options'!B6</f>
        <v>Bench</v>
      </c>
      <c r="W180" s="117">
        <f>IF(Z175="","",MROUND(Z175*0.5,'Start-Options'!B38))</f>
        <v>47.5</v>
      </c>
      <c r="X180" s="27"/>
      <c r="Y180" s="77" t="s">
        <v>95</v>
      </c>
      <c r="Z180" s="78" t="str">
        <f>IF(Z179="","",MROUND(Z179*0.4,'Start-Options'!$B$38))</f>
        <v/>
      </c>
      <c r="AA180" s="27"/>
      <c r="AB180" s="27"/>
      <c r="AC180" s="27"/>
    </row>
    <row r="181" ht="12.75" customHeight="1">
      <c r="A181" s="119"/>
      <c r="B181" s="120">
        <f>IF(Z175="","",MROUND(Z175*0.85,'Start-Options'!B38))</f>
        <v>80</v>
      </c>
      <c r="C181" s="120">
        <f>IF(Z175="","",ROUND((37-36*B181/(Z175+'Start-Options'!F34)),0))</f>
        <v>7</v>
      </c>
      <c r="D181" s="120">
        <f>IF(Z175="","",MROUND(B181*36/(37-C181),'Start-Options'!B38))</f>
        <v>95</v>
      </c>
      <c r="E181" s="156"/>
      <c r="F181" s="122" t="str">
        <f>IF(E181="","",MROUND(36*B181/(37-E181),'Start-Options'!B38))</f>
        <v/>
      </c>
      <c r="G181" s="105"/>
      <c r="H181" s="123"/>
      <c r="I181" s="124">
        <f>IF(Z175="","",MROUND(Z175*0.9,'Start-Options'!B38))</f>
        <v>85</v>
      </c>
      <c r="J181" s="120" t="str">
        <f>IF(F181="","",IF(F181&lt;Z175,ROUND((37-36*I181/(Z175+'Start-Options'!F34)),0),ROUND((37-36*I181/(F181+'Start-Options'!F34)),0)))</f>
        <v/>
      </c>
      <c r="K181" s="120" t="str">
        <f>IF(J181="","",MROUND(I181*36/(37-J181),'Start-Options'!B38))</f>
        <v/>
      </c>
      <c r="L181" s="156"/>
      <c r="M181" s="122" t="str">
        <f>IF(L181="","",MROUND(36*I181/(37-L181),'Start-Options'!B38))</f>
        <v/>
      </c>
      <c r="N181" s="105"/>
      <c r="O181" s="123"/>
      <c r="P181" s="123">
        <f>IF(Z175="","",MROUND(Z175*0.95,'Start-Options'!B38))</f>
        <v>90</v>
      </c>
      <c r="Q181" s="120" t="str">
        <f>IF(M181="","",IF(M181&lt;Z175,ROUND((37-36*P181/(Z175+'Start-Options'!F34)),0),ROUND((37-36*P181/(M181+'Start-Options'!F34)),0)))</f>
        <v/>
      </c>
      <c r="R181" s="125" t="str">
        <f>IF(Q181="","",MROUND(P181*36/(37-Q181),'Start-Options'!B38))</f>
        <v/>
      </c>
      <c r="S181" s="152"/>
      <c r="T181" s="127" t="str">
        <f>IF(S181="","",MROUND(36*P181/(37-S181),'Start-Options'!B38))</f>
        <v/>
      </c>
      <c r="U181" s="105"/>
      <c r="V181" s="123"/>
      <c r="W181" s="128">
        <f>IF(Z175="","",MROUND(Z175*0.6,'Start-Options'!B38))</f>
        <v>57.5</v>
      </c>
      <c r="X181" s="27"/>
      <c r="Y181" s="77" t="s">
        <v>96</v>
      </c>
      <c r="Z181" s="78" t="str">
        <f>IF(Z179="","",MROUND(Z179*0.5,'Start-Options'!$B$38))</f>
        <v/>
      </c>
      <c r="AA181" s="27"/>
      <c r="AB181" s="27"/>
      <c r="AC181" s="27"/>
    </row>
    <row r="182" ht="12.75" customHeight="1">
      <c r="A182" s="111"/>
      <c r="B182" s="103">
        <f>IF(Z176="","",MROUND(Z176*0.65,'Start-Options'!B38))</f>
        <v>85</v>
      </c>
      <c r="C182" s="103"/>
      <c r="D182" s="103"/>
      <c r="E182" s="103"/>
      <c r="F182" s="104"/>
      <c r="G182" s="105"/>
      <c r="H182" s="106"/>
      <c r="I182" s="107">
        <f>IF(Z176="","",MROUND(Z176*0.7,'Start-Options'!B38))</f>
        <v>90</v>
      </c>
      <c r="J182" s="103"/>
      <c r="K182" s="103"/>
      <c r="L182" s="103"/>
      <c r="M182" s="104"/>
      <c r="N182" s="105"/>
      <c r="O182" s="106"/>
      <c r="P182" s="106">
        <f>IF(Z176="","",MROUND(Z176*0.75,'Start-Options'!B38))</f>
        <v>97.5</v>
      </c>
      <c r="Q182" s="108"/>
      <c r="R182" s="108"/>
      <c r="S182" s="108"/>
      <c r="T182" s="109"/>
      <c r="U182" s="105"/>
      <c r="V182" s="106"/>
      <c r="W182" s="110">
        <f>IF(Z176="","",MROUND(Z176*0.4,'Start-Options'!B38))</f>
        <v>52.5</v>
      </c>
      <c r="X182" s="27"/>
      <c r="Y182" s="82" t="s">
        <v>97</v>
      </c>
      <c r="Z182" s="83" t="str">
        <f>IF(Z179="","",MROUND(Z179*0.6,'Start-Options'!$B$38))</f>
        <v/>
      </c>
      <c r="AA182" s="27"/>
      <c r="AB182" s="27"/>
      <c r="AC182" s="27"/>
    </row>
    <row r="183" ht="12.75" customHeight="1">
      <c r="A183" s="111" t="str">
        <f>'Start-Options'!B7</f>
        <v>Squat</v>
      </c>
      <c r="B183" s="112">
        <f>IF(Z176="","",MROUND(Z176*0.75,'Start-Options'!B38))</f>
        <v>97.5</v>
      </c>
      <c r="C183" s="112"/>
      <c r="D183" s="112"/>
      <c r="E183" s="112"/>
      <c r="F183" s="113"/>
      <c r="G183" s="105"/>
      <c r="H183" s="114" t="str">
        <f>'Start-Options'!B7</f>
        <v>Squat</v>
      </c>
      <c r="I183" s="115">
        <f>IF(Z176="","",MROUND(Z176*0.8,'Start-Options'!B38))</f>
        <v>105</v>
      </c>
      <c r="J183" s="112"/>
      <c r="K183" s="112"/>
      <c r="L183" s="112"/>
      <c r="M183" s="113"/>
      <c r="N183" s="105"/>
      <c r="O183" s="114" t="str">
        <f>'Start-Options'!B7</f>
        <v>Squat</v>
      </c>
      <c r="P183" s="114">
        <f>IF(Z176="","",MROUND(Z176*0.85,'Start-Options'!B38))</f>
        <v>110</v>
      </c>
      <c r="Q183" s="105"/>
      <c r="R183" s="105"/>
      <c r="S183" s="105"/>
      <c r="T183" s="116"/>
      <c r="U183" s="105"/>
      <c r="V183" s="114" t="str">
        <f>'Start-Options'!B7</f>
        <v>Squat</v>
      </c>
      <c r="W183" s="117">
        <f>IF(Z176="","",MROUND(Z176*0.5,'Start-Options'!B38))</f>
        <v>65</v>
      </c>
      <c r="X183" s="27"/>
      <c r="Y183" s="27"/>
      <c r="Z183" s="27"/>
      <c r="AA183" s="27"/>
      <c r="AB183" s="27"/>
      <c r="AC183" s="27"/>
    </row>
    <row r="184" ht="13.5" customHeight="1">
      <c r="A184" s="131"/>
      <c r="B184" s="132">
        <f>IF(Z176="","",MROUND(Z176*0.85,'Start-Options'!B38))</f>
        <v>110</v>
      </c>
      <c r="C184" s="132">
        <f>IF(Z176="","",ROUND((37-36*B184/(Z176+'Start-Options'!F35)),0))</f>
        <v>7</v>
      </c>
      <c r="D184" s="132">
        <f>IF(Z176="","",MROUND(B184*36/(37-C184),'Start-Options'!B38))</f>
        <v>132.5</v>
      </c>
      <c r="E184" s="157"/>
      <c r="F184" s="134" t="str">
        <f>IF(E184="","",MROUND(36*B184/(37-E184),'Start-Options'!B38))</f>
        <v/>
      </c>
      <c r="G184" s="135"/>
      <c r="H184" s="136"/>
      <c r="I184" s="137">
        <f>IF(Z176="","",MROUND(Z176*0.9,'Start-Options'!B38))</f>
        <v>117.5</v>
      </c>
      <c r="J184" s="132" t="str">
        <f>IF(F184="","",IF(F184&lt;Z176,ROUND((37-36*I184/(Z176+'Start-Options'!F35)),0),ROUND((37-36*I184/(F184+'Start-Options'!F35)),0)))</f>
        <v/>
      </c>
      <c r="K184" s="132" t="str">
        <f>IF(J184="","",MROUND(I184*36/(37-J184),'Start-Options'!B38))</f>
        <v/>
      </c>
      <c r="L184" s="157"/>
      <c r="M184" s="134" t="str">
        <f>IF(L184="","",MROUND(36*I184/(37-L184),'Start-Options'!B38))</f>
        <v/>
      </c>
      <c r="N184" s="135"/>
      <c r="O184" s="136"/>
      <c r="P184" s="136">
        <f>IF(Z176="","",MROUND(Z176*0.95,'Start-Options'!B38))</f>
        <v>122.5</v>
      </c>
      <c r="Q184" s="132" t="str">
        <f>IF(M184="","",IF(M184&lt;Z176,ROUND((37-36*P184/(Z176+'Start-Options'!F35)),0),ROUND((37-36*P184/(M184+'Start-Options'!F35)),0)))</f>
        <v/>
      </c>
      <c r="R184" s="135" t="str">
        <f>IF(Q184="","",MROUND(P184*36/(37-Q184),'Start-Options'!B38))</f>
        <v/>
      </c>
      <c r="S184" s="161"/>
      <c r="T184" s="139" t="str">
        <f>IF(S184="","",MROUND(36*P184/(37-S184),'Start-Options'!B38))</f>
        <v/>
      </c>
      <c r="U184" s="135"/>
      <c r="V184" s="136"/>
      <c r="W184" s="140">
        <f>IF(Z176="","",MROUND(Z176*0.6,'Start-Options'!B38))</f>
        <v>77.5</v>
      </c>
      <c r="X184" s="27"/>
      <c r="Y184" s="27"/>
      <c r="Z184" s="27"/>
      <c r="AA184" s="27"/>
      <c r="AB184" s="27"/>
      <c r="AC184" s="2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row>
    <row r="186" ht="21.0" customHeight="1">
      <c r="A186" s="27"/>
      <c r="B186" s="27"/>
      <c r="C186" s="27"/>
      <c r="D186" s="27"/>
      <c r="E186" s="27"/>
      <c r="F186" s="27"/>
      <c r="G186" s="27"/>
      <c r="H186" s="27"/>
      <c r="I186" s="27"/>
      <c r="J186" s="27"/>
      <c r="K186" s="27"/>
      <c r="L186" s="27"/>
      <c r="M186" s="86" t="s">
        <v>160</v>
      </c>
      <c r="N186" s="160"/>
      <c r="O186" s="27"/>
      <c r="P186" s="27"/>
      <c r="Q186" s="27"/>
      <c r="R186" s="27"/>
      <c r="S186" s="27"/>
      <c r="T186" s="27"/>
      <c r="U186" s="27"/>
      <c r="V186" s="27"/>
      <c r="W186" s="27"/>
      <c r="X186" s="27"/>
      <c r="Y186" s="27"/>
      <c r="Z186" s="27"/>
      <c r="AA186" s="27"/>
      <c r="AB186" s="27"/>
      <c r="AC186" s="27"/>
    </row>
    <row r="187" ht="15.75" customHeight="1">
      <c r="A187" s="88"/>
      <c r="B187" s="91"/>
      <c r="C187" s="89" t="s">
        <v>161</v>
      </c>
      <c r="D187" s="91"/>
      <c r="E187" s="91"/>
      <c r="F187" s="91"/>
      <c r="G187" s="91"/>
      <c r="H187" s="91"/>
      <c r="I187" s="92"/>
      <c r="J187" s="89" t="s">
        <v>162</v>
      </c>
      <c r="K187" s="91"/>
      <c r="L187" s="91"/>
      <c r="M187" s="91"/>
      <c r="N187" s="91"/>
      <c r="O187" s="91"/>
      <c r="P187" s="91"/>
      <c r="Q187" s="89" t="s">
        <v>163</v>
      </c>
      <c r="R187" s="91"/>
      <c r="S187" s="91"/>
      <c r="T187" s="91"/>
      <c r="U187" s="91"/>
      <c r="V187" s="93" t="s">
        <v>164</v>
      </c>
      <c r="W187" s="94"/>
      <c r="X187" s="27"/>
      <c r="Y187" s="27"/>
      <c r="Z187" s="27"/>
      <c r="AA187" s="27"/>
      <c r="AB187" s="27"/>
      <c r="AC187" s="27"/>
    </row>
    <row r="188" ht="32.25" customHeight="1">
      <c r="A188" s="95"/>
      <c r="B188" s="96" t="s">
        <v>26</v>
      </c>
      <c r="C188" s="97" t="s">
        <v>88</v>
      </c>
      <c r="D188" s="97" t="s">
        <v>89</v>
      </c>
      <c r="E188" s="97" t="s">
        <v>90</v>
      </c>
      <c r="F188" s="96" t="s">
        <v>91</v>
      </c>
      <c r="G188" s="27"/>
      <c r="H188" s="98"/>
      <c r="I188" s="96" t="s">
        <v>26</v>
      </c>
      <c r="J188" s="97" t="s">
        <v>88</v>
      </c>
      <c r="K188" s="97" t="s">
        <v>89</v>
      </c>
      <c r="L188" s="97" t="s">
        <v>90</v>
      </c>
      <c r="M188" s="96" t="s">
        <v>91</v>
      </c>
      <c r="N188" s="27"/>
      <c r="O188" s="98"/>
      <c r="P188" s="96" t="s">
        <v>26</v>
      </c>
      <c r="Q188" s="97" t="s">
        <v>88</v>
      </c>
      <c r="R188" s="97" t="s">
        <v>89</v>
      </c>
      <c r="S188" s="97" t="s">
        <v>90</v>
      </c>
      <c r="T188" s="96" t="s">
        <v>91</v>
      </c>
      <c r="U188" s="27"/>
      <c r="V188" s="99"/>
      <c r="W188" s="159" t="s">
        <v>26</v>
      </c>
      <c r="X188" s="27"/>
      <c r="Y188" s="101" t="s">
        <v>165</v>
      </c>
      <c r="Z188" s="71"/>
      <c r="AA188" s="141"/>
      <c r="AB188" s="142" t="s">
        <v>104</v>
      </c>
      <c r="AC188" s="143" t="s">
        <v>105</v>
      </c>
    </row>
    <row r="189" ht="12.75" customHeight="1">
      <c r="A189" s="102"/>
      <c r="B189" s="103">
        <f>IF(Z189="","",MROUND(Z189*0.65,'Start-Options'!B38))</f>
        <v>50</v>
      </c>
      <c r="C189" s="103"/>
      <c r="D189" s="103"/>
      <c r="E189" s="103"/>
      <c r="F189" s="104"/>
      <c r="G189" s="105"/>
      <c r="H189" s="106"/>
      <c r="I189" s="107">
        <f>IF(Z189="","",MROUND(Z189*0.7,'Start-Options'!B38))</f>
        <v>55</v>
      </c>
      <c r="J189" s="103"/>
      <c r="K189" s="103"/>
      <c r="L189" s="103"/>
      <c r="M189" s="104"/>
      <c r="N189" s="105"/>
      <c r="O189" s="106"/>
      <c r="P189" s="106">
        <f>IF(Z189="","",MROUND(Z189*0.75,'Start-Options'!B38))</f>
        <v>57.5</v>
      </c>
      <c r="Q189" s="108"/>
      <c r="R189" s="108"/>
      <c r="S189" s="108"/>
      <c r="T189" s="109"/>
      <c r="U189" s="105"/>
      <c r="V189" s="106"/>
      <c r="W189" s="110">
        <f>IF(Z189="","",MROUND(Z189*0.4,'Start-Options'!B38))</f>
        <v>30</v>
      </c>
      <c r="X189" s="27"/>
      <c r="Y189" s="37" t="str">
        <f>'Start-Options'!B4</f>
        <v>Military</v>
      </c>
      <c r="Z189" s="106">
        <f>IF(Z173="","",IF(ISTEXT(AB173),Z173-AC173,Z173+'Start-Options'!C32))</f>
        <v>77.5</v>
      </c>
      <c r="AA189" s="146"/>
      <c r="AB189" s="36"/>
      <c r="AC189" s="147"/>
    </row>
    <row r="190" ht="12.75" customHeight="1">
      <c r="A190" s="111" t="str">
        <f>'Start-Options'!B4</f>
        <v>Military</v>
      </c>
      <c r="B190" s="112">
        <f>IF(Z189="","",MROUND(Z189*0.75,'Start-Options'!B38))</f>
        <v>57.5</v>
      </c>
      <c r="C190" s="112"/>
      <c r="D190" s="112"/>
      <c r="E190" s="112"/>
      <c r="F190" s="113"/>
      <c r="G190" s="105"/>
      <c r="H190" s="114" t="str">
        <f>'Start-Options'!B4</f>
        <v>Military</v>
      </c>
      <c r="I190" s="115">
        <f>IF(Z189="","",MROUND(Z189*0.8,'Start-Options'!B38))</f>
        <v>62.5</v>
      </c>
      <c r="J190" s="112"/>
      <c r="K190" s="112"/>
      <c r="L190" s="112"/>
      <c r="M190" s="113"/>
      <c r="N190" s="105"/>
      <c r="O190" s="114" t="str">
        <f>'Start-Options'!B4</f>
        <v>Military</v>
      </c>
      <c r="P190" s="114">
        <f>IF(Z189="","",MROUND(Z189*0.85,'Start-Options'!B38))</f>
        <v>65</v>
      </c>
      <c r="Q190" s="105"/>
      <c r="R190" s="105"/>
      <c r="S190" s="105"/>
      <c r="T190" s="116"/>
      <c r="U190" s="105"/>
      <c r="V190" s="114" t="str">
        <f>'Start-Options'!B4</f>
        <v>Military</v>
      </c>
      <c r="W190" s="117">
        <f>IF(Z189="","",MROUND(Z189*0.5,'Start-Options'!B38))</f>
        <v>40</v>
      </c>
      <c r="X190" s="27"/>
      <c r="Y190" s="118" t="str">
        <f>'Start-Options'!B5</f>
        <v>Deadlift</v>
      </c>
      <c r="Z190" s="114">
        <f>IF(Z174="","",IF(ISTEXT(AB174),Z174-AC174,Z174+'Start-Options'!C33))</f>
        <v>165</v>
      </c>
      <c r="AA190" s="150"/>
      <c r="AB190" s="151"/>
      <c r="AC190" s="147"/>
    </row>
    <row r="191" ht="12.75" customHeight="1">
      <c r="A191" s="119"/>
      <c r="B191" s="120">
        <f>IF(Z189="","",MROUND(Z189*0.85,'Start-Options'!B38))</f>
        <v>65</v>
      </c>
      <c r="C191" s="120">
        <f>IF(Z189="","",ROUND((37-36*B191/(Z189+'Start-Options'!F32)),0))</f>
        <v>8</v>
      </c>
      <c r="D191" s="120">
        <f>IF(Z189="","",MROUND(B191*36/(37-C191),'Start-Options'!B38))</f>
        <v>80</v>
      </c>
      <c r="E191" s="156"/>
      <c r="F191" s="122" t="str">
        <f>IF(E191="","",MROUND(36*B191/(37-E191),'Start-Options'!B38))</f>
        <v/>
      </c>
      <c r="G191" s="105"/>
      <c r="H191" s="123"/>
      <c r="I191" s="124">
        <f>IF(Z189="","",MROUND(Z189*0.9,'Start-Options'!B38))</f>
        <v>70</v>
      </c>
      <c r="J191" s="120" t="str">
        <f>IF(F191="","",IF(F191&lt;Z189,ROUND((37-36*I191/(Z189+'Start-Options'!F32)),0),ROUND((37-36*I191/(F191+'Start-Options'!F32)),0)))</f>
        <v/>
      </c>
      <c r="K191" s="120" t="str">
        <f>IF(J191="","",MROUND(I191*36/(37-J191),'Start-Options'!B38))</f>
        <v/>
      </c>
      <c r="L191" s="156"/>
      <c r="M191" s="122" t="str">
        <f>IF(L191="","",MROUND(36*I191/(37-L191),'Start-Options'!B38))</f>
        <v/>
      </c>
      <c r="N191" s="105"/>
      <c r="O191" s="123"/>
      <c r="P191" s="123">
        <f>IF(Z189="","",MROUND(Z189*0.95,'Start-Options'!B38))</f>
        <v>72.5</v>
      </c>
      <c r="Q191" s="120" t="str">
        <f>IF(M191="","",IF(M191&lt;Z189,ROUND((37-36*P191/(Z189+'Start-Options'!F32)),0),ROUND((37-36*P191/(M191+'Start-Options'!F32)),0)))</f>
        <v/>
      </c>
      <c r="R191" s="125" t="str">
        <f>IF(Q191="","",MROUND(P191*36/(37-Q191),'Start-Options'!B38))</f>
        <v/>
      </c>
      <c r="S191" s="152"/>
      <c r="T191" s="127" t="str">
        <f>IF(S191="","",MROUND(36*P191/(37-S191),'Start-Options'!B38))</f>
        <v/>
      </c>
      <c r="U191" s="105"/>
      <c r="V191" s="123"/>
      <c r="W191" s="128">
        <f>IF(Z189="","",MROUND(Z189*0.6,'Start-Options'!B38))</f>
        <v>47.5</v>
      </c>
      <c r="X191" s="27"/>
      <c r="Y191" s="118" t="str">
        <f>'Start-Options'!B6</f>
        <v>Bench</v>
      </c>
      <c r="Z191" s="114">
        <f>IF(Z175="","",IF(ISTEXT(AB175),Z175-AC175,Z175+'Start-Options'!C34))</f>
        <v>97.5</v>
      </c>
      <c r="AA191" s="150"/>
      <c r="AB191" s="151"/>
      <c r="AC191" s="147"/>
    </row>
    <row r="192" ht="12.75" customHeight="1">
      <c r="A192" s="102"/>
      <c r="B192" s="103">
        <f>IF(Z190="","",MROUND(Z190*0.65,'Start-Options'!B38))</f>
        <v>107.5</v>
      </c>
      <c r="C192" s="103"/>
      <c r="D192" s="103"/>
      <c r="E192" s="103"/>
      <c r="F192" s="104"/>
      <c r="G192" s="105"/>
      <c r="H192" s="106"/>
      <c r="I192" s="107">
        <f>IF(Z190="","",MROUND(Z190*0.7,'Start-Options'!B38))</f>
        <v>115</v>
      </c>
      <c r="J192" s="103"/>
      <c r="K192" s="103"/>
      <c r="L192" s="103"/>
      <c r="M192" s="104"/>
      <c r="N192" s="105"/>
      <c r="O192" s="106"/>
      <c r="P192" s="106">
        <f>IF(Z190="","",MROUND(Z190*0.75,'Start-Options'!B38))</f>
        <v>125</v>
      </c>
      <c r="Q192" s="108"/>
      <c r="R192" s="108"/>
      <c r="S192" s="108"/>
      <c r="T192" s="109"/>
      <c r="U192" s="105"/>
      <c r="V192" s="106"/>
      <c r="W192" s="110">
        <f>IF(Z190="","",MROUND(Z190*0.4,'Start-Options'!B38))</f>
        <v>65</v>
      </c>
      <c r="X192" s="27"/>
      <c r="Y192" s="129" t="str">
        <f>'Start-Options'!B7</f>
        <v>Squat</v>
      </c>
      <c r="Z192" s="123">
        <f>IF(Z176="","",IF(ISTEXT(AB176),Z176-AC176,Z176+'Start-Options'!C35))</f>
        <v>135</v>
      </c>
      <c r="AA192" s="153"/>
      <c r="AB192" s="154"/>
      <c r="AC192" s="155"/>
    </row>
    <row r="193" ht="12.75" customHeight="1">
      <c r="A193" s="111" t="str">
        <f>'Start-Options'!B5</f>
        <v>Deadlift</v>
      </c>
      <c r="B193" s="112">
        <f>IF(Z190="","",MROUND(Z190*0.75,'Start-Options'!B38))</f>
        <v>125</v>
      </c>
      <c r="C193" s="112"/>
      <c r="D193" s="112"/>
      <c r="E193" s="112"/>
      <c r="F193" s="113"/>
      <c r="G193" s="105"/>
      <c r="H193" s="114" t="str">
        <f>'Start-Options'!B5</f>
        <v>Deadlift</v>
      </c>
      <c r="I193" s="115">
        <f>IF(Z190="","",MROUND(Z190*0.8,'Start-Options'!B38))</f>
        <v>132.5</v>
      </c>
      <c r="J193" s="112"/>
      <c r="K193" s="112"/>
      <c r="L193" s="112"/>
      <c r="M193" s="113"/>
      <c r="N193" s="105"/>
      <c r="O193" s="114" t="str">
        <f>'Start-Options'!B5</f>
        <v>Deadlift</v>
      </c>
      <c r="P193" s="114">
        <f>IF(Z190="","",MROUND(Z190*0.85,'Start-Options'!B38))</f>
        <v>140</v>
      </c>
      <c r="Q193" s="105"/>
      <c r="R193" s="105"/>
      <c r="S193" s="105"/>
      <c r="T193" s="116"/>
      <c r="U193" s="105"/>
      <c r="V193" s="114" t="str">
        <f>'Start-Options'!B5</f>
        <v>Deadlift</v>
      </c>
      <c r="W193" s="117">
        <f>IF(Z190="","",MROUND(Z190*0.5,'Start-Options'!B38))</f>
        <v>82.5</v>
      </c>
      <c r="X193" s="27"/>
      <c r="Y193" s="27"/>
      <c r="Z193" s="27"/>
      <c r="AA193" s="27"/>
      <c r="AB193" s="27"/>
      <c r="AC193" s="27"/>
    </row>
    <row r="194" ht="12.75" customHeight="1">
      <c r="A194" s="130"/>
      <c r="B194" s="120">
        <f>IF(Z190="","",MROUND(Z190*0.85,'Start-Options'!B38))</f>
        <v>140</v>
      </c>
      <c r="C194" s="120">
        <f>IF(Z190="","",ROUND((37-36*B194/(Z190+'Start-Options'!F33)),0))</f>
        <v>7</v>
      </c>
      <c r="D194" s="120">
        <f>IF(Z190="","",MROUND(B194*36/(37-C194),'Start-Options'!B38))</f>
        <v>167.5</v>
      </c>
      <c r="E194" s="156"/>
      <c r="F194" s="122" t="str">
        <f>IF(E194="","",MROUND(36*B194/(37-E194),'Start-Options'!B38))</f>
        <v/>
      </c>
      <c r="G194" s="105"/>
      <c r="H194" s="123"/>
      <c r="I194" s="124">
        <f>IF(Z190="","",MROUND(Z190*0.9,'Start-Options'!B38))</f>
        <v>147.5</v>
      </c>
      <c r="J194" s="120" t="str">
        <f>IF(F194="","",IF(F194&lt;Z190,ROUND((37-36*I194/(Z190+'Start-Options'!F33)),0),ROUND((37-36*I194/(F194+'Start-Options'!F33)),0)))</f>
        <v/>
      </c>
      <c r="K194" s="120" t="str">
        <f>IF(J194="","",MROUND(I194*36/(37-J194),'Start-Options'!B38))</f>
        <v/>
      </c>
      <c r="L194" s="156"/>
      <c r="M194" s="122" t="str">
        <f>IF(L194="","",MROUND(36*I194/(37-L194),'Start-Options'!B38))</f>
        <v/>
      </c>
      <c r="N194" s="105"/>
      <c r="O194" s="123"/>
      <c r="P194" s="123">
        <f>IF(Z190="","",MROUND(Z190*0.95,'Start-Options'!B38))</f>
        <v>157.5</v>
      </c>
      <c r="Q194" s="120" t="str">
        <f>IF(M194="","",IF(M194&lt;Z190,ROUND((37-36*P194/(Z190+'Start-Options'!F33)),0),ROUND((37-36*P194/(M194+'Start-Options'!F33)),0)))</f>
        <v/>
      </c>
      <c r="R194" s="125" t="str">
        <f>IF(Q194="","",MROUND(P194*36/(37-Q194),'Start-Options'!B38))</f>
        <v/>
      </c>
      <c r="S194" s="152"/>
      <c r="T194" s="127" t="str">
        <f>IF(S194="","",MROUND(36*P194/(37-S194),'Start-Options'!B38))</f>
        <v/>
      </c>
      <c r="U194" s="105"/>
      <c r="V194" s="123"/>
      <c r="W194" s="128">
        <f>IF(Z190="","",MROUND(Z190*0.6,'Start-Options'!B38))</f>
        <v>100</v>
      </c>
      <c r="X194" s="27"/>
      <c r="Y194" s="70" t="s">
        <v>93</v>
      </c>
      <c r="Z194" s="71"/>
      <c r="AA194" s="27"/>
      <c r="AB194" s="27"/>
      <c r="AC194" s="27"/>
    </row>
    <row r="195" ht="12.75" customHeight="1">
      <c r="A195" s="102"/>
      <c r="B195" s="103">
        <f>IF(Z191="","",MROUND(Z191*0.65,'Start-Options'!B38))</f>
        <v>62.5</v>
      </c>
      <c r="C195" s="103"/>
      <c r="D195" s="103"/>
      <c r="E195" s="103"/>
      <c r="F195" s="104"/>
      <c r="G195" s="105"/>
      <c r="H195" s="106"/>
      <c r="I195" s="107">
        <f>IF(Z191="","",MROUND(Z191*0.7,'Start-Options'!B38))</f>
        <v>67.5</v>
      </c>
      <c r="J195" s="103"/>
      <c r="K195" s="103"/>
      <c r="L195" s="103"/>
      <c r="M195" s="104"/>
      <c r="N195" s="105"/>
      <c r="O195" s="106"/>
      <c r="P195" s="106">
        <f>IF(Z191="","",MROUND(Z191*0.75,'Start-Options'!B38))</f>
        <v>72.5</v>
      </c>
      <c r="Q195" s="108"/>
      <c r="R195" s="108"/>
      <c r="S195" s="108"/>
      <c r="T195" s="109"/>
      <c r="U195" s="105"/>
      <c r="V195" s="106"/>
      <c r="W195" s="110">
        <f>IF(Z191="","",MROUND(Z191*0.4,'Start-Options'!B38))</f>
        <v>40</v>
      </c>
      <c r="X195" s="27"/>
      <c r="Y195" s="25" t="s">
        <v>94</v>
      </c>
      <c r="Z195" s="162"/>
      <c r="AA195" s="27"/>
      <c r="AB195" s="27"/>
      <c r="AC195" s="27"/>
    </row>
    <row r="196" ht="12.75" customHeight="1">
      <c r="A196" s="111" t="str">
        <f>'Start-Options'!B6</f>
        <v>Bench</v>
      </c>
      <c r="B196" s="112">
        <f>IF(Z191="","",MROUND(Z191*0.75,'Start-Options'!B38))</f>
        <v>72.5</v>
      </c>
      <c r="C196" s="112"/>
      <c r="D196" s="112"/>
      <c r="E196" s="112"/>
      <c r="F196" s="113"/>
      <c r="G196" s="105"/>
      <c r="H196" s="114" t="str">
        <f>'Start-Options'!B6</f>
        <v>Bench</v>
      </c>
      <c r="I196" s="115">
        <f>IF(Z191="","",MROUND(Z191*0.8,'Start-Options'!B38))</f>
        <v>77.5</v>
      </c>
      <c r="J196" s="112"/>
      <c r="K196" s="112"/>
      <c r="L196" s="112"/>
      <c r="M196" s="113"/>
      <c r="N196" s="105"/>
      <c r="O196" s="114" t="str">
        <f>'Start-Options'!B6</f>
        <v>Bench</v>
      </c>
      <c r="P196" s="114">
        <f>IF(Z191="","",MROUND(Z191*0.85,'Start-Options'!B38))</f>
        <v>82.5</v>
      </c>
      <c r="Q196" s="105"/>
      <c r="R196" s="105"/>
      <c r="S196" s="105"/>
      <c r="T196" s="116"/>
      <c r="U196" s="105"/>
      <c r="V196" s="114" t="str">
        <f>'Start-Options'!B6</f>
        <v>Bench</v>
      </c>
      <c r="W196" s="117">
        <f>IF(Z191="","",MROUND(Z191*0.5,'Start-Options'!B38))</f>
        <v>50</v>
      </c>
      <c r="X196" s="27"/>
      <c r="Y196" s="77" t="s">
        <v>95</v>
      </c>
      <c r="Z196" s="78" t="str">
        <f>IF(Z195="","",MROUND(Z195*0.4,'Start-Options'!$B$38))</f>
        <v/>
      </c>
      <c r="AA196" s="27"/>
      <c r="AB196" s="27"/>
      <c r="AC196" s="27"/>
    </row>
    <row r="197" ht="12.75" customHeight="1">
      <c r="A197" s="119"/>
      <c r="B197" s="120">
        <f>IF(Z191="","",MROUND(Z191*0.85,'Start-Options'!B38))</f>
        <v>82.5</v>
      </c>
      <c r="C197" s="120">
        <f>IF(Z191="","",ROUND((37-36*B197/(Z191+'Start-Options'!F34)),0))</f>
        <v>7</v>
      </c>
      <c r="D197" s="120">
        <f>IF(Z191="","",MROUND(B197*36/(37-C197),'Start-Options'!B38))</f>
        <v>100</v>
      </c>
      <c r="E197" s="156"/>
      <c r="F197" s="122" t="str">
        <f>IF(E197="","",MROUND(36*B197/(37-E197),'Start-Options'!B38))</f>
        <v/>
      </c>
      <c r="G197" s="105"/>
      <c r="H197" s="123"/>
      <c r="I197" s="124">
        <f>IF(Z191="","",MROUND(Z191*0.9,'Start-Options'!B38))</f>
        <v>87.5</v>
      </c>
      <c r="J197" s="120" t="str">
        <f>IF(F197="","",IF(F197&lt;Z191,ROUND((37-36*I197/(Z191+'Start-Options'!F34)),0),ROUND((37-36*I197/(F197+'Start-Options'!F34)),0)))</f>
        <v/>
      </c>
      <c r="K197" s="120" t="str">
        <f>IF(J197="","",MROUND(I197*36/(37-J197),'Start-Options'!B38))</f>
        <v/>
      </c>
      <c r="L197" s="156"/>
      <c r="M197" s="122" t="str">
        <f>IF(L197="","",MROUND(36*I197/(37-L197),'Start-Options'!B38))</f>
        <v/>
      </c>
      <c r="N197" s="105"/>
      <c r="O197" s="123"/>
      <c r="P197" s="123">
        <f>IF(Z191="","",MROUND(Z191*0.95,'Start-Options'!B38))</f>
        <v>92.5</v>
      </c>
      <c r="Q197" s="120" t="str">
        <f>IF(M197="","",IF(M197&lt;Z191,ROUND((37-36*P197/(Z191+'Start-Options'!F34)),0),ROUND((37-36*P197/(M197+'Start-Options'!F34)),0)))</f>
        <v/>
      </c>
      <c r="R197" s="125" t="str">
        <f>IF(Q197="","",MROUND(P197*36/(37-Q197),'Start-Options'!B38))</f>
        <v/>
      </c>
      <c r="S197" s="152"/>
      <c r="T197" s="127" t="str">
        <f>IF(S197="","",MROUND(36*P197/(37-S197),'Start-Options'!B38))</f>
        <v/>
      </c>
      <c r="U197" s="105"/>
      <c r="V197" s="123"/>
      <c r="W197" s="128">
        <f>IF(Z191="","",MROUND(Z191*0.6,'Start-Options'!B38))</f>
        <v>57.5</v>
      </c>
      <c r="X197" s="27"/>
      <c r="Y197" s="77" t="s">
        <v>96</v>
      </c>
      <c r="Z197" s="78" t="str">
        <f>IF(Z195="","",MROUND(Z195*0.5,'Start-Options'!$B$38))</f>
        <v/>
      </c>
      <c r="AA197" s="27"/>
      <c r="AB197" s="27"/>
      <c r="AC197" s="27"/>
    </row>
    <row r="198" ht="12.75" customHeight="1">
      <c r="A198" s="111"/>
      <c r="B198" s="103">
        <f>IF(Z192="","",MROUND(Z192*0.65,'Start-Options'!B38))</f>
        <v>87.5</v>
      </c>
      <c r="C198" s="103"/>
      <c r="D198" s="103"/>
      <c r="E198" s="103"/>
      <c r="F198" s="104"/>
      <c r="G198" s="105"/>
      <c r="H198" s="106"/>
      <c r="I198" s="107">
        <f>IF(Z192="","",MROUND(Z192*0.7,'Start-Options'!B38))</f>
        <v>95</v>
      </c>
      <c r="J198" s="103"/>
      <c r="K198" s="103"/>
      <c r="L198" s="103"/>
      <c r="M198" s="104"/>
      <c r="N198" s="105"/>
      <c r="O198" s="106"/>
      <c r="P198" s="106">
        <f>IF(Z192="","",MROUND(Z192*0.75,'Start-Options'!B38))</f>
        <v>102.5</v>
      </c>
      <c r="Q198" s="108"/>
      <c r="R198" s="108"/>
      <c r="S198" s="108"/>
      <c r="T198" s="109"/>
      <c r="U198" s="105"/>
      <c r="V198" s="106"/>
      <c r="W198" s="110">
        <f>IF(Z192="","",MROUND(Z192*0.4,'Start-Options'!B38))</f>
        <v>55</v>
      </c>
      <c r="X198" s="27"/>
      <c r="Y198" s="82" t="s">
        <v>97</v>
      </c>
      <c r="Z198" s="83" t="str">
        <f>IF(Z195="","",MROUND(Z195*0.6,'Start-Options'!$B$38))</f>
        <v/>
      </c>
      <c r="AA198" s="27"/>
      <c r="AB198" s="27"/>
      <c r="AC198" s="27"/>
    </row>
    <row r="199" ht="12.75" customHeight="1">
      <c r="A199" s="111" t="str">
        <f>'Start-Options'!B7</f>
        <v>Squat</v>
      </c>
      <c r="B199" s="112">
        <f>IF(Z192="","",MROUND(Z192*0.75,'Start-Options'!B38))</f>
        <v>102.5</v>
      </c>
      <c r="C199" s="112"/>
      <c r="D199" s="112"/>
      <c r="E199" s="112"/>
      <c r="F199" s="113"/>
      <c r="G199" s="105"/>
      <c r="H199" s="114" t="str">
        <f>'Start-Options'!B7</f>
        <v>Squat</v>
      </c>
      <c r="I199" s="115">
        <f>IF(Z192="","",MROUND(Z192*0.8,'Start-Options'!B38))</f>
        <v>107.5</v>
      </c>
      <c r="J199" s="112"/>
      <c r="K199" s="112"/>
      <c r="L199" s="112"/>
      <c r="M199" s="113"/>
      <c r="N199" s="105"/>
      <c r="O199" s="114" t="str">
        <f>'Start-Options'!B7</f>
        <v>Squat</v>
      </c>
      <c r="P199" s="114">
        <f>IF(Z192="","",MROUND(Z192*0.85,'Start-Options'!B38))</f>
        <v>115</v>
      </c>
      <c r="Q199" s="105"/>
      <c r="R199" s="105"/>
      <c r="S199" s="105"/>
      <c r="T199" s="116"/>
      <c r="U199" s="105"/>
      <c r="V199" s="114" t="str">
        <f>'Start-Options'!B7</f>
        <v>Squat</v>
      </c>
      <c r="W199" s="117">
        <f>IF(Z192="","",MROUND(Z192*0.5,'Start-Options'!B38))</f>
        <v>67.5</v>
      </c>
      <c r="X199" s="27"/>
      <c r="Y199" s="27"/>
      <c r="Z199" s="27"/>
      <c r="AA199" s="27"/>
      <c r="AB199" s="27"/>
      <c r="AC199" s="27"/>
    </row>
    <row r="200" ht="13.5" customHeight="1">
      <c r="A200" s="131"/>
      <c r="B200" s="132">
        <f>IF(Z192="","",MROUND(Z192*0.85,'Start-Options'!B38))</f>
        <v>115</v>
      </c>
      <c r="C200" s="132">
        <f>IF(Z192="","",ROUND((37-36*B200/(Z192+'Start-Options'!F35)),0))</f>
        <v>7</v>
      </c>
      <c r="D200" s="132">
        <f>IF(Z192="","",MROUND(B200*36/(37-C200),'Start-Options'!B38))</f>
        <v>137.5</v>
      </c>
      <c r="E200" s="157"/>
      <c r="F200" s="134" t="str">
        <f>IF(E200="","",MROUND(36*B200/(37-E200),'Start-Options'!B38))</f>
        <v/>
      </c>
      <c r="G200" s="135"/>
      <c r="H200" s="136"/>
      <c r="I200" s="137">
        <f>IF(Z192="","",MROUND(Z192*0.9,'Start-Options'!B38))</f>
        <v>122.5</v>
      </c>
      <c r="J200" s="132" t="str">
        <f>IF(F200="","",IF(F200&lt;Z192,ROUND((37-36*I200/(Z192+'Start-Options'!F35)),0),ROUND((37-36*I200/(F200+'Start-Options'!F35)),0)))</f>
        <v/>
      </c>
      <c r="K200" s="132" t="str">
        <f>IF(J200="","",MROUND(I200*36/(37-J200),'Start-Options'!B38))</f>
        <v/>
      </c>
      <c r="L200" s="157"/>
      <c r="M200" s="134" t="str">
        <f>IF(L200="","",MROUND(36*I200/(37-L200),'Start-Options'!B38))</f>
        <v/>
      </c>
      <c r="N200" s="135"/>
      <c r="O200" s="136"/>
      <c r="P200" s="136">
        <f>IF(Z192="","",MROUND(Z192*0.95,'Start-Options'!B38))</f>
        <v>127.5</v>
      </c>
      <c r="Q200" s="132" t="str">
        <f>IF(M200="","",IF(M200&lt;Z192,ROUND((37-36*P200/(Z192+'Start-Options'!F35)),0),ROUND((37-36*P200/(M200+'Start-Options'!F35)),0)))</f>
        <v/>
      </c>
      <c r="R200" s="135" t="str">
        <f>IF(Q200="","",MROUND(P200*36/(37-Q200),'Start-Options'!B38))</f>
        <v/>
      </c>
      <c r="S200" s="161"/>
      <c r="T200" s="139" t="str">
        <f>IF(S200="","",MROUND(36*P200/(37-S200),'Start-Options'!B38))</f>
        <v/>
      </c>
      <c r="U200" s="135"/>
      <c r="V200" s="136"/>
      <c r="W200" s="140">
        <f>IF(Z192="","",MROUND(Z192*0.6,'Start-Options'!B38))</f>
        <v>80</v>
      </c>
      <c r="X200" s="27"/>
      <c r="Y200" s="27"/>
      <c r="Z200" s="27"/>
      <c r="AA200" s="27"/>
      <c r="AB200" s="27"/>
      <c r="AC200" s="2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row>
    <row r="202" ht="21.0" customHeight="1">
      <c r="A202" s="27"/>
      <c r="B202" s="27"/>
      <c r="C202" s="27"/>
      <c r="D202" s="27"/>
      <c r="E202" s="27"/>
      <c r="F202" s="27"/>
      <c r="G202" s="27"/>
      <c r="H202" s="27"/>
      <c r="I202" s="27"/>
      <c r="J202" s="27"/>
      <c r="K202" s="27"/>
      <c r="L202" s="27"/>
      <c r="M202" s="86" t="s">
        <v>166</v>
      </c>
      <c r="N202" s="160"/>
      <c r="O202" s="27"/>
      <c r="P202" s="27"/>
      <c r="Q202" s="27"/>
      <c r="R202" s="27"/>
      <c r="S202" s="27"/>
      <c r="T202" s="27"/>
      <c r="U202" s="27"/>
      <c r="V202" s="27"/>
      <c r="W202" s="27"/>
      <c r="X202" s="27"/>
      <c r="Y202" s="27"/>
      <c r="Z202" s="27"/>
      <c r="AA202" s="27"/>
      <c r="AB202" s="27"/>
      <c r="AC202" s="27"/>
    </row>
    <row r="203" ht="15.75" customHeight="1">
      <c r="A203" s="88"/>
      <c r="B203" s="91"/>
      <c r="C203" s="89" t="s">
        <v>167</v>
      </c>
      <c r="D203" s="91"/>
      <c r="E203" s="91"/>
      <c r="F203" s="91"/>
      <c r="G203" s="91"/>
      <c r="H203" s="91"/>
      <c r="I203" s="92"/>
      <c r="J203" s="89" t="s">
        <v>168</v>
      </c>
      <c r="K203" s="91"/>
      <c r="L203" s="91"/>
      <c r="M203" s="91"/>
      <c r="N203" s="91"/>
      <c r="O203" s="91"/>
      <c r="P203" s="91"/>
      <c r="Q203" s="89" t="s">
        <v>169</v>
      </c>
      <c r="R203" s="91"/>
      <c r="S203" s="91"/>
      <c r="T203" s="91"/>
      <c r="U203" s="91"/>
      <c r="V203" s="93" t="s">
        <v>170</v>
      </c>
      <c r="W203" s="94"/>
      <c r="X203" s="27"/>
      <c r="Y203" s="27"/>
      <c r="Z203" s="27"/>
      <c r="AA203" s="27"/>
      <c r="AB203" s="27"/>
      <c r="AC203" s="27"/>
    </row>
    <row r="204" ht="32.25" customHeight="1">
      <c r="A204" s="95"/>
      <c r="B204" s="96" t="s">
        <v>26</v>
      </c>
      <c r="C204" s="97" t="s">
        <v>88</v>
      </c>
      <c r="D204" s="97" t="s">
        <v>89</v>
      </c>
      <c r="E204" s="97" t="s">
        <v>90</v>
      </c>
      <c r="F204" s="96" t="s">
        <v>91</v>
      </c>
      <c r="G204" s="27"/>
      <c r="H204" s="98"/>
      <c r="I204" s="96" t="s">
        <v>26</v>
      </c>
      <c r="J204" s="97" t="s">
        <v>88</v>
      </c>
      <c r="K204" s="97" t="s">
        <v>89</v>
      </c>
      <c r="L204" s="97" t="s">
        <v>90</v>
      </c>
      <c r="M204" s="96" t="s">
        <v>91</v>
      </c>
      <c r="N204" s="27"/>
      <c r="O204" s="98"/>
      <c r="P204" s="96" t="s">
        <v>26</v>
      </c>
      <c r="Q204" s="97" t="s">
        <v>88</v>
      </c>
      <c r="R204" s="97" t="s">
        <v>89</v>
      </c>
      <c r="S204" s="97" t="s">
        <v>90</v>
      </c>
      <c r="T204" s="96" t="s">
        <v>91</v>
      </c>
      <c r="U204" s="27"/>
      <c r="V204" s="99"/>
      <c r="W204" s="159" t="s">
        <v>26</v>
      </c>
      <c r="X204" s="27"/>
      <c r="Y204" s="101" t="s">
        <v>171</v>
      </c>
      <c r="Z204" s="71"/>
      <c r="AA204" s="79"/>
      <c r="AB204" s="79"/>
      <c r="AC204" s="163"/>
    </row>
    <row r="205" ht="12.75" customHeight="1">
      <c r="A205" s="102"/>
      <c r="B205" s="103">
        <f>IF(Z205="","",MROUND(Z205*0.65,'Start-Options'!B38))</f>
        <v>52.5</v>
      </c>
      <c r="C205" s="103"/>
      <c r="D205" s="103"/>
      <c r="E205" s="103"/>
      <c r="F205" s="104"/>
      <c r="G205" s="105"/>
      <c r="H205" s="106"/>
      <c r="I205" s="107">
        <f>IF(Z205="","",MROUND(Z205*0.7,'Start-Options'!B38))</f>
        <v>55</v>
      </c>
      <c r="J205" s="103"/>
      <c r="K205" s="103"/>
      <c r="L205" s="103"/>
      <c r="M205" s="104"/>
      <c r="N205" s="105"/>
      <c r="O205" s="106"/>
      <c r="P205" s="106">
        <f>IF(Z205="","",MROUND(Z205*0.75,'Start-Options'!B38))</f>
        <v>60</v>
      </c>
      <c r="Q205" s="108"/>
      <c r="R205" s="108"/>
      <c r="S205" s="108"/>
      <c r="T205" s="109"/>
      <c r="U205" s="105"/>
      <c r="V205" s="106"/>
      <c r="W205" s="110">
        <f>IF(Z205="","",MROUND(Z205*0.4,'Start-Options'!B38))</f>
        <v>32.5</v>
      </c>
      <c r="X205" s="27"/>
      <c r="Y205" s="37" t="str">
        <f>'Start-Options'!B4</f>
        <v>Military</v>
      </c>
      <c r="Z205" s="37">
        <f>IF(Z189="","",IF(ISTEXT(AB189),Z189-AC189,Z189+'Start-Options'!C32))</f>
        <v>80</v>
      </c>
      <c r="AA205" s="27"/>
      <c r="AB205" s="27"/>
      <c r="AC205" s="27"/>
    </row>
    <row r="206" ht="12.75" customHeight="1">
      <c r="A206" s="111" t="str">
        <f>'Start-Options'!B4</f>
        <v>Military</v>
      </c>
      <c r="B206" s="112">
        <f>IF(Z205="","",MROUND(Z205*0.75,'Start-Options'!B38))</f>
        <v>60</v>
      </c>
      <c r="C206" s="112"/>
      <c r="D206" s="112"/>
      <c r="E206" s="112"/>
      <c r="F206" s="113"/>
      <c r="G206" s="105"/>
      <c r="H206" s="114" t="str">
        <f>'Start-Options'!B4</f>
        <v>Military</v>
      </c>
      <c r="I206" s="115">
        <f>IF(Z205="","",MROUND(Z205*0.8,'Start-Options'!B38))</f>
        <v>65</v>
      </c>
      <c r="J206" s="112"/>
      <c r="K206" s="112"/>
      <c r="L206" s="112"/>
      <c r="M206" s="113"/>
      <c r="N206" s="105"/>
      <c r="O206" s="114" t="str">
        <f>'Start-Options'!B4</f>
        <v>Military</v>
      </c>
      <c r="P206" s="114">
        <f>IF(Z205="","",MROUND(Z205*0.85,'Start-Options'!B38))</f>
        <v>67.5</v>
      </c>
      <c r="Q206" s="105"/>
      <c r="R206" s="105"/>
      <c r="S206" s="105"/>
      <c r="T206" s="116"/>
      <c r="U206" s="105"/>
      <c r="V206" s="114" t="str">
        <f>'Start-Options'!B4</f>
        <v>Military</v>
      </c>
      <c r="W206" s="117">
        <f>IF(Z205="","",MROUND(Z205*0.5,'Start-Options'!B38))</f>
        <v>40</v>
      </c>
      <c r="X206" s="27"/>
      <c r="Y206" s="118" t="str">
        <f>'Start-Options'!B5</f>
        <v>Deadlift</v>
      </c>
      <c r="Z206" s="118">
        <f>IF(Z190="","",IF(ISTEXT(AB190),Z190-AC190,Z190+'Start-Options'!C33))</f>
        <v>170</v>
      </c>
      <c r="AA206" s="27"/>
      <c r="AB206" s="27"/>
      <c r="AC206" s="27"/>
    </row>
    <row r="207" ht="12.75" customHeight="1">
      <c r="A207" s="119"/>
      <c r="B207" s="120">
        <f>IF(Z205="","",MROUND(Z205*0.85,'Start-Options'!B38))</f>
        <v>67.5</v>
      </c>
      <c r="C207" s="120">
        <f>IF(Z205="","",ROUND((37-36*B207/(Z205+'Start-Options'!F32)),0))</f>
        <v>8</v>
      </c>
      <c r="D207" s="120">
        <f>IF(Z205="","",MROUND(B207*36/(37-C207),'Start-Options'!B38))</f>
        <v>85</v>
      </c>
      <c r="E207" s="156"/>
      <c r="F207" s="122" t="str">
        <f>IF(E207="","",MROUND(36*B207/(37-E207),'Start-Options'!B38))</f>
        <v/>
      </c>
      <c r="G207" s="105"/>
      <c r="H207" s="123"/>
      <c r="I207" s="124">
        <f>IF(Z205="","",MROUND(Z205*0.9,'Start-Options'!B38))</f>
        <v>72.5</v>
      </c>
      <c r="J207" s="120" t="str">
        <f>IF(F207="","",IF(F207&lt;Z205,ROUND((37-36*I207/(Z205+'Start-Options'!F32)),0),ROUND((37-36*I207/(F207+'Start-Options'!F32)),0)))</f>
        <v/>
      </c>
      <c r="K207" s="120" t="str">
        <f>IF(J207="","",MROUND(I207*36/(37-J207),'Start-Options'!B38))</f>
        <v/>
      </c>
      <c r="L207" s="156"/>
      <c r="M207" s="122" t="str">
        <f>IF(L207="","",MROUND(36*I207/(37-L207),'Start-Options'!B38))</f>
        <v/>
      </c>
      <c r="N207" s="105"/>
      <c r="O207" s="123"/>
      <c r="P207" s="123">
        <f>IF(Z205="","",MROUND(Z205*0.95,'Start-Options'!B38))</f>
        <v>75</v>
      </c>
      <c r="Q207" s="120" t="str">
        <f>IF(M207="","",IF(M207&lt;Z205,ROUND((37-36*P207/(Z205+'Start-Options'!F32)),0),ROUND((37-36*P207/(M207+'Start-Options'!F32)),0)))</f>
        <v/>
      </c>
      <c r="R207" s="125" t="str">
        <f>IF(Q207="","",MROUND(P207*36/(37-Q207),'Start-Options'!B38))</f>
        <v/>
      </c>
      <c r="S207" s="152"/>
      <c r="T207" s="127" t="str">
        <f>IF(S207="","",MROUND(36*P207/(37-S207),'Start-Options'!B38))</f>
        <v/>
      </c>
      <c r="U207" s="105"/>
      <c r="V207" s="123"/>
      <c r="W207" s="128">
        <f>IF(Z205="","",MROUND(Z205*0.6,'Start-Options'!B38))</f>
        <v>47.5</v>
      </c>
      <c r="X207" s="27"/>
      <c r="Y207" s="118" t="str">
        <f>'Start-Options'!B6</f>
        <v>Bench</v>
      </c>
      <c r="Z207" s="118">
        <f>IF(Z191="","",IF(ISTEXT(AB191),Z191-AC191,Z191+'Start-Options'!C34))</f>
        <v>100</v>
      </c>
      <c r="AA207" s="27"/>
      <c r="AB207" s="27"/>
      <c r="AC207" s="27"/>
    </row>
    <row r="208" ht="12.75" customHeight="1">
      <c r="A208" s="102"/>
      <c r="B208" s="103">
        <f>IF(Z206="","",MROUND(Z206*0.65,'Start-Options'!B38))</f>
        <v>110</v>
      </c>
      <c r="C208" s="103"/>
      <c r="D208" s="103"/>
      <c r="E208" s="103"/>
      <c r="F208" s="104"/>
      <c r="G208" s="105"/>
      <c r="H208" s="106"/>
      <c r="I208" s="107">
        <f>IF(Z206="","",MROUND(Z206*0.7,'Start-Options'!B38))</f>
        <v>120</v>
      </c>
      <c r="J208" s="103"/>
      <c r="K208" s="103"/>
      <c r="L208" s="103"/>
      <c r="M208" s="104"/>
      <c r="N208" s="105"/>
      <c r="O208" s="106"/>
      <c r="P208" s="106">
        <f>IF(Z206="","",MROUND(Z206*0.75,'Start-Options'!B38))</f>
        <v>127.5</v>
      </c>
      <c r="Q208" s="108"/>
      <c r="R208" s="108"/>
      <c r="S208" s="108"/>
      <c r="T208" s="109"/>
      <c r="U208" s="105"/>
      <c r="V208" s="106"/>
      <c r="W208" s="110">
        <f>IF(Z206="","",MROUND(Z206*0.4,'Start-Options'!B38))</f>
        <v>67.5</v>
      </c>
      <c r="X208" s="27"/>
      <c r="Y208" s="129" t="str">
        <f>'Start-Options'!B7</f>
        <v>Squat</v>
      </c>
      <c r="Z208" s="129">
        <f>IF(Z192="","",IF(ISTEXT(AB192),Z192-AC192,Z192+'Start-Options'!C35))</f>
        <v>140</v>
      </c>
      <c r="AA208" s="27"/>
      <c r="AB208" s="27"/>
      <c r="AC208" s="27"/>
    </row>
    <row r="209" ht="12.75" customHeight="1">
      <c r="A209" s="111" t="str">
        <f>'Start-Options'!B5</f>
        <v>Deadlift</v>
      </c>
      <c r="B209" s="112">
        <f>IF(Z206="","",MROUND(Z206*0.75,'Start-Options'!B38))</f>
        <v>127.5</v>
      </c>
      <c r="C209" s="112"/>
      <c r="D209" s="112"/>
      <c r="E209" s="112"/>
      <c r="F209" s="113"/>
      <c r="G209" s="105"/>
      <c r="H209" s="114" t="str">
        <f>'Start-Options'!B5</f>
        <v>Deadlift</v>
      </c>
      <c r="I209" s="115">
        <f>IF(Z206="","",MROUND(Z206*0.8,'Start-Options'!B38))</f>
        <v>135</v>
      </c>
      <c r="J209" s="112"/>
      <c r="K209" s="112"/>
      <c r="L209" s="112"/>
      <c r="M209" s="113"/>
      <c r="N209" s="105"/>
      <c r="O209" s="114" t="str">
        <f>'Start-Options'!B5</f>
        <v>Deadlift</v>
      </c>
      <c r="P209" s="114">
        <f>IF(Z206="","",MROUND(Z206*0.85,'Start-Options'!B38))</f>
        <v>145</v>
      </c>
      <c r="Q209" s="105"/>
      <c r="R209" s="105"/>
      <c r="S209" s="105"/>
      <c r="T209" s="116"/>
      <c r="U209" s="105"/>
      <c r="V209" s="114" t="str">
        <f>'Start-Options'!B5</f>
        <v>Deadlift</v>
      </c>
      <c r="W209" s="117">
        <f>IF(Z206="","",MROUND(Z206*0.5,'Start-Options'!B38))</f>
        <v>85</v>
      </c>
      <c r="X209" s="27"/>
      <c r="Y209" s="27"/>
      <c r="Z209" s="27"/>
      <c r="AA209" s="27"/>
      <c r="AB209" s="27"/>
      <c r="AC209" s="27"/>
    </row>
    <row r="210" ht="12.75" customHeight="1">
      <c r="A210" s="130"/>
      <c r="B210" s="120">
        <f>IF(Z206="","",MROUND(Z206*0.85,'Start-Options'!B38))</f>
        <v>145</v>
      </c>
      <c r="C210" s="120">
        <f>IF(Z206="","",ROUND((37-36*B210/(Z206+'Start-Options'!F33)),0))</f>
        <v>7</v>
      </c>
      <c r="D210" s="120">
        <f>IF(Z206="","",MROUND(B210*36/(37-C210),'Start-Options'!B38))</f>
        <v>175</v>
      </c>
      <c r="E210" s="156"/>
      <c r="F210" s="122" t="str">
        <f>IF(E210="","",MROUND(36*B210/(37-E210),'Start-Options'!B38))</f>
        <v/>
      </c>
      <c r="G210" s="105"/>
      <c r="H210" s="123"/>
      <c r="I210" s="124">
        <f>IF(Z206="","",MROUND(Z206*0.9,'Start-Options'!B38))</f>
        <v>152.5</v>
      </c>
      <c r="J210" s="120" t="str">
        <f>IF(F210="","",IF(F210&lt;Z206,ROUND((37-36*I210/(Z206+'Start-Options'!F33)),0),ROUND((37-36*I210/(F210+'Start-Options'!F33)),0)))</f>
        <v/>
      </c>
      <c r="K210" s="120" t="str">
        <f>IF(J210="","",MROUND(I210*36/(37-J210),'Start-Options'!B38))</f>
        <v/>
      </c>
      <c r="L210" s="156"/>
      <c r="M210" s="122" t="str">
        <f>IF(L210="","",MROUND(36*I210/(37-L210),'Start-Options'!B38))</f>
        <v/>
      </c>
      <c r="N210" s="105"/>
      <c r="O210" s="123"/>
      <c r="P210" s="123">
        <f>IF(Z206="","",MROUND(Z206*0.95,'Start-Options'!B38))</f>
        <v>162.5</v>
      </c>
      <c r="Q210" s="120" t="str">
        <f>IF(M210="","",IF(M210&lt;Z206,ROUND((37-36*P210/(Z206+'Start-Options'!F33)),0),ROUND((37-36*P210/(M210+'Start-Options'!F33)),0)))</f>
        <v/>
      </c>
      <c r="R210" s="125" t="str">
        <f>IF(Q210="","",MROUND(P210*36/(37-Q210),'Start-Options'!B38))</f>
        <v/>
      </c>
      <c r="S210" s="152"/>
      <c r="T210" s="127" t="str">
        <f>IF(S210="","",MROUND(36*P210/(37-S210),'Start-Options'!B38))</f>
        <v/>
      </c>
      <c r="U210" s="105"/>
      <c r="V210" s="123"/>
      <c r="W210" s="128">
        <f>IF(Z206="","",MROUND(Z206*0.6,'Start-Options'!B38))</f>
        <v>102.5</v>
      </c>
      <c r="X210" s="27"/>
      <c r="Y210" s="70" t="s">
        <v>93</v>
      </c>
      <c r="Z210" s="71"/>
      <c r="AA210" s="27"/>
      <c r="AB210" s="27"/>
      <c r="AC210" s="27"/>
    </row>
    <row r="211" ht="12.75" customHeight="1">
      <c r="A211" s="102"/>
      <c r="B211" s="103">
        <f>IF(Z207="","",MROUND(Z207*0.65,'Start-Options'!B38))</f>
        <v>65</v>
      </c>
      <c r="C211" s="103"/>
      <c r="D211" s="103"/>
      <c r="E211" s="103"/>
      <c r="F211" s="104"/>
      <c r="G211" s="105"/>
      <c r="H211" s="106"/>
      <c r="I211" s="107">
        <f>IF(Z207="","",MROUND(Z207*0.7,'Start-Options'!B38))</f>
        <v>70</v>
      </c>
      <c r="J211" s="103"/>
      <c r="K211" s="103"/>
      <c r="L211" s="103"/>
      <c r="M211" s="104"/>
      <c r="N211" s="105"/>
      <c r="O211" s="106"/>
      <c r="P211" s="106">
        <f>IF(Z207="","",MROUND(Z207*0.75,'Start-Options'!B38))</f>
        <v>75</v>
      </c>
      <c r="Q211" s="108"/>
      <c r="R211" s="108"/>
      <c r="S211" s="108"/>
      <c r="T211" s="109"/>
      <c r="U211" s="105"/>
      <c r="V211" s="106"/>
      <c r="W211" s="110">
        <f>IF(Z207="","",MROUND(Z207*0.4,'Start-Options'!B38))</f>
        <v>40</v>
      </c>
      <c r="X211" s="27"/>
      <c r="Y211" s="25" t="s">
        <v>94</v>
      </c>
      <c r="Z211" s="162"/>
      <c r="AA211" s="27"/>
      <c r="AB211" s="27"/>
      <c r="AC211" s="27"/>
    </row>
    <row r="212" ht="12.75" customHeight="1">
      <c r="A212" s="111" t="str">
        <f>'Start-Options'!B6</f>
        <v>Bench</v>
      </c>
      <c r="B212" s="112">
        <f>IF(Z207="","",MROUND(Z207*0.75,'Start-Options'!B38))</f>
        <v>75</v>
      </c>
      <c r="C212" s="112"/>
      <c r="D212" s="112"/>
      <c r="E212" s="112"/>
      <c r="F212" s="113"/>
      <c r="G212" s="105"/>
      <c r="H212" s="114" t="str">
        <f>'Start-Options'!B6</f>
        <v>Bench</v>
      </c>
      <c r="I212" s="115">
        <f>IF(Z207="","",MROUND(Z207*0.8,'Start-Options'!B38))</f>
        <v>80</v>
      </c>
      <c r="J212" s="112"/>
      <c r="K212" s="112"/>
      <c r="L212" s="112"/>
      <c r="M212" s="113"/>
      <c r="N212" s="105"/>
      <c r="O212" s="114" t="str">
        <f>'Start-Options'!B6</f>
        <v>Bench</v>
      </c>
      <c r="P212" s="114">
        <f>IF(Z207="","",MROUND(Z207*0.85,'Start-Options'!B38))</f>
        <v>85</v>
      </c>
      <c r="Q212" s="105"/>
      <c r="R212" s="105"/>
      <c r="S212" s="105"/>
      <c r="T212" s="116"/>
      <c r="U212" s="105"/>
      <c r="V212" s="114" t="str">
        <f>'Start-Options'!B6</f>
        <v>Bench</v>
      </c>
      <c r="W212" s="117">
        <f>IF(Z207="","",MROUND(Z207*0.5,'Start-Options'!B38))</f>
        <v>50</v>
      </c>
      <c r="X212" s="27"/>
      <c r="Y212" s="77" t="s">
        <v>95</v>
      </c>
      <c r="Z212" s="78" t="str">
        <f>IF(Z211="","",MROUND(Z211*0.4,'Start-Options'!$B$38))</f>
        <v/>
      </c>
      <c r="AA212" s="27"/>
      <c r="AB212" s="27"/>
      <c r="AC212" s="27"/>
    </row>
    <row r="213" ht="12.75" customHeight="1">
      <c r="A213" s="119"/>
      <c r="B213" s="120">
        <f>IF(Z207="","",MROUND(Z207*0.85,'Start-Options'!B38))</f>
        <v>85</v>
      </c>
      <c r="C213" s="120">
        <f>IF(Z207="","",ROUND((37-36*B213/(Z207+'Start-Options'!F34)),0))</f>
        <v>7</v>
      </c>
      <c r="D213" s="120">
        <f>IF(Z207="","",MROUND(B213*36/(37-C213),'Start-Options'!B38))</f>
        <v>102.5</v>
      </c>
      <c r="E213" s="156"/>
      <c r="F213" s="122" t="str">
        <f>IF(E213="","",MROUND(36*B213/(37-E213),'Start-Options'!B38))</f>
        <v/>
      </c>
      <c r="G213" s="105"/>
      <c r="H213" s="123"/>
      <c r="I213" s="124">
        <f>IF(Z207="","",MROUND(Z207*0.9,'Start-Options'!B38))</f>
        <v>90</v>
      </c>
      <c r="J213" s="120" t="str">
        <f>IF(F213="","",IF(F213&lt;Z207,ROUND((37-36*I213/(Z207+'Start-Options'!F34)),0),ROUND((37-36*I213/(F213+'Start-Options'!F34)),0)))</f>
        <v/>
      </c>
      <c r="K213" s="120" t="str">
        <f>IF(J213="","",MROUND(I213*36/(37-J213),'Start-Options'!B38))</f>
        <v/>
      </c>
      <c r="L213" s="156"/>
      <c r="M213" s="122" t="str">
        <f>IF(L213="","",MROUND(36*I213/(37-L213),'Start-Options'!B38))</f>
        <v/>
      </c>
      <c r="N213" s="105"/>
      <c r="O213" s="123"/>
      <c r="P213" s="123">
        <f>IF(Z207="","",MROUND(Z207*0.95,'Start-Options'!B38))</f>
        <v>95</v>
      </c>
      <c r="Q213" s="120" t="str">
        <f>IF(M213="","",IF(M213&lt;Z207,ROUND((37-36*P213/(Z207+'Start-Options'!F34)),0),ROUND((37-36*P213/(M213+'Start-Options'!F34)),0)))</f>
        <v/>
      </c>
      <c r="R213" s="125" t="str">
        <f>IF(Q213="","",MROUND(P213*36/(37-Q213),'Start-Options'!B38))</f>
        <v/>
      </c>
      <c r="S213" s="152"/>
      <c r="T213" s="127" t="str">
        <f>IF(S213="","",MROUND(36*P213/(37-S213),'Start-Options'!B38))</f>
        <v/>
      </c>
      <c r="U213" s="105"/>
      <c r="V213" s="123"/>
      <c r="W213" s="128">
        <f>IF(Z207="","",MROUND(Z207*0.6,'Start-Options'!B38))</f>
        <v>60</v>
      </c>
      <c r="X213" s="27"/>
      <c r="Y213" s="77" t="s">
        <v>96</v>
      </c>
      <c r="Z213" s="78" t="str">
        <f>IF(Z211="","",MROUND(Z211*0.5,'Start-Options'!$B$38))</f>
        <v/>
      </c>
      <c r="AA213" s="27"/>
      <c r="AB213" s="27"/>
      <c r="AC213" s="27"/>
    </row>
    <row r="214" ht="12.75" customHeight="1">
      <c r="A214" s="111"/>
      <c r="B214" s="103">
        <f>IF(Z208="","",MROUND(Z208*0.65,'Start-Options'!B38))</f>
        <v>90</v>
      </c>
      <c r="C214" s="103"/>
      <c r="D214" s="103"/>
      <c r="E214" s="103"/>
      <c r="F214" s="104"/>
      <c r="G214" s="105"/>
      <c r="H214" s="106"/>
      <c r="I214" s="107">
        <f>IF(Z208="","",MROUND(Z208*0.7,'Start-Options'!B38))</f>
        <v>97.5</v>
      </c>
      <c r="J214" s="103"/>
      <c r="K214" s="103"/>
      <c r="L214" s="103"/>
      <c r="M214" s="104"/>
      <c r="N214" s="105"/>
      <c r="O214" s="106"/>
      <c r="P214" s="106">
        <f>IF(Z208="","",MROUND(Z208*0.75,'Start-Options'!B38))</f>
        <v>105</v>
      </c>
      <c r="Q214" s="108"/>
      <c r="R214" s="108"/>
      <c r="S214" s="108"/>
      <c r="T214" s="109"/>
      <c r="U214" s="105"/>
      <c r="V214" s="106"/>
      <c r="W214" s="110">
        <f>IF(Z208="","",MROUND(Z208*0.4,'Start-Options'!B38))</f>
        <v>55</v>
      </c>
      <c r="X214" s="27"/>
      <c r="Y214" s="82" t="s">
        <v>97</v>
      </c>
      <c r="Z214" s="83" t="str">
        <f>IF(Z211="","",MROUND(Z211*0.6,'Start-Options'!$B$38))</f>
        <v/>
      </c>
      <c r="AA214" s="27"/>
      <c r="AB214" s="27"/>
      <c r="AC214" s="27"/>
    </row>
    <row r="215" ht="12.75" customHeight="1">
      <c r="A215" s="111" t="str">
        <f>'Start-Options'!B7</f>
        <v>Squat</v>
      </c>
      <c r="B215" s="112">
        <f>IF(Z208="","",MROUND(Z208*0.75,'Start-Options'!B38))</f>
        <v>105</v>
      </c>
      <c r="C215" s="112"/>
      <c r="D215" s="112"/>
      <c r="E215" s="112"/>
      <c r="F215" s="113"/>
      <c r="G215" s="105"/>
      <c r="H215" s="114" t="str">
        <f>'Start-Options'!B7</f>
        <v>Squat</v>
      </c>
      <c r="I215" s="115">
        <f>IF(Z208="","",MROUND(Z208*0.8,'Start-Options'!B38))</f>
        <v>112.5</v>
      </c>
      <c r="J215" s="112"/>
      <c r="K215" s="112"/>
      <c r="L215" s="112"/>
      <c r="M215" s="113"/>
      <c r="N215" s="105"/>
      <c r="O215" s="114" t="str">
        <f>'Start-Options'!B7</f>
        <v>Squat</v>
      </c>
      <c r="P215" s="114">
        <f>IF(Z208="","",MROUND(Z208*0.85,'Start-Options'!B38))</f>
        <v>120</v>
      </c>
      <c r="Q215" s="105"/>
      <c r="R215" s="105"/>
      <c r="S215" s="105"/>
      <c r="T215" s="116"/>
      <c r="U215" s="105"/>
      <c r="V215" s="114" t="str">
        <f>'Start-Options'!B7</f>
        <v>Squat</v>
      </c>
      <c r="W215" s="117">
        <f>IF(Z208="","",MROUND(Z208*0.5,'Start-Options'!B38))</f>
        <v>70</v>
      </c>
      <c r="X215" s="27"/>
      <c r="Y215" s="27"/>
      <c r="Z215" s="27"/>
      <c r="AA215" s="27"/>
      <c r="AB215" s="27"/>
      <c r="AC215" s="27"/>
    </row>
    <row r="216" ht="13.5" customHeight="1">
      <c r="A216" s="131"/>
      <c r="B216" s="132">
        <f>IF(Z208="","",MROUND(Z208*0.85,'Start-Options'!B38))</f>
        <v>120</v>
      </c>
      <c r="C216" s="132">
        <f>IF(Z208="","",ROUND((37-36*B216/(Z208+'Start-Options'!F35)),0))</f>
        <v>7</v>
      </c>
      <c r="D216" s="132">
        <f>IF(Z208="","",MROUND(B216*36/(37-C216),'Start-Options'!B38))</f>
        <v>145</v>
      </c>
      <c r="E216" s="157"/>
      <c r="F216" s="134" t="str">
        <f>IF(E216="","",MROUND(36*B216/(37-E216),'Start-Options'!B38))</f>
        <v/>
      </c>
      <c r="G216" s="135"/>
      <c r="H216" s="136"/>
      <c r="I216" s="137">
        <f>IF(Z208="","",MROUND(Z208*0.9,'Start-Options'!B38))</f>
        <v>125</v>
      </c>
      <c r="J216" s="132" t="str">
        <f>IF(F216="","",IF(F216&lt;Z208,ROUND((37-36*I216/(Z208+'Start-Options'!F35)),0),ROUND((37-36*I216/(F216+'Start-Options'!F35)),0)))</f>
        <v/>
      </c>
      <c r="K216" s="132" t="str">
        <f>IF(J216="","",MROUND(I216*36/(37-J216),'Start-Options'!B38))</f>
        <v/>
      </c>
      <c r="L216" s="157"/>
      <c r="M216" s="134" t="str">
        <f>IF(L216="","",MROUND(36*I216/(37-L216),'Start-Options'!B38))</f>
        <v/>
      </c>
      <c r="N216" s="135"/>
      <c r="O216" s="136"/>
      <c r="P216" s="136">
        <f>IF(Z208="","",MROUND(Z208*0.95,'Start-Options'!B38))</f>
        <v>132.5</v>
      </c>
      <c r="Q216" s="132" t="str">
        <f>IF(M216="","",IF(M216&lt;Z208,ROUND((37-36*P216/(Z208+'Start-Options'!F35)),0),ROUND((37-36*P216/(M216+'Start-Options'!F35)),0)))</f>
        <v/>
      </c>
      <c r="R216" s="135" t="str">
        <f>IF(Q216="","",MROUND(P216*36/(37-Q216),'Start-Options'!B38))</f>
        <v/>
      </c>
      <c r="S216" s="161"/>
      <c r="T216" s="139" t="str">
        <f>IF(S216="","",MROUND(36*P216/(37-S216),'Start-Options'!B38))</f>
        <v/>
      </c>
      <c r="U216" s="135"/>
      <c r="V216" s="136"/>
      <c r="W216" s="140">
        <f>IF(Z208="","",MROUND(Z208*0.6,'Start-Options'!B38))</f>
        <v>85</v>
      </c>
      <c r="X216" s="27"/>
      <c r="Y216" s="27"/>
      <c r="Z216" s="27"/>
      <c r="AA216" s="27"/>
      <c r="AB216" s="27"/>
      <c r="AC216" s="2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mergeCells count="51">
    <mergeCell ref="Y1:Z1"/>
    <mergeCell ref="AA1:AB1"/>
    <mergeCell ref="A3:C3"/>
    <mergeCell ref="D3:F3"/>
    <mergeCell ref="V3:W3"/>
    <mergeCell ref="V4:W4"/>
    <mergeCell ref="V5:W5"/>
    <mergeCell ref="P3:R3"/>
    <mergeCell ref="L10:N10"/>
    <mergeCell ref="B11:D11"/>
    <mergeCell ref="V11:W11"/>
    <mergeCell ref="Y12:Z12"/>
    <mergeCell ref="Y18:Z18"/>
    <mergeCell ref="L26:N26"/>
    <mergeCell ref="V27:W27"/>
    <mergeCell ref="Y28:Z28"/>
    <mergeCell ref="Y34:Z34"/>
    <mergeCell ref="L42:N42"/>
    <mergeCell ref="V43:W43"/>
    <mergeCell ref="Y44:Z44"/>
    <mergeCell ref="Y50:Z50"/>
    <mergeCell ref="V59:W59"/>
    <mergeCell ref="Y60:Z60"/>
    <mergeCell ref="Y66:Z66"/>
    <mergeCell ref="V75:W75"/>
    <mergeCell ref="Y76:Z76"/>
    <mergeCell ref="Y82:Z82"/>
    <mergeCell ref="V91:W91"/>
    <mergeCell ref="V123:W123"/>
    <mergeCell ref="V139:W139"/>
    <mergeCell ref="V155:W155"/>
    <mergeCell ref="V171:W171"/>
    <mergeCell ref="V187:W187"/>
    <mergeCell ref="V203:W203"/>
    <mergeCell ref="Y92:Z92"/>
    <mergeCell ref="Y98:Z98"/>
    <mergeCell ref="V107:W107"/>
    <mergeCell ref="Y108:Z108"/>
    <mergeCell ref="Y114:Z114"/>
    <mergeCell ref="Y124:Z124"/>
    <mergeCell ref="Y130:Z130"/>
    <mergeCell ref="Y194:Z194"/>
    <mergeCell ref="Y204:Z204"/>
    <mergeCell ref="Y210:Z210"/>
    <mergeCell ref="Y140:Z140"/>
    <mergeCell ref="Y146:Z146"/>
    <mergeCell ref="Y156:Z156"/>
    <mergeCell ref="Y162:Z162"/>
    <mergeCell ref="Y172:Z172"/>
    <mergeCell ref="Y178:Z178"/>
    <mergeCell ref="Y188:Z18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7.13"/>
    <col customWidth="1" min="2" max="2" width="10.75"/>
    <col customWidth="1" min="3" max="3" width="6.0"/>
    <col customWidth="1" min="4" max="4" width="4.13"/>
    <col customWidth="1" min="5" max="5" width="5.25"/>
    <col customWidth="1" min="6" max="6" width="18.25"/>
    <col customWidth="1" min="7" max="8" width="10.88"/>
    <col customWidth="1" min="9" max="9" width="1.25"/>
    <col customWidth="1" min="10" max="10" width="8.0"/>
    <col customWidth="1" min="11" max="11" width="10.75"/>
    <col customWidth="1" min="12" max="12" width="6.13"/>
    <col customWidth="1" min="13" max="14" width="5.25"/>
    <col customWidth="1" min="15" max="15" width="15.13"/>
    <col customWidth="1" min="16" max="17" width="10.88"/>
    <col customWidth="1" min="18" max="18" width="1.25"/>
    <col customWidth="1" min="19" max="19" width="9.13"/>
    <col customWidth="1" min="20" max="20" width="10.88"/>
    <col customWidth="1" min="21" max="24" width="5.0"/>
    <col customWidth="1" min="25" max="29" width="4.13"/>
  </cols>
  <sheetData>
    <row r="1" ht="26.25" customHeight="1">
      <c r="A1" s="67"/>
      <c r="B1" s="164"/>
      <c r="C1" s="164"/>
      <c r="D1" s="164"/>
      <c r="E1" s="164"/>
      <c r="F1" s="67"/>
      <c r="G1" s="67"/>
      <c r="H1" s="67"/>
      <c r="I1" s="68" t="s">
        <v>172</v>
      </c>
      <c r="J1" s="67"/>
      <c r="K1" s="67"/>
      <c r="L1" s="67"/>
      <c r="M1" s="67"/>
      <c r="N1" s="67"/>
      <c r="O1" s="67"/>
      <c r="P1" s="67" t="s">
        <v>1</v>
      </c>
      <c r="Q1" s="67"/>
      <c r="R1" s="27"/>
      <c r="S1" s="27"/>
      <c r="T1" s="27"/>
      <c r="U1" s="27"/>
      <c r="V1" s="27"/>
      <c r="W1" s="27"/>
      <c r="X1" s="27"/>
      <c r="Y1" s="27"/>
      <c r="Z1" s="27"/>
      <c r="AA1" s="27"/>
    </row>
    <row r="2" ht="9.0" customHeight="1">
      <c r="A2" s="27"/>
      <c r="B2" s="27"/>
      <c r="C2" s="27"/>
      <c r="D2" s="27"/>
      <c r="E2" s="27"/>
      <c r="F2" s="27"/>
      <c r="G2" s="27"/>
      <c r="H2" s="27"/>
      <c r="I2" s="27"/>
      <c r="J2" s="27"/>
      <c r="K2" s="27"/>
      <c r="L2" s="27"/>
      <c r="M2" s="27"/>
      <c r="N2" s="27"/>
      <c r="O2" s="27"/>
      <c r="P2" s="27"/>
      <c r="Q2" s="27"/>
      <c r="R2" s="27"/>
      <c r="S2" s="27"/>
      <c r="T2" s="27"/>
      <c r="U2" s="27"/>
      <c r="V2" s="27"/>
      <c r="W2" s="27"/>
      <c r="X2" s="27"/>
      <c r="Y2" s="27"/>
      <c r="Z2" s="27"/>
      <c r="AA2" s="27"/>
    </row>
    <row r="3">
      <c r="A3" s="27"/>
      <c r="B3" s="27"/>
      <c r="C3" s="27"/>
      <c r="D3" s="27"/>
      <c r="E3" s="27"/>
      <c r="F3" s="27"/>
      <c r="G3" s="27"/>
      <c r="H3" s="27"/>
      <c r="I3" s="27"/>
      <c r="J3" s="27"/>
      <c r="K3" s="165" t="s">
        <v>173</v>
      </c>
      <c r="L3" s="166" t="s">
        <v>174</v>
      </c>
      <c r="M3" s="5"/>
      <c r="N3" s="6"/>
      <c r="O3" s="165" t="s">
        <v>175</v>
      </c>
      <c r="P3" s="27"/>
      <c r="Q3" s="27"/>
      <c r="R3" s="27"/>
      <c r="S3" s="167"/>
      <c r="T3" s="167"/>
      <c r="U3" s="27"/>
      <c r="V3" s="27"/>
      <c r="W3" s="27"/>
      <c r="X3" s="27"/>
      <c r="Y3" s="27"/>
      <c r="Z3" s="27"/>
      <c r="AA3" s="27"/>
    </row>
    <row r="4" ht="9.0"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row>
    <row r="5" ht="21.0" customHeight="1">
      <c r="A5" s="168"/>
      <c r="B5" s="27"/>
      <c r="C5" s="27"/>
      <c r="D5" s="27"/>
      <c r="E5" s="27"/>
      <c r="F5" s="27"/>
      <c r="G5" s="27"/>
      <c r="H5" s="27"/>
      <c r="I5" s="169" t="s">
        <v>83</v>
      </c>
      <c r="J5" s="27"/>
      <c r="K5" s="27"/>
      <c r="L5" s="27"/>
      <c r="M5" s="27"/>
      <c r="N5" s="27"/>
      <c r="O5" s="27"/>
      <c r="P5" s="27"/>
      <c r="Q5" s="27"/>
      <c r="R5" s="27"/>
      <c r="S5" s="27"/>
      <c r="T5" s="27"/>
      <c r="U5" s="27"/>
      <c r="V5" s="27"/>
      <c r="W5" s="27"/>
      <c r="X5" s="27"/>
      <c r="Y5" s="27"/>
      <c r="Z5" s="27"/>
      <c r="AA5" s="27"/>
    </row>
    <row r="6" ht="12.75" customHeight="1">
      <c r="A6" s="170" t="s">
        <v>176</v>
      </c>
      <c r="B6" s="171" t="s">
        <v>177</v>
      </c>
      <c r="C6" s="172"/>
      <c r="D6" s="172"/>
      <c r="E6" s="173"/>
      <c r="F6" s="171" t="s">
        <v>178</v>
      </c>
      <c r="G6" s="172"/>
      <c r="H6" s="173"/>
      <c r="I6" s="91"/>
      <c r="J6" s="174" t="s">
        <v>179</v>
      </c>
      <c r="K6" s="171" t="s">
        <v>177</v>
      </c>
      <c r="L6" s="172"/>
      <c r="M6" s="172"/>
      <c r="N6" s="173"/>
      <c r="O6" s="171" t="s">
        <v>178</v>
      </c>
      <c r="P6" s="172"/>
      <c r="Q6" s="94"/>
      <c r="R6" s="27"/>
      <c r="S6" s="70" t="s">
        <v>180</v>
      </c>
      <c r="T6" s="175"/>
      <c r="U6" s="71"/>
      <c r="V6" s="27"/>
      <c r="W6" s="27"/>
      <c r="X6" s="27"/>
      <c r="Y6" s="27"/>
      <c r="Z6" s="27"/>
      <c r="AA6" s="27"/>
    </row>
    <row r="7" ht="13.5" customHeight="1">
      <c r="A7" s="176"/>
      <c r="B7" s="177" t="s">
        <v>181</v>
      </c>
      <c r="C7" s="178" t="s">
        <v>26</v>
      </c>
      <c r="D7" s="178"/>
      <c r="E7" s="178" t="s">
        <v>27</v>
      </c>
      <c r="F7" s="178" t="s">
        <v>182</v>
      </c>
      <c r="G7" s="178" t="s">
        <v>183</v>
      </c>
      <c r="H7" s="179" t="s">
        <v>26</v>
      </c>
      <c r="I7" s="27"/>
      <c r="J7" s="180"/>
      <c r="K7" s="177" t="s">
        <v>181</v>
      </c>
      <c r="L7" s="178" t="s">
        <v>26</v>
      </c>
      <c r="M7" s="178"/>
      <c r="N7" s="178" t="s">
        <v>27</v>
      </c>
      <c r="O7" s="178" t="s">
        <v>182</v>
      </c>
      <c r="P7" s="179" t="s">
        <v>183</v>
      </c>
      <c r="Q7" s="181" t="s">
        <v>26</v>
      </c>
      <c r="R7" s="27"/>
      <c r="S7" s="182" t="s">
        <v>184</v>
      </c>
      <c r="T7" s="41"/>
      <c r="U7" s="42"/>
      <c r="V7" s="27"/>
      <c r="W7" s="27"/>
      <c r="X7" s="27"/>
      <c r="Y7" s="27"/>
      <c r="Z7" s="27"/>
      <c r="AA7" s="27"/>
    </row>
    <row r="8" ht="12.75" customHeight="1">
      <c r="A8" s="183" t="s">
        <v>185</v>
      </c>
      <c r="B8" s="184" t="str">
        <f>IF(S7="Accessory Only","",IF(S7="Boring But Big",'Start-Options'!$B$4,T38))</f>
        <v>Military</v>
      </c>
      <c r="C8" s="27">
        <f>IF(S7="Accessory Only","",IF(S7="Boring But Big",IF(U11="","",MROUND(T11*U11,'Start-Options'!$B$38)),IF(T34=531,MROUND(U38*0.5,'Start-Options'!$B$38),MROUND(U38*0.6,'Start-Options'!$B$38))))</f>
        <v>30</v>
      </c>
      <c r="D8" s="27">
        <f>T17</f>
        <v>25</v>
      </c>
      <c r="E8" s="78">
        <f>IF(S7="Accessory Only","",IF(S7="Boring But Big",10,IF(T34=531,10,8)))</f>
        <v>10</v>
      </c>
      <c r="F8" s="185" t="s">
        <v>186</v>
      </c>
      <c r="G8" s="185">
        <v>10.0</v>
      </c>
      <c r="H8" s="186"/>
      <c r="I8" s="77"/>
      <c r="J8" s="183" t="s">
        <v>185</v>
      </c>
      <c r="K8" s="184" t="str">
        <f>IF(S7="Accessory Only","",IF(S7="Boring But Big",'Start-Options'!$B$4,T38))</f>
        <v>Military</v>
      </c>
      <c r="L8" s="27">
        <f>IF(S7="Accessory Only","",IF(S7="Boring But Big",IF(V11="","",MROUND(T11*V11,'Start-Options'!$B$38)),IF(T34=531,MROUND(U38*0.6,'Start-Options'!$B$38),MROUND(U38*0.5,'Start-Options'!$B$38))))</f>
        <v>30</v>
      </c>
      <c r="M8" s="27"/>
      <c r="N8" s="78">
        <f>IF(S7="Accessory Only","",IF(S7="Boring But Big",10,IF(T34=531,8,10)))</f>
        <v>10</v>
      </c>
      <c r="O8" s="185" t="s">
        <v>186</v>
      </c>
      <c r="P8" s="185">
        <v>10.0</v>
      </c>
      <c r="Q8" s="187">
        <v>40.0</v>
      </c>
      <c r="R8" s="27"/>
      <c r="S8" s="27"/>
      <c r="T8" s="27"/>
      <c r="U8" s="27"/>
      <c r="V8" s="27"/>
      <c r="W8" s="27"/>
      <c r="X8" s="27"/>
      <c r="Y8" s="27"/>
      <c r="Z8" s="27"/>
      <c r="AA8" s="27"/>
    </row>
    <row r="9" ht="12.75" customHeight="1">
      <c r="A9" s="188"/>
      <c r="B9" s="189"/>
      <c r="C9" s="190">
        <f>IF(S7="Accessory Only","",IF(S7="Boring But Big",IF(U11="","",MROUND(T11*U11,'Start-Options'!$B$38)),IF(T34=531,MROUND(U38*0.6,'Start-Options'!$B$38),MROUND(U38*0.7,'Start-Options'!$B$38))))</f>
        <v>30</v>
      </c>
      <c r="D9" s="27">
        <f>U17</f>
        <v>30</v>
      </c>
      <c r="E9" s="78">
        <f>IF(S7="Accessory Only","",IF(S7="Boring But Big",10,IF(T34=531,10,8)))</f>
        <v>10</v>
      </c>
      <c r="F9" s="185" t="s">
        <v>186</v>
      </c>
      <c r="G9" s="185">
        <v>10.0</v>
      </c>
      <c r="H9" s="191"/>
      <c r="I9" s="27"/>
      <c r="J9" s="188"/>
      <c r="K9" s="189"/>
      <c r="L9" s="190">
        <f>IF(S7="Accessory Only","",IF(S7="Boring But Big",IF(V11="","",MROUND(T11*V11,'Start-Options'!$B$38)),IF(T34=531,MROUND(U38*0.7,'Start-Options'!$B$38),MROUND(U38*0.6,'Start-Options'!$B$38))))</f>
        <v>30</v>
      </c>
      <c r="M9" s="27"/>
      <c r="N9" s="78">
        <f>IF(S7="Accessory Only","",IF(S7="Boring But Big",10,IF(T34=531,8,10)))</f>
        <v>10</v>
      </c>
      <c r="O9" s="185" t="s">
        <v>186</v>
      </c>
      <c r="P9" s="185">
        <v>10.0</v>
      </c>
      <c r="Q9" s="187">
        <v>40.0</v>
      </c>
      <c r="R9" s="27"/>
      <c r="S9" s="70" t="s">
        <v>184</v>
      </c>
      <c r="T9" s="175"/>
      <c r="U9" s="175"/>
      <c r="V9" s="175"/>
      <c r="W9" s="175"/>
      <c r="X9" s="71"/>
    </row>
    <row r="10" ht="12.75" customHeight="1">
      <c r="A10" s="188"/>
      <c r="B10" s="189"/>
      <c r="C10" s="190">
        <f>IF(S7="Accessory Only","",IF(S7="Boring But Big",IF(U11="","",MROUND(T11*U11,'Start-Options'!$B$38)),IF(T34=531,MROUND(U38*0.7,'Start-Options'!$B$38),MROUND(U38*0.8,'Start-Options'!$B$38))))</f>
        <v>30</v>
      </c>
      <c r="D10" s="27">
        <f>V17</f>
        <v>35</v>
      </c>
      <c r="E10" s="78">
        <f>IF(S7="Accessory Only","",IF(S7="Boring But Big",10,IF(T34=531,10,6)))</f>
        <v>10</v>
      </c>
      <c r="F10" s="185" t="s">
        <v>186</v>
      </c>
      <c r="G10" s="185">
        <v>10.0</v>
      </c>
      <c r="H10" s="191"/>
      <c r="I10" s="27"/>
      <c r="J10" s="188"/>
      <c r="K10" s="189"/>
      <c r="L10" s="190">
        <f>IF(S7="Accessory Only","",IF(S7="Boring But Big",IF(V11="","",MROUND(T11*V11,'Start-Options'!$B$38)),IF(T34=531,MROUND(U38*0.8,'Start-Options'!$B$38),MROUND(U38*0.7,'Start-Options'!$B$38))))</f>
        <v>30</v>
      </c>
      <c r="M10" s="27"/>
      <c r="N10" s="78">
        <f>IF(S7="Accessory Only","",IF(S7="Boring But Big",10,IF(T34=531,6,10)))</f>
        <v>10</v>
      </c>
      <c r="O10" s="185" t="s">
        <v>186</v>
      </c>
      <c r="P10" s="185">
        <v>10.0</v>
      </c>
      <c r="Q10" s="187">
        <v>40.0</v>
      </c>
      <c r="R10" s="27"/>
      <c r="S10" s="25" t="s">
        <v>187</v>
      </c>
      <c r="T10" s="25" t="s">
        <v>28</v>
      </c>
      <c r="U10" s="25" t="s">
        <v>188</v>
      </c>
      <c r="V10" s="25" t="s">
        <v>189</v>
      </c>
      <c r="W10" s="192" t="s">
        <v>190</v>
      </c>
      <c r="X10" s="192" t="s">
        <v>191</v>
      </c>
    </row>
    <row r="11" ht="12.75" customHeight="1">
      <c r="A11" s="188"/>
      <c r="B11" s="189"/>
      <c r="C11" s="27">
        <f>IF(S7="Boring But Big",IF(U11="","",MROUND(T11*U11,'Start-Options'!$B$38)),"")</f>
        <v>30</v>
      </c>
      <c r="D11" s="27">
        <f>W17</f>
        <v>30</v>
      </c>
      <c r="E11" s="78">
        <f>IF(S7="Boring But Big",10,"")</f>
        <v>10</v>
      </c>
      <c r="F11" s="185" t="s">
        <v>186</v>
      </c>
      <c r="G11" s="185">
        <v>10.0</v>
      </c>
      <c r="H11" s="191"/>
      <c r="I11" s="27"/>
      <c r="J11" s="188"/>
      <c r="K11" s="189"/>
      <c r="L11" s="27">
        <f>IF(S7="Boring But Big",IF(V11="","",MROUND(T11*V11,'Start-Options'!$B$38)),"")</f>
        <v>30</v>
      </c>
      <c r="M11" s="27"/>
      <c r="N11" s="78">
        <f>IF(S7="Boring But Big",10,"")</f>
        <v>10</v>
      </c>
      <c r="O11" s="185" t="s">
        <v>186</v>
      </c>
      <c r="P11" s="185">
        <v>10.0</v>
      </c>
      <c r="Q11" s="187">
        <v>40.0</v>
      </c>
      <c r="R11" s="27"/>
      <c r="S11" s="25" t="s">
        <v>30</v>
      </c>
      <c r="T11" s="25">
        <f>'531'!Z13</f>
        <v>50</v>
      </c>
      <c r="U11" s="193">
        <v>0.6</v>
      </c>
      <c r="V11" s="193">
        <v>0.6</v>
      </c>
      <c r="W11" s="193">
        <v>0.6</v>
      </c>
      <c r="X11" s="193">
        <v>0.6</v>
      </c>
    </row>
    <row r="12" ht="12.75" customHeight="1">
      <c r="A12" s="194"/>
      <c r="B12" s="195"/>
      <c r="C12" s="27">
        <f>IF(S7="Boring But Big",IF(U11="","",MROUND(T11*U11,'Start-Options'!$B$38)),"")</f>
        <v>30</v>
      </c>
      <c r="D12" s="27">
        <f>X17</f>
        <v>25</v>
      </c>
      <c r="E12" s="78">
        <f>IF(S7="Boring But Big",10,"")</f>
        <v>10</v>
      </c>
      <c r="F12" s="185" t="s">
        <v>186</v>
      </c>
      <c r="G12" s="185">
        <v>10.0</v>
      </c>
      <c r="H12" s="155"/>
      <c r="I12" s="27"/>
      <c r="J12" s="194"/>
      <c r="K12" s="195"/>
      <c r="L12" s="27">
        <f>IF(S7="Boring But Big",IF(V11="","",MROUND(T11*V11,'Start-Options'!$B$38)),"")</f>
        <v>30</v>
      </c>
      <c r="M12" s="27"/>
      <c r="N12" s="78">
        <f>IF(S7="Boring But Big",10,"")</f>
        <v>10</v>
      </c>
      <c r="O12" s="185" t="s">
        <v>186</v>
      </c>
      <c r="P12" s="185">
        <v>10.0</v>
      </c>
      <c r="Q12" s="187">
        <v>40.0</v>
      </c>
      <c r="R12" s="27"/>
      <c r="S12" s="25" t="s">
        <v>31</v>
      </c>
      <c r="T12" s="25">
        <f>'531'!Z14</f>
        <v>110</v>
      </c>
      <c r="U12" s="193">
        <v>0.6</v>
      </c>
      <c r="V12" s="193">
        <v>0.6</v>
      </c>
      <c r="W12" s="193">
        <v>0.6</v>
      </c>
      <c r="X12" s="193">
        <v>0.6</v>
      </c>
    </row>
    <row r="13" ht="12.75" customHeight="1">
      <c r="A13" s="196" t="s">
        <v>192</v>
      </c>
      <c r="B13" s="197" t="str">
        <f>IF(S7="Accessory Only","",IF(S7="Boring But Big",'Start-Options'!$B$5,T39))</f>
        <v>Deadlift</v>
      </c>
      <c r="C13" s="198">
        <f>IF(S7="Accessory Only","",IF(S7="Boring But Big",IF(U12="","",MROUND(T12*U12,'Start-Options'!$B$38)),IF(T34=531,MROUND(U39*0.5,'Start-Options'!$B$38),MROUND(U39*0.6,'Start-Options'!$B$38))))</f>
        <v>65</v>
      </c>
      <c r="D13" s="198">
        <f>T18</f>
        <v>55</v>
      </c>
      <c r="E13" s="199">
        <f>IF(S7="Accessory Only","",IF(S7="Boring But Big",10,IF(T34=531,10,8)))</f>
        <v>10</v>
      </c>
      <c r="F13" s="185" t="s">
        <v>193</v>
      </c>
      <c r="G13" s="185">
        <v>10.0</v>
      </c>
      <c r="H13" s="200"/>
      <c r="I13" s="27"/>
      <c r="J13" s="196" t="s">
        <v>192</v>
      </c>
      <c r="K13" s="197" t="str">
        <f>IF(S7="Accessory Only","",IF(S7="Boring But Big",'Start-Options'!$B$5,T39))</f>
        <v>Deadlift</v>
      </c>
      <c r="L13" s="198">
        <f>IF(S7="Accessory Only","",IF(S7="Boring But Big",IF(V12="","",MROUND(T12*V12,'Start-Options'!$B$38)),IF(T34=531,MROUND(U39*0.6,'Start-Options'!$B$38),MROUND(U39*0.5,'Start-Options'!$B$38))))</f>
        <v>65</v>
      </c>
      <c r="M13" s="198"/>
      <c r="N13" s="199">
        <f>IF(S7="Accessory Only","",IF(S7="Boring But Big",10,IF(T34=531,8,10)))</f>
        <v>10</v>
      </c>
      <c r="O13" s="185" t="s">
        <v>193</v>
      </c>
      <c r="P13" s="185">
        <v>10.0</v>
      </c>
      <c r="Q13" s="187">
        <v>55.0</v>
      </c>
      <c r="R13" s="27"/>
      <c r="S13" s="25" t="s">
        <v>32</v>
      </c>
      <c r="T13" s="25">
        <f>'531'!Z15</f>
        <v>70</v>
      </c>
      <c r="U13" s="193">
        <v>0.6</v>
      </c>
      <c r="V13" s="193">
        <v>0.6</v>
      </c>
      <c r="W13" s="193">
        <v>0.6</v>
      </c>
      <c r="X13" s="193">
        <v>0.6</v>
      </c>
    </row>
    <row r="14" ht="12.75" customHeight="1">
      <c r="A14" s="188"/>
      <c r="B14" s="189"/>
      <c r="C14" s="190">
        <f>IF(S7="Accessory Only","",IF(S7="Boring But Big",IF(U12="","",MROUND(T12*U12,'Start-Options'!$B$38)),IF(T34=531,MROUND(U39*0.6,'Start-Options'!$B$38),MROUND(U39*0.7,'Start-Options'!$B$38))))</f>
        <v>65</v>
      </c>
      <c r="D14" s="27">
        <f>U18</f>
        <v>65</v>
      </c>
      <c r="E14" s="78">
        <f>IF(S7="Accessory Only","",IF(S7="Boring But Big",10,IF(T34=531,10,8)))</f>
        <v>10</v>
      </c>
      <c r="F14" s="185" t="s">
        <v>193</v>
      </c>
      <c r="G14" s="185">
        <v>10.0</v>
      </c>
      <c r="H14" s="191"/>
      <c r="I14" s="27"/>
      <c r="J14" s="188"/>
      <c r="K14" s="189"/>
      <c r="L14" s="190">
        <f>IF(S7="Accessory Only","",IF(S7="Boring But Big",IF(V12="","",MROUND(T12*V12,'Start-Options'!$B$38)),IF(T34=531,MROUND(U39*0.7,'Start-Options'!$B$38),MROUND(U39*0.6,'Start-Options'!$B$38))))</f>
        <v>65</v>
      </c>
      <c r="M14" s="27"/>
      <c r="N14" s="78">
        <f>IF(S7="Accessory Only","",IF(S7="Boring But Big",10,IF(T34=531,8,10)))</f>
        <v>10</v>
      </c>
      <c r="O14" s="185" t="s">
        <v>193</v>
      </c>
      <c r="P14" s="185">
        <v>10.0</v>
      </c>
      <c r="Q14" s="201"/>
      <c r="R14" s="27"/>
      <c r="S14" s="25" t="s">
        <v>194</v>
      </c>
      <c r="T14" s="25">
        <f>'531'!Z16</f>
        <v>80</v>
      </c>
      <c r="U14" s="193">
        <v>0.6</v>
      </c>
      <c r="V14" s="193">
        <v>0.6</v>
      </c>
      <c r="W14" s="193">
        <v>0.6</v>
      </c>
      <c r="X14" s="193">
        <v>0.6</v>
      </c>
    </row>
    <row r="15" ht="12.75" customHeight="1">
      <c r="A15" s="188"/>
      <c r="B15" s="189"/>
      <c r="C15" s="190">
        <f>IF(S7="Accessory Only","",IF(S7="Boring But Big",IF(U12="","",MROUND(T12*U12,'Start-Options'!$B$38)),IF(T34=531,MROUND(U39*0.7,'Start-Options'!$B$38),MROUND(U39*0.8,'Start-Options'!$B$38))))</f>
        <v>65</v>
      </c>
      <c r="D15" s="27">
        <f>V18</f>
        <v>75</v>
      </c>
      <c r="E15" s="78">
        <f>IF(S7="Accessory Only","",IF(S7="Boring But Big",10,IF(T34=531,10,6)))</f>
        <v>10</v>
      </c>
      <c r="F15" s="185" t="s">
        <v>193</v>
      </c>
      <c r="G15" s="185">
        <v>10.0</v>
      </c>
      <c r="H15" s="191"/>
      <c r="I15" s="27"/>
      <c r="J15" s="188"/>
      <c r="K15" s="189"/>
      <c r="L15" s="190">
        <f>IF(S7="Accessory Only","",IF(S7="Boring But Big",IF(V12="","",MROUND(T12*V12,'Start-Options'!$B$38)),IF(T34=531,MROUND(U39*0.8,'Start-Options'!$B$38),MROUND(U39*0.7,'Start-Options'!$B$38))))</f>
        <v>65</v>
      </c>
      <c r="M15" s="27"/>
      <c r="N15" s="78">
        <f>IF(S7="Accessory Only","",IF(S7="Boring But Big",10,IF(T34=531,6,10)))</f>
        <v>10</v>
      </c>
      <c r="O15" s="185" t="s">
        <v>193</v>
      </c>
      <c r="P15" s="185">
        <v>10.0</v>
      </c>
      <c r="Q15" s="201"/>
      <c r="R15" s="27"/>
      <c r="S15" s="27"/>
      <c r="T15" s="202">
        <v>0.5</v>
      </c>
      <c r="U15" s="202">
        <v>0.6</v>
      </c>
      <c r="V15" s="202">
        <v>0.7</v>
      </c>
      <c r="W15" s="203">
        <v>0.6</v>
      </c>
      <c r="X15" s="203">
        <v>0.5</v>
      </c>
      <c r="Z15" s="27"/>
      <c r="AA15" s="27"/>
    </row>
    <row r="16" ht="12.75" customHeight="1">
      <c r="A16" s="188"/>
      <c r="B16" s="189"/>
      <c r="C16" s="27">
        <f>IF(S7="Boring But Big",IF(U12="","",MROUND(T12*U12,'Start-Options'!$B$38)),"")</f>
        <v>65</v>
      </c>
      <c r="D16" s="27">
        <f>W18</f>
        <v>65</v>
      </c>
      <c r="E16" s="78">
        <f>IF(S7="Boring But Big",10,"")</f>
        <v>10</v>
      </c>
      <c r="F16" s="185" t="s">
        <v>193</v>
      </c>
      <c r="G16" s="185">
        <v>10.0</v>
      </c>
      <c r="H16" s="191"/>
      <c r="I16" s="27"/>
      <c r="J16" s="188"/>
      <c r="K16" s="189"/>
      <c r="L16" s="27">
        <f>IF(S7="Boring But Big",IF(V12="","",MROUND(T12*V12,'Start-Options'!$B$38)),"")</f>
        <v>65</v>
      </c>
      <c r="M16" s="27"/>
      <c r="N16" s="78">
        <f>IF(S7="Boring But Big",10,"")</f>
        <v>10</v>
      </c>
      <c r="O16" s="185" t="s">
        <v>193</v>
      </c>
      <c r="P16" s="185">
        <v>10.0</v>
      </c>
      <c r="Q16" s="201"/>
      <c r="R16" s="27"/>
      <c r="S16" s="25" t="s">
        <v>187</v>
      </c>
      <c r="T16" s="204" t="s">
        <v>195</v>
      </c>
      <c r="U16" s="204" t="s">
        <v>196</v>
      </c>
      <c r="V16" s="205" t="s">
        <v>197</v>
      </c>
      <c r="W16" s="205" t="s">
        <v>198</v>
      </c>
      <c r="X16" s="205" t="s">
        <v>199</v>
      </c>
      <c r="Z16" s="27"/>
      <c r="AA16" s="27"/>
    </row>
    <row r="17" ht="12.75" customHeight="1">
      <c r="A17" s="188"/>
      <c r="B17" s="195"/>
      <c r="C17" s="27">
        <f>IF(S7="Boring But Big",IF(U12="","",MROUND(T12*U12,'Start-Options'!$B$38)),"")</f>
        <v>65</v>
      </c>
      <c r="D17" s="27">
        <f>X18</f>
        <v>55</v>
      </c>
      <c r="E17" s="78">
        <f>IF(S7="Boring But Big",10,"")</f>
        <v>10</v>
      </c>
      <c r="F17" s="185" t="s">
        <v>193</v>
      </c>
      <c r="G17" s="185">
        <v>10.0</v>
      </c>
      <c r="H17" s="155"/>
      <c r="I17" s="27"/>
      <c r="J17" s="188"/>
      <c r="K17" s="195"/>
      <c r="L17" s="27">
        <f>IF(S7="Boring But Big",IF(V12="","",MROUND(T12*V12,'Start-Options'!$B$38)),"")</f>
        <v>65</v>
      </c>
      <c r="M17" s="27"/>
      <c r="N17" s="78">
        <f>IF(S7="Boring But Big",10,"")</f>
        <v>10</v>
      </c>
      <c r="O17" s="185" t="s">
        <v>193</v>
      </c>
      <c r="P17" s="185">
        <v>10.0</v>
      </c>
      <c r="Q17" s="206"/>
      <c r="R17" s="27"/>
      <c r="S17" s="25" t="s">
        <v>30</v>
      </c>
      <c r="T17" s="185">
        <f t="shared" ref="T17:X17" si="1">Mround($T$11*T15,2.5)</f>
        <v>25</v>
      </c>
      <c r="U17" s="185">
        <f t="shared" si="1"/>
        <v>30</v>
      </c>
      <c r="V17" s="185">
        <f t="shared" si="1"/>
        <v>35</v>
      </c>
      <c r="W17" s="185">
        <f t="shared" si="1"/>
        <v>30</v>
      </c>
      <c r="X17" s="185">
        <f t="shared" si="1"/>
        <v>25</v>
      </c>
      <c r="Z17" s="27"/>
      <c r="AA17" s="27"/>
    </row>
    <row r="18" ht="12.75" customHeight="1">
      <c r="A18" s="196" t="s">
        <v>200</v>
      </c>
      <c r="B18" s="197" t="str">
        <f>IF(S7="Accessory Only","",IF(S7="Boring But Big",'Start-Options'!$B$6,T40))</f>
        <v>Bench</v>
      </c>
      <c r="C18" s="198">
        <f>IF(S7="Accessory Only","",IF(S7="Boring But Big",IF(U13="","",MROUND(T13*U13,'Start-Options'!$B$38)),IF(T34=531,MROUND(U40*0.5,'Start-Options'!$B$38),MROUND(U40*0.6,'Start-Options'!$B$38))))</f>
        <v>42.5</v>
      </c>
      <c r="D18" s="198">
        <f>T19</f>
        <v>35</v>
      </c>
      <c r="E18" s="199">
        <f>IF(S7="Accessory Only","",IF(S7="Boring But Big",10,IF(T34=531,10,8)))</f>
        <v>10</v>
      </c>
      <c r="F18" s="185" t="s">
        <v>186</v>
      </c>
      <c r="G18" s="185">
        <v>10.0</v>
      </c>
      <c r="H18" s="200"/>
      <c r="I18" s="27"/>
      <c r="J18" s="196" t="s">
        <v>200</v>
      </c>
      <c r="K18" s="197" t="str">
        <f>IF(S7="Accessory Only","",IF(S7="Boring But Big",'Start-Options'!$B$6,T40))</f>
        <v>Bench</v>
      </c>
      <c r="L18" s="198">
        <f>IF(S7="Accessory Only","",IF(S7="Boring But Big",IF(V13="","",MROUND(T13*V13,'Start-Options'!$B$38)),IF(T34=531,MROUND(U40*0.6,'Start-Options'!$B$38),MROUND(U40*0.5,'Start-Options'!$B$38))))</f>
        <v>42.5</v>
      </c>
      <c r="M18" s="198"/>
      <c r="N18" s="199">
        <f>IF(S7="Accessory Only","",IF(S7="Boring But Big",10,IF(T34=531,8,10)))</f>
        <v>10</v>
      </c>
      <c r="O18" s="185" t="s">
        <v>186</v>
      </c>
      <c r="P18" s="185">
        <v>10.0</v>
      </c>
      <c r="Q18" s="187">
        <v>40.0</v>
      </c>
      <c r="R18" s="27"/>
      <c r="S18" s="25" t="s">
        <v>31</v>
      </c>
      <c r="T18" s="185">
        <f t="shared" ref="T18:X18" si="2">mround($T$12*T15,5)</f>
        <v>55</v>
      </c>
      <c r="U18" s="185">
        <f t="shared" si="2"/>
        <v>65</v>
      </c>
      <c r="V18" s="185">
        <f t="shared" si="2"/>
        <v>75</v>
      </c>
      <c r="W18" s="185">
        <f t="shared" si="2"/>
        <v>65</v>
      </c>
      <c r="X18" s="185">
        <f t="shared" si="2"/>
        <v>55</v>
      </c>
      <c r="Z18" s="27"/>
      <c r="AA18" s="27"/>
    </row>
    <row r="19" ht="12.75" customHeight="1">
      <c r="A19" s="188"/>
      <c r="B19" s="189"/>
      <c r="C19" s="190">
        <f>IF(S7="Accessory Only","",IF(S7="Boring But Big",IF(U13="","",MROUND(T13*U13,'Start-Options'!$B$38)),IF(T34=531,MROUND(U40*0.6,'Start-Options'!$B$38),MROUND(U40*0.7,'Start-Options'!$B$38))))</f>
        <v>42.5</v>
      </c>
      <c r="D19" s="27">
        <f>U19</f>
        <v>42.5</v>
      </c>
      <c r="E19" s="78">
        <f>IF(S7="Accessory Only","",IF(S7="Boring But Big",10,IF(T34=531,10,8)))</f>
        <v>10</v>
      </c>
      <c r="F19" s="185" t="s">
        <v>186</v>
      </c>
      <c r="G19" s="185">
        <v>10.0</v>
      </c>
      <c r="H19" s="191"/>
      <c r="I19" s="27"/>
      <c r="J19" s="188"/>
      <c r="K19" s="189"/>
      <c r="L19" s="190">
        <f>IF(S7="Accessory Only","",IF(S7="Boring But Big",IF(V13="","",MROUND(T13*V13,'Start-Options'!$B$38)),IF(T34=531,MROUND(U40*0.7,'Start-Options'!$B$38),MROUND(U40*0.6,'Start-Options'!$B$38))))</f>
        <v>42.5</v>
      </c>
      <c r="M19" s="27"/>
      <c r="N19" s="78">
        <f>IF(S7="Accessory Only","",IF(S7="Boring But Big",10,IF(T34=531,8,10)))</f>
        <v>10</v>
      </c>
      <c r="O19" s="185" t="s">
        <v>186</v>
      </c>
      <c r="P19" s="185">
        <v>10.0</v>
      </c>
      <c r="Q19" s="187">
        <v>40.0</v>
      </c>
      <c r="R19" s="27"/>
      <c r="S19" s="25" t="s">
        <v>32</v>
      </c>
      <c r="T19" s="185">
        <f t="shared" ref="T19:X19" si="3">mround($T$13*T15,2.5)</f>
        <v>35</v>
      </c>
      <c r="U19" s="185">
        <f t="shared" si="3"/>
        <v>42.5</v>
      </c>
      <c r="V19" s="185">
        <f t="shared" si="3"/>
        <v>50</v>
      </c>
      <c r="W19" s="185">
        <f t="shared" si="3"/>
        <v>42.5</v>
      </c>
      <c r="X19" s="185">
        <f t="shared" si="3"/>
        <v>35</v>
      </c>
      <c r="Z19" s="27"/>
      <c r="AA19" s="27"/>
    </row>
    <row r="20" ht="12.75" customHeight="1">
      <c r="A20" s="188"/>
      <c r="B20" s="189"/>
      <c r="C20" s="190">
        <f>IF(S7="Accessory Only","",IF(S7="Boring But Big",IF(U13="","",MROUND(T13*U13,'Start-Options'!$B$38)),IF(T34=531,MROUND(U40*0.7,'Start-Options'!$B$38),MROUND(U40*0.8,'Start-Options'!$B$38))))</f>
        <v>42.5</v>
      </c>
      <c r="D20" s="27">
        <f>V19</f>
        <v>50</v>
      </c>
      <c r="E20" s="78">
        <f>IF(S7="Accessory Only","",IF(S7="Boring But Big",10,IF(T34=531,10,6)))</f>
        <v>10</v>
      </c>
      <c r="F20" s="185" t="s">
        <v>186</v>
      </c>
      <c r="G20" s="185">
        <v>10.0</v>
      </c>
      <c r="H20" s="191"/>
      <c r="I20" s="27"/>
      <c r="J20" s="188"/>
      <c r="K20" s="189"/>
      <c r="L20" s="190">
        <f>IF(S7="Accessory Only","",IF(S7="Boring But Big",IF(V13="","",MROUND(T13*V13,'Start-Options'!$B$38)),IF(T34=531,MROUND(U40*0.8,'Start-Options'!$B$38),MROUND(U40*0.7,'Start-Options'!$B$38))))</f>
        <v>42.5</v>
      </c>
      <c r="M20" s="27"/>
      <c r="N20" s="78">
        <f>IF(S7="Accessory Only","",IF(S7="Boring But Big",10,IF(T34=531,6,10)))</f>
        <v>10</v>
      </c>
      <c r="O20" s="185" t="s">
        <v>186</v>
      </c>
      <c r="P20" s="185">
        <v>10.0</v>
      </c>
      <c r="Q20" s="187">
        <v>40.0</v>
      </c>
      <c r="R20" s="27"/>
      <c r="S20" s="25" t="s">
        <v>194</v>
      </c>
      <c r="T20" s="185">
        <f t="shared" ref="T20:X20" si="4">mround($T$14*T15,5)</f>
        <v>40</v>
      </c>
      <c r="U20" s="185">
        <f t="shared" si="4"/>
        <v>50</v>
      </c>
      <c r="V20" s="185">
        <f t="shared" si="4"/>
        <v>55</v>
      </c>
      <c r="W20" s="185">
        <f t="shared" si="4"/>
        <v>50</v>
      </c>
      <c r="X20" s="185">
        <f t="shared" si="4"/>
        <v>40</v>
      </c>
      <c r="Z20" s="27"/>
      <c r="AA20" s="27"/>
    </row>
    <row r="21" ht="12.75" customHeight="1">
      <c r="A21" s="188"/>
      <c r="B21" s="189"/>
      <c r="C21" s="27">
        <f>IF(S7="Boring But Big",IF(U13="","",MROUND(T13*U13,'Start-Options'!$B$38)),"")</f>
        <v>42.5</v>
      </c>
      <c r="D21" s="27">
        <f>W19</f>
        <v>42.5</v>
      </c>
      <c r="E21" s="27">
        <f>IF(S7="Boring But Big",10,"")</f>
        <v>10</v>
      </c>
      <c r="F21" s="185" t="s">
        <v>186</v>
      </c>
      <c r="G21" s="185">
        <v>10.0</v>
      </c>
      <c r="H21" s="207"/>
      <c r="I21" s="77"/>
      <c r="J21" s="188"/>
      <c r="K21" s="189"/>
      <c r="L21" s="27">
        <f>IF(S7="Boring But Big",IF(V13="","",MROUND(T13*V13,'Start-Options'!$B$38)),"")</f>
        <v>42.5</v>
      </c>
      <c r="M21" s="27"/>
      <c r="N21" s="78">
        <f>IF(S7="Boring But Big",10,"")</f>
        <v>10</v>
      </c>
      <c r="O21" s="185" t="s">
        <v>186</v>
      </c>
      <c r="P21" s="185">
        <v>10.0</v>
      </c>
      <c r="Q21" s="187">
        <v>40.0</v>
      </c>
      <c r="R21" s="27"/>
      <c r="Z21" s="27"/>
      <c r="AA21" s="27"/>
    </row>
    <row r="22" ht="12.75" customHeight="1">
      <c r="A22" s="194"/>
      <c r="B22" s="195"/>
      <c r="C22" s="27">
        <f>IF(S7="Boring But Big",IF(U13="","",MROUND(T13*U13,'Start-Options'!$B$38)),"")</f>
        <v>42.5</v>
      </c>
      <c r="D22" s="27">
        <f>X19</f>
        <v>35</v>
      </c>
      <c r="E22" s="78">
        <f>IF(S7="Boring But Big",10,"")</f>
        <v>10</v>
      </c>
      <c r="F22" s="185" t="s">
        <v>186</v>
      </c>
      <c r="G22" s="185">
        <v>10.0</v>
      </c>
      <c r="H22" s="155"/>
      <c r="I22" s="27"/>
      <c r="J22" s="194"/>
      <c r="K22" s="195"/>
      <c r="L22" s="27">
        <f>IF(S7="Boring But Big",IF(V13="","",MROUND(T13*V13,'Start-Options'!$B$38)),"")</f>
        <v>42.5</v>
      </c>
      <c r="M22" s="27"/>
      <c r="N22" s="78">
        <f>IF(S7="Boring But Big",10,"")</f>
        <v>10</v>
      </c>
      <c r="O22" s="185" t="s">
        <v>186</v>
      </c>
      <c r="P22" s="185">
        <v>10.0</v>
      </c>
      <c r="Q22" s="187">
        <v>40.0</v>
      </c>
      <c r="R22" s="27"/>
      <c r="Z22" s="27"/>
      <c r="AA22" s="27"/>
    </row>
    <row r="23" ht="12.75" customHeight="1">
      <c r="A23" s="196" t="s">
        <v>201</v>
      </c>
      <c r="B23" s="197" t="str">
        <f>IF(S7="Accessory Only","",IF(S7="Boring But Big",'Start-Options'!$B$7,T41))</f>
        <v>Squat</v>
      </c>
      <c r="C23" s="198">
        <f>IF(S7="Accessory Only","",IF(S7="Boring But Big",IF(U14="","",MROUND(T14*U14,'Start-Options'!$B$38)),IF(T34=531,MROUND(U41*0.5,'Start-Options'!$B$38),MROUND(U41*0.6,'Start-Options'!$B$38))))</f>
        <v>47.5</v>
      </c>
      <c r="D23" s="198">
        <f>T20</f>
        <v>40</v>
      </c>
      <c r="E23" s="199">
        <f>IF(S7="Accessory Only","",IF(S7="Boring But Big",10,IF(T34=531,10,8)))</f>
        <v>10</v>
      </c>
      <c r="F23" s="185" t="s">
        <v>193</v>
      </c>
      <c r="G23" s="185">
        <v>10.0</v>
      </c>
      <c r="H23" s="200"/>
      <c r="I23" s="27"/>
      <c r="J23" s="196" t="s">
        <v>201</v>
      </c>
      <c r="K23" s="197" t="str">
        <f>IF(S7="Accessory Only","",IF(S7="Boring But Big",'Start-Options'!$B$7,T41))</f>
        <v>Squat</v>
      </c>
      <c r="L23" s="198">
        <f>IF(S7="Accessory Only","",IF(S7="Boring But Big",IF(V14="","",MROUND(T14*V14,'Start-Options'!$B$38)),IF(T34=531,MROUND(U41*0.6,'Start-Options'!$B$38),MROUND(U41*0.5,'Start-Options'!$B$38))))</f>
        <v>47.5</v>
      </c>
      <c r="M23" s="198"/>
      <c r="N23" s="199">
        <f>IF(S7="Accessory Only","",IF(S7="Boring But Big",10,IF(T34=531,8,10)))</f>
        <v>10</v>
      </c>
      <c r="O23" s="185" t="s">
        <v>193</v>
      </c>
      <c r="P23" s="185">
        <v>10.0</v>
      </c>
      <c r="Q23" s="187">
        <v>60.0</v>
      </c>
      <c r="R23" s="27"/>
      <c r="Z23" s="27"/>
      <c r="AA23" s="27"/>
    </row>
    <row r="24" ht="12.75" customHeight="1">
      <c r="A24" s="188"/>
      <c r="B24" s="189"/>
      <c r="C24" s="190">
        <f>IF(S7="Accessory Only","",IF(S7="Boring But Big",IF(U14="","",MROUND(T14*U14,'Start-Options'!$B$38)),IF(T34=531,MROUND(U41*0.6,'Start-Options'!$B$38),MROUND(U41*0.7,'Start-Options'!$B$38))))</f>
        <v>47.5</v>
      </c>
      <c r="D24" s="27">
        <f>U20</f>
        <v>50</v>
      </c>
      <c r="E24" s="78">
        <f>IF(S7="Accessory Only","",IF(S7="Boring But Big",10,IF(T34=531,10,8)))</f>
        <v>10</v>
      </c>
      <c r="F24" s="185" t="s">
        <v>193</v>
      </c>
      <c r="G24" s="185">
        <v>10.0</v>
      </c>
      <c r="H24" s="191"/>
      <c r="I24" s="27"/>
      <c r="J24" s="188"/>
      <c r="K24" s="189"/>
      <c r="L24" s="190">
        <f>IF(S7="Accessory Only","",IF(S7="Boring But Big",IF(V14="","",MROUND(T14*V14,'Start-Options'!$B$38)),IF(T34=531,MROUND(U41*0.7,'Start-Options'!$B$38),MROUND(U41*0.6,'Start-Options'!$B$38))))</f>
        <v>47.5</v>
      </c>
      <c r="M24" s="27"/>
      <c r="N24" s="78">
        <f>IF(S7="Accessory Only","",IF(S7="Boring But Big",10,IF(T34=531,8,10)))</f>
        <v>10</v>
      </c>
      <c r="O24" s="185" t="s">
        <v>193</v>
      </c>
      <c r="P24" s="185">
        <v>10.0</v>
      </c>
      <c r="Q24" s="201"/>
      <c r="R24" s="27"/>
      <c r="Z24" s="27"/>
      <c r="AA24" s="27"/>
    </row>
    <row r="25" ht="12.75" customHeight="1">
      <c r="A25" s="188"/>
      <c r="B25" s="189"/>
      <c r="C25" s="190">
        <f>IF(S7="Accessory Only","",IF(S7="Boring But Big",IF(U14="","",MROUND(T14*U14,'Start-Options'!$B$38)),IF(T34=531,MROUND(U41*0.7,'Start-Options'!$B$38),MROUND(U41*0.8,'Start-Options'!$B$38))))</f>
        <v>47.5</v>
      </c>
      <c r="D25" s="27">
        <f>V20</f>
        <v>55</v>
      </c>
      <c r="E25" s="78">
        <f>IF(S7="Accessory Only","",IF(S7="Boring But Big",10,IF(T34=531,10,6)))</f>
        <v>10</v>
      </c>
      <c r="F25" s="185" t="s">
        <v>193</v>
      </c>
      <c r="G25" s="185">
        <v>10.0</v>
      </c>
      <c r="H25" s="191"/>
      <c r="I25" s="27"/>
      <c r="J25" s="188"/>
      <c r="K25" s="189"/>
      <c r="L25" s="190">
        <f>IF(S7="Accessory Only","",IF(S7="Boring But Big",IF(V14="","",MROUND(T14*V14,'Start-Options'!$B$38)),IF(T34=531,MROUND(U41*0.8,'Start-Options'!$B$38),MROUND(U41*0.7,'Start-Options'!$B$38))))</f>
        <v>47.5</v>
      </c>
      <c r="M25" s="27"/>
      <c r="N25" s="78">
        <f>IF(S7="Accessory Only","",IF(S7="Boring But Big",10,IF(T34=531,6,10)))</f>
        <v>10</v>
      </c>
      <c r="O25" s="185" t="s">
        <v>193</v>
      </c>
      <c r="P25" s="185">
        <v>10.0</v>
      </c>
      <c r="Q25" s="201"/>
      <c r="R25" s="27"/>
      <c r="Z25" s="27"/>
      <c r="AA25" s="27"/>
    </row>
    <row r="26" ht="12.75" customHeight="1">
      <c r="A26" s="188"/>
      <c r="B26" s="189"/>
      <c r="C26" s="27">
        <f>IF(S7="Boring But Big",IF(U14="","",MROUND(T14*U14,'Start-Options'!$B$38)),"")</f>
        <v>47.5</v>
      </c>
      <c r="D26" s="27">
        <f>W20</f>
        <v>50</v>
      </c>
      <c r="E26" s="78">
        <f>IF(S7="Boring But Big",10,"")</f>
        <v>10</v>
      </c>
      <c r="F26" s="185" t="s">
        <v>193</v>
      </c>
      <c r="G26" s="185">
        <v>10.0</v>
      </c>
      <c r="H26" s="191"/>
      <c r="I26" s="27"/>
      <c r="J26" s="188"/>
      <c r="K26" s="189"/>
      <c r="L26" s="27">
        <f>IF(S7="Boring But Big",IF(V14="","",MROUND(T14*V14,'Start-Options'!$B$38)),"")</f>
        <v>47.5</v>
      </c>
      <c r="M26" s="27"/>
      <c r="N26" s="78">
        <f>IF(S7="Boring But Big",10,"")</f>
        <v>10</v>
      </c>
      <c r="O26" s="185" t="s">
        <v>193</v>
      </c>
      <c r="P26" s="185">
        <v>10.0</v>
      </c>
      <c r="Q26" s="201"/>
      <c r="R26" s="27"/>
      <c r="Z26" s="27"/>
      <c r="AA26" s="27"/>
    </row>
    <row r="27" ht="12.75" customHeight="1">
      <c r="A27" s="194"/>
      <c r="B27" s="195"/>
      <c r="C27" s="208">
        <f>IF(S7="Boring But Big",IF(U14="","",MROUND(T14*U14,'Start-Options'!$B$38)),"")</f>
        <v>47.5</v>
      </c>
      <c r="D27" s="49">
        <f>X20</f>
        <v>40</v>
      </c>
      <c r="E27" s="83">
        <f>IF(S7="Boring But Big",10,"")</f>
        <v>10</v>
      </c>
      <c r="F27" s="185" t="s">
        <v>193</v>
      </c>
      <c r="G27" s="185">
        <v>10.0</v>
      </c>
      <c r="H27" s="155"/>
      <c r="I27" s="27"/>
      <c r="J27" s="194"/>
      <c r="K27" s="195"/>
      <c r="L27" s="208">
        <f>IF(S7="Boring But Big",IF(V14="","",MROUND(T14*V14,'Start-Options'!$B$38)),"")</f>
        <v>47.5</v>
      </c>
      <c r="M27" s="49"/>
      <c r="N27" s="83">
        <f>IF(S7="Boring But Big",10,"")</f>
        <v>10</v>
      </c>
      <c r="O27" s="185" t="s">
        <v>193</v>
      </c>
      <c r="P27" s="185">
        <v>10.0</v>
      </c>
      <c r="Q27" s="206"/>
      <c r="R27" s="27"/>
      <c r="Z27" s="27"/>
      <c r="AA27" s="27"/>
    </row>
    <row r="28" ht="7.5" customHeight="1">
      <c r="A28" s="168"/>
      <c r="B28" s="27"/>
      <c r="C28" s="27"/>
      <c r="D28" s="27"/>
      <c r="E28" s="27"/>
      <c r="F28" s="27"/>
      <c r="G28" s="27"/>
      <c r="H28" s="27"/>
      <c r="I28" s="27"/>
      <c r="J28" s="27"/>
      <c r="K28" s="27"/>
      <c r="L28" s="27"/>
      <c r="M28" s="27"/>
      <c r="N28" s="27"/>
      <c r="O28" s="27"/>
      <c r="P28" s="27"/>
      <c r="Q28" s="209"/>
      <c r="R28" s="27"/>
      <c r="Z28" s="27"/>
      <c r="AA28" s="27"/>
    </row>
    <row r="29" ht="12.75" customHeight="1">
      <c r="A29" s="210" t="s">
        <v>202</v>
      </c>
      <c r="B29" s="211" t="s">
        <v>177</v>
      </c>
      <c r="C29" s="41"/>
      <c r="D29" s="41"/>
      <c r="E29" s="42"/>
      <c r="F29" s="211" t="s">
        <v>178</v>
      </c>
      <c r="G29" s="41"/>
      <c r="H29" s="42"/>
      <c r="I29" s="27"/>
      <c r="J29" s="212" t="s">
        <v>203</v>
      </c>
      <c r="K29" s="211" t="s">
        <v>177</v>
      </c>
      <c r="L29" s="41"/>
      <c r="M29" s="41"/>
      <c r="N29" s="42"/>
      <c r="O29" s="211" t="s">
        <v>178</v>
      </c>
      <c r="P29" s="41"/>
      <c r="Q29" s="213"/>
      <c r="R29" s="27"/>
      <c r="Z29" s="27"/>
      <c r="AA29" s="27"/>
    </row>
    <row r="30" ht="12.75" customHeight="1">
      <c r="A30" s="194"/>
      <c r="B30" s="214" t="s">
        <v>181</v>
      </c>
      <c r="C30" s="215" t="s">
        <v>26</v>
      </c>
      <c r="D30" s="215"/>
      <c r="E30" s="215" t="s">
        <v>27</v>
      </c>
      <c r="F30" s="215" t="s">
        <v>182</v>
      </c>
      <c r="G30" s="216" t="s">
        <v>183</v>
      </c>
      <c r="H30" s="215" t="s">
        <v>26</v>
      </c>
      <c r="I30" s="27"/>
      <c r="J30" s="217"/>
      <c r="K30" s="214" t="s">
        <v>181</v>
      </c>
      <c r="L30" s="215" t="s">
        <v>26</v>
      </c>
      <c r="M30" s="215"/>
      <c r="N30" s="215" t="s">
        <v>27</v>
      </c>
      <c r="O30" s="215" t="s">
        <v>182</v>
      </c>
      <c r="P30" s="216" t="s">
        <v>183</v>
      </c>
      <c r="Q30" s="218" t="s">
        <v>26</v>
      </c>
      <c r="R30" s="27"/>
      <c r="Z30" s="27"/>
      <c r="AA30" s="27"/>
    </row>
    <row r="31" ht="12.75" customHeight="1">
      <c r="A31" s="183" t="s">
        <v>185</v>
      </c>
      <c r="B31" s="197" t="str">
        <f>IF(S7="Accessory Only","",IF(S7="Boring But Big",'Start-Options'!$B$4,T38))</f>
        <v>Military</v>
      </c>
      <c r="C31" s="198">
        <f>IF(S7="Accessory Only","",IF(S7="Boring But Big",IF(W11="","",MROUND(T11*W11,'Start-Options'!$B$38)),IF(T34=531,MROUND(U38*0.65,'Start-Options'!$B$38),MROUND(U38*0.65,'Start-Options'!$B$38))))</f>
        <v>30</v>
      </c>
      <c r="D31" s="198"/>
      <c r="E31" s="199">
        <f>IF(S7="Accessory Only","",IF(S7="Boring But Big",10,5))</f>
        <v>10</v>
      </c>
      <c r="F31" s="185"/>
      <c r="G31" s="185"/>
      <c r="H31" s="200"/>
      <c r="I31" s="27"/>
      <c r="J31" s="183" t="s">
        <v>185</v>
      </c>
      <c r="K31" s="197" t="str">
        <f>IF(S7="Accessory Only","",IF(S7="Boring But Big",'Start-Options'!$B$4,T38))</f>
        <v>Military</v>
      </c>
      <c r="L31" s="198">
        <f>IF(S7="Accessory Only","",IF(S7="Boring But Big",IF(X11="","",MROUND(T11*X11,'Start-Options'!$B$38)),MROUND(U38*0.4,'Start-Options'!$B$38)))</f>
        <v>30</v>
      </c>
      <c r="M31" s="198"/>
      <c r="N31" s="199">
        <f>IF(S7="Accessory Only","",IF(S7="Boring But Big",10,5))</f>
        <v>10</v>
      </c>
      <c r="O31" s="185"/>
      <c r="P31" s="185"/>
      <c r="Q31" s="187"/>
      <c r="R31" s="27"/>
      <c r="Z31" s="27"/>
      <c r="AA31" s="27"/>
    </row>
    <row r="32" ht="12.75" customHeight="1">
      <c r="A32" s="188"/>
      <c r="B32" s="189"/>
      <c r="C32" s="190">
        <f>IF(S7="Accessory Only","",IF(S7="Boring But Big",IF(W11="","",MROUND(T11*W11,'Start-Options'!$B$38)),IF(T34=531,MROUND(U38*0.75,'Start-Options'!$B$38),MROUND(U38*0.75,'Start-Options'!$B$38))))</f>
        <v>30</v>
      </c>
      <c r="D32" s="27"/>
      <c r="E32" s="78">
        <f>IF(S7="Accessory Only","",IF(S7="Boring But Big",10,5))</f>
        <v>10</v>
      </c>
      <c r="F32" s="219"/>
      <c r="G32" s="219"/>
      <c r="H32" s="191"/>
      <c r="I32" s="27"/>
      <c r="J32" s="188"/>
      <c r="K32" s="189"/>
      <c r="L32" s="190">
        <f>IF(S7="Accessory Only","",IF(S7="Boring But Big",IF(X11="","",MROUND(T11*X11,'Start-Options'!$B$38)),MROUND(U38*0.5,'Start-Options'!$B$38)))</f>
        <v>30</v>
      </c>
      <c r="M32" s="27"/>
      <c r="N32" s="78">
        <f>IF(S7="Accessory Only","",IF(S7="Boring But Big",10,5))</f>
        <v>10</v>
      </c>
      <c r="O32" s="220"/>
      <c r="P32" s="220"/>
      <c r="Q32" s="221"/>
      <c r="R32" s="27"/>
      <c r="Z32" s="27"/>
      <c r="AA32" s="27"/>
    </row>
    <row r="33" ht="12.75" customHeight="1">
      <c r="A33" s="188"/>
      <c r="B33" s="189"/>
      <c r="C33" s="190">
        <f>IF(S7="Accessory Only","",IF(S7="Boring But Big",IF(W11="","",MROUND(T11*W11,'Start-Options'!$B$38)),IF(T34=531,MROUND(U38*0.85,'Start-Options'!$B$38),MROUND(U38*0.85,'Start-Options'!$B$38))))</f>
        <v>30</v>
      </c>
      <c r="D33" s="27"/>
      <c r="E33" s="78">
        <f>IF(S7="Accessory Only","",IF(S7="Boring But Big",10,5))</f>
        <v>10</v>
      </c>
      <c r="F33" s="219"/>
      <c r="G33" s="219"/>
      <c r="H33" s="191"/>
      <c r="I33" s="27"/>
      <c r="J33" s="188"/>
      <c r="K33" s="189"/>
      <c r="L33" s="190">
        <f>IF(S7="Accessory Only","",IF(S7="Boring But Big",IF(X11="","",MROUND(T11*X11,'Start-Options'!$B$38)),MROUND(U38*0.6,'Start-Options'!$B$38)))</f>
        <v>30</v>
      </c>
      <c r="M33" s="27"/>
      <c r="N33" s="78">
        <f>IF(S7="Accessory Only","",IF(S7="Boring But Big",10,5))</f>
        <v>10</v>
      </c>
      <c r="O33" s="220"/>
      <c r="P33" s="220"/>
      <c r="Q33" s="222"/>
      <c r="R33" s="27"/>
      <c r="S33" s="70" t="s">
        <v>204</v>
      </c>
      <c r="T33" s="71"/>
      <c r="U33" s="27"/>
      <c r="V33" s="27"/>
      <c r="W33" s="27"/>
      <c r="X33" s="27"/>
      <c r="Y33" s="27"/>
      <c r="Z33" s="27"/>
      <c r="AA33" s="27"/>
    </row>
    <row r="34" ht="12.75" customHeight="1">
      <c r="A34" s="188"/>
      <c r="B34" s="189"/>
      <c r="C34" s="27">
        <f>IF(S7="Boring But Big",IF(W11="","",MROUND(T11*W11,'Start-Options'!$B$38)),"")</f>
        <v>30</v>
      </c>
      <c r="D34" s="27"/>
      <c r="E34" s="78">
        <f>IF(S7="Boring But Big",10,"")</f>
        <v>10</v>
      </c>
      <c r="F34" s="219"/>
      <c r="G34" s="219"/>
      <c r="H34" s="191"/>
      <c r="I34" s="27"/>
      <c r="J34" s="188"/>
      <c r="K34" s="189"/>
      <c r="L34" s="27">
        <f>IF(S7="Boring But Big",IF(X11="","",MROUND(T11*X11,'Start-Options'!$B$38)),"")</f>
        <v>30</v>
      </c>
      <c r="M34" s="27"/>
      <c r="N34" s="78">
        <f>IF(S7="Boring But Big",10,"")</f>
        <v>10</v>
      </c>
      <c r="O34" s="219"/>
      <c r="P34" s="219"/>
      <c r="Q34" s="201"/>
      <c r="R34" s="27"/>
      <c r="S34" s="25" t="s">
        <v>205</v>
      </c>
      <c r="T34" s="28">
        <v>531.0</v>
      </c>
      <c r="U34" s="27"/>
      <c r="V34" s="27"/>
      <c r="W34" s="27"/>
      <c r="X34" s="27"/>
      <c r="Y34" s="27"/>
      <c r="Z34" s="27"/>
      <c r="AA34" s="27"/>
    </row>
    <row r="35" ht="12.75" customHeight="1">
      <c r="A35" s="194"/>
      <c r="B35" s="195"/>
      <c r="C35" s="27">
        <f>IF(S7="Boring But Big",IF(W11="","",MROUND(T11*W11,'Start-Options'!$B$38)),"")</f>
        <v>30</v>
      </c>
      <c r="D35" s="27"/>
      <c r="E35" s="78">
        <f>IF(S7="Boring But Big",10,"")</f>
        <v>10</v>
      </c>
      <c r="F35" s="154"/>
      <c r="G35" s="154"/>
      <c r="H35" s="155"/>
      <c r="I35" s="27"/>
      <c r="J35" s="194"/>
      <c r="K35" s="195"/>
      <c r="L35" s="27">
        <f>IF(S7="Boring But Big",IF(X11="","",MROUND(T11*X11,'Start-Options'!$B$38)),"")</f>
        <v>30</v>
      </c>
      <c r="M35" s="27"/>
      <c r="N35" s="78">
        <f>IF(S7="Boring But Big",10,"")</f>
        <v>10</v>
      </c>
      <c r="O35" s="154"/>
      <c r="P35" s="154"/>
      <c r="Q35" s="206"/>
      <c r="R35" s="27"/>
      <c r="S35" s="27"/>
      <c r="T35" s="27"/>
      <c r="U35" s="27"/>
      <c r="V35" s="27"/>
      <c r="W35" s="27"/>
      <c r="X35" s="27"/>
      <c r="Y35" s="27"/>
      <c r="Z35" s="27"/>
      <c r="AA35" s="27"/>
    </row>
    <row r="36" ht="12.75" customHeight="1">
      <c r="A36" s="196" t="s">
        <v>192</v>
      </c>
      <c r="B36" s="197" t="str">
        <f>IF(S7="Accessory Only","",IF(S7="Boring But Big",'Start-Options'!$B$5,T39))</f>
        <v>Deadlift</v>
      </c>
      <c r="C36" s="198">
        <f>IF(S7="Accessory Only","",IF(S7="Boring But Big",IF(W12="","",MROUND(T12*W12,'Start-Options'!$B$38)),IF(T34=531,MROUND(U39*0.65,'Start-Options'!$B$38),MROUND(U39*0.65,'Start-Options'!$B$38))))</f>
        <v>65</v>
      </c>
      <c r="D36" s="198"/>
      <c r="E36" s="199">
        <f>IF(S7="Accessory Only","",IF(S7="Boring But Big",10,5))</f>
        <v>10</v>
      </c>
      <c r="F36" s="185"/>
      <c r="G36" s="185"/>
      <c r="H36" s="200"/>
      <c r="I36" s="27"/>
      <c r="J36" s="196" t="s">
        <v>192</v>
      </c>
      <c r="K36" s="197" t="str">
        <f>IF(S7="Accessory Only","",IF(S7="Boring But Big",'Start-Options'!$B$5,T39))</f>
        <v>Deadlift</v>
      </c>
      <c r="L36" s="198">
        <f>IF(S7="Accessory Only","",IF(S7="Boring But Big",IF(X12="","",MROUND(T12*X12,'Start-Options'!$B$38)),MROUND(U39*0.4,'Start-Options'!$B$38)))</f>
        <v>65</v>
      </c>
      <c r="M36" s="198"/>
      <c r="N36" s="199">
        <f>IF(S7="Accessory Only","",IF(S7="Boring But Big",10,5))</f>
        <v>10</v>
      </c>
      <c r="O36" s="185"/>
      <c r="P36" s="185"/>
      <c r="Q36" s="187"/>
      <c r="R36" s="27"/>
      <c r="S36" s="70" t="s">
        <v>204</v>
      </c>
      <c r="T36" s="175"/>
      <c r="U36" s="71"/>
      <c r="V36" s="7"/>
      <c r="W36" s="27" t="s">
        <v>206</v>
      </c>
      <c r="X36" s="27"/>
      <c r="Y36" s="27"/>
      <c r="Z36" s="27"/>
      <c r="AA36" s="27"/>
    </row>
    <row r="37" ht="12.75" customHeight="1">
      <c r="A37" s="188"/>
      <c r="B37" s="189"/>
      <c r="C37" s="190">
        <f>IF(S7="Accessory Only","",IF(S7="Boring But Big",IF(W12="","",MROUND(T12*W12,'Start-Options'!$B$38)),IF(T34=531,MROUND(U39*0.75,'Start-Options'!$B$38),MROUND(U39*0.75,'Start-Options'!$B$38))))</f>
        <v>65</v>
      </c>
      <c r="D37" s="27"/>
      <c r="E37" s="78">
        <f>IF(S7="Accessory Only","",IF(S7="Boring But Big",10,5))</f>
        <v>10</v>
      </c>
      <c r="F37" s="219"/>
      <c r="G37" s="219"/>
      <c r="H37" s="191"/>
      <c r="I37" s="27"/>
      <c r="J37" s="188"/>
      <c r="K37" s="189"/>
      <c r="L37" s="190">
        <f>IF(S7="Accessory Only","",IF(S7="Boring But Big",IF(X12="","",MROUND(T12*X12,'Start-Options'!$B$38)),MROUND(U39*0.5,'Start-Options'!$B$38)))</f>
        <v>65</v>
      </c>
      <c r="M37" s="27"/>
      <c r="N37" s="78">
        <f>IF(S7="Accessory Only","",IF(S7="Boring But Big",10,5))</f>
        <v>10</v>
      </c>
      <c r="O37" s="220"/>
      <c r="P37" s="220"/>
      <c r="Q37" s="222"/>
      <c r="R37" s="27"/>
      <c r="S37" s="25"/>
      <c r="T37" s="223" t="s">
        <v>182</v>
      </c>
      <c r="U37" s="223" t="s">
        <v>28</v>
      </c>
      <c r="V37" s="27"/>
      <c r="W37" s="27" t="s">
        <v>207</v>
      </c>
      <c r="X37" s="27"/>
      <c r="Y37" s="27"/>
      <c r="Z37" s="27"/>
      <c r="AA37" s="27"/>
    </row>
    <row r="38" ht="12.75" customHeight="1">
      <c r="A38" s="188"/>
      <c r="B38" s="189"/>
      <c r="C38" s="190">
        <f>IF(S7="Accessory Only","",IF(S7="Boring But Big",IF(W12="","",MROUND(T12*W12,'Start-Options'!$B$38)),IF(T34=531,MROUND(U39*0.85,'Start-Options'!$B$38),MROUND(U39*0.85,'Start-Options'!$B$38))))</f>
        <v>65</v>
      </c>
      <c r="D38" s="27"/>
      <c r="E38" s="78">
        <f>IF(S7="Accessory Only","",IF(S7="Boring But Big",10,5))</f>
        <v>10</v>
      </c>
      <c r="F38" s="219"/>
      <c r="G38" s="219"/>
      <c r="H38" s="191"/>
      <c r="I38" s="27"/>
      <c r="J38" s="188"/>
      <c r="K38" s="189"/>
      <c r="L38" s="190">
        <f>IF(S7="Accessory Only","",IF(S7="Boring But Big",IF(X12="","",MROUND(T12*X12,'Start-Options'!$B$38)),MROUND(U39*0.6,'Start-Options'!$B$38)))</f>
        <v>65</v>
      </c>
      <c r="M38" s="27"/>
      <c r="N38" s="78">
        <f>IF(S7="Accessory Only","",IF(S7="Boring But Big",10,5))</f>
        <v>10</v>
      </c>
      <c r="O38" s="220"/>
      <c r="P38" s="220"/>
      <c r="Q38" s="222"/>
      <c r="R38" s="27"/>
      <c r="S38" s="77" t="s">
        <v>36</v>
      </c>
      <c r="T38" s="147" t="s">
        <v>208</v>
      </c>
      <c r="U38" s="147">
        <v>100.0</v>
      </c>
      <c r="V38" s="27"/>
      <c r="W38" s="27" t="s">
        <v>209</v>
      </c>
      <c r="X38" s="27"/>
      <c r="Y38" s="27"/>
      <c r="Z38" s="27"/>
      <c r="AA38" s="27"/>
    </row>
    <row r="39" ht="12.75" customHeight="1">
      <c r="A39" s="188"/>
      <c r="B39" s="189"/>
      <c r="C39" s="27">
        <f>IF(S7="Boring But Big",IF(W12="","",MROUND(T12*W12,'Start-Options'!$B$38)),"")</f>
        <v>65</v>
      </c>
      <c r="D39" s="27"/>
      <c r="E39" s="78">
        <f>IF(S7="Boring But Big",10,"")</f>
        <v>10</v>
      </c>
      <c r="F39" s="219"/>
      <c r="G39" s="219"/>
      <c r="H39" s="191"/>
      <c r="I39" s="27"/>
      <c r="J39" s="188"/>
      <c r="K39" s="189"/>
      <c r="L39" s="27">
        <f>IF(S7="Boring But Big",IF(X12="","",MROUND(T12*X12,'Start-Options'!$B$38)),"")</f>
        <v>65</v>
      </c>
      <c r="M39" s="27"/>
      <c r="N39" s="78">
        <f>IF(S7="Boring But Big",10,"")</f>
        <v>10</v>
      </c>
      <c r="O39" s="219"/>
      <c r="P39" s="219"/>
      <c r="Q39" s="201"/>
      <c r="R39" s="27"/>
      <c r="S39" s="25" t="s">
        <v>44</v>
      </c>
      <c r="T39" s="162" t="s">
        <v>210</v>
      </c>
      <c r="U39" s="162">
        <v>100.0</v>
      </c>
      <c r="V39" s="18"/>
      <c r="W39" s="27" t="s">
        <v>211</v>
      </c>
      <c r="X39" s="27"/>
      <c r="Y39" s="27"/>
      <c r="Z39" s="27"/>
      <c r="AA39" s="27"/>
    </row>
    <row r="40" ht="12.75" customHeight="1">
      <c r="A40" s="188"/>
      <c r="B40" s="195"/>
      <c r="C40" s="27">
        <f>IF(S7="Boring But Big",IF(W12="","",MROUND(T12*W12,'Start-Options'!$B$38)),"")</f>
        <v>65</v>
      </c>
      <c r="D40" s="27"/>
      <c r="E40" s="78">
        <f>IF(S7="Boring But Big",10,"")</f>
        <v>10</v>
      </c>
      <c r="F40" s="154"/>
      <c r="G40" s="154"/>
      <c r="H40" s="155"/>
      <c r="I40" s="27"/>
      <c r="J40" s="188"/>
      <c r="K40" s="195"/>
      <c r="L40" s="27">
        <f>IF(S7="Boring But Big",IF(X12="","",MROUND(T12*X12,'Start-Options'!$B$38)),"")</f>
        <v>65</v>
      </c>
      <c r="M40" s="27"/>
      <c r="N40" s="78">
        <f>IF(S7="Boring But Big",10,"")</f>
        <v>10</v>
      </c>
      <c r="O40" s="154"/>
      <c r="P40" s="154"/>
      <c r="Q40" s="206"/>
      <c r="R40" s="27"/>
      <c r="S40" s="25" t="s">
        <v>48</v>
      </c>
      <c r="T40" s="162" t="s">
        <v>212</v>
      </c>
      <c r="U40" s="162">
        <v>100.0</v>
      </c>
      <c r="V40" s="27"/>
      <c r="W40" s="27"/>
      <c r="X40" s="27"/>
      <c r="Y40" s="27"/>
      <c r="Z40" s="27"/>
      <c r="AA40" s="27"/>
    </row>
    <row r="41" ht="12.75" customHeight="1">
      <c r="A41" s="196" t="s">
        <v>200</v>
      </c>
      <c r="B41" s="197" t="str">
        <f>IF(S7="Accessory Only","",IF(S7="Boring But Big",'Start-Options'!$B$6,T40))</f>
        <v>Bench</v>
      </c>
      <c r="C41" s="198">
        <f>IF(S7="Accessory Only","",IF(S7="Boring But Big",IF(W13="","",MROUND(T13*W13,'Start-Options'!$B$38)),IF(T34=531,MROUND(U40*0.65,'Start-Options'!$B$38),MROUND(U40*0.65,'Start-Options'!$B$38))))</f>
        <v>42.5</v>
      </c>
      <c r="D41" s="198"/>
      <c r="E41" s="199">
        <f>IF(S7="Accessory Only","",IF(S7="Boring But Big",10,5))</f>
        <v>10</v>
      </c>
      <c r="F41" s="185" t="s">
        <v>213</v>
      </c>
      <c r="G41" s="185">
        <v>5.0</v>
      </c>
      <c r="H41" s="200">
        <v>40.0</v>
      </c>
      <c r="I41" s="27"/>
      <c r="J41" s="196" t="s">
        <v>200</v>
      </c>
      <c r="K41" s="197" t="str">
        <f>IF(S7="Accessory Only","",IF(S7="Boring But Big",'Start-Options'!$B$6,T40))</f>
        <v>Bench</v>
      </c>
      <c r="L41" s="198">
        <f>IF(S7="Accessory Only","",IF(S7="Boring But Big",IF(X13="","",MROUND(T13*X13,'Start-Options'!$B$38)),MROUND(U40*0.4,'Start-Options'!$B$38)))</f>
        <v>42.5</v>
      </c>
      <c r="M41" s="198"/>
      <c r="N41" s="199">
        <f>IF(S7="Accessory Only","",IF(S7="Boring But Big",10,5))</f>
        <v>10</v>
      </c>
      <c r="O41" s="185"/>
      <c r="P41" s="185"/>
      <c r="Q41" s="187"/>
      <c r="R41" s="27"/>
      <c r="S41" s="82" t="s">
        <v>53</v>
      </c>
      <c r="T41" s="155" t="s">
        <v>214</v>
      </c>
      <c r="U41" s="155">
        <v>100.0</v>
      </c>
      <c r="V41" s="27"/>
      <c r="W41" s="27"/>
      <c r="X41" s="27"/>
      <c r="Y41" s="27"/>
      <c r="Z41" s="27"/>
      <c r="AA41" s="27"/>
    </row>
    <row r="42" ht="12.75" customHeight="1">
      <c r="A42" s="188"/>
      <c r="B42" s="189"/>
      <c r="C42" s="190">
        <f>IF(S7="Accessory Only","",IF(S7="Boring But Big",IF(W13="","",MROUND(T13*W13,'Start-Options'!$B$38)),IF(T34=531,MROUND(U40*0.75,'Start-Options'!$B$38),MROUND(U40*0.75,'Start-Options'!$B$38))))</f>
        <v>42.5</v>
      </c>
      <c r="D42" s="27"/>
      <c r="E42" s="78">
        <f>IF(S7="Accessory Only","",IF(S7="Boring But Big",10,5))</f>
        <v>10</v>
      </c>
      <c r="F42" s="219"/>
      <c r="G42" s="219"/>
      <c r="H42" s="191"/>
      <c r="I42" s="27"/>
      <c r="J42" s="188"/>
      <c r="K42" s="189"/>
      <c r="L42" s="190">
        <f>IF(S7="Accessory Only","",IF(S7="Boring But Big",IF(X13="","",MROUND(T13*X13,'Start-Options'!$B$38)),MROUND(U40*0.5,'Start-Options'!$B$38)))</f>
        <v>42.5</v>
      </c>
      <c r="M42" s="27"/>
      <c r="N42" s="78">
        <f>IF(S7="Accessory Only","",IF(S7="Boring But Big",10,5))</f>
        <v>10</v>
      </c>
      <c r="O42" s="220"/>
      <c r="P42" s="220"/>
      <c r="Q42" s="222"/>
      <c r="R42" s="27"/>
      <c r="S42" s="27"/>
      <c r="T42" s="27"/>
      <c r="U42" s="27"/>
      <c r="V42" s="27"/>
      <c r="W42" s="27"/>
      <c r="X42" s="27"/>
      <c r="Y42" s="27"/>
      <c r="Z42" s="27"/>
      <c r="AA42" s="27"/>
    </row>
    <row r="43" ht="12.75" customHeight="1">
      <c r="A43" s="188"/>
      <c r="B43" s="189"/>
      <c r="C43" s="190">
        <f>IF(S7="Accessory Only","",IF(S7="Boring But Big",IF(W13="","",MROUND(T13*W13,'Start-Options'!$B$38)),IF(T34=531,MROUND(U40*0.85,'Start-Options'!$B$38),MROUND(U40*0.85,'Start-Options'!$B$38))))</f>
        <v>42.5</v>
      </c>
      <c r="D43" s="27"/>
      <c r="E43" s="78">
        <f>IF(S7="Accessory Only","",IF(S7="Boring But Big",10,5))</f>
        <v>10</v>
      </c>
      <c r="F43" s="219" t="s">
        <v>215</v>
      </c>
      <c r="G43" s="219">
        <v>5.0</v>
      </c>
      <c r="H43" s="191">
        <v>55.0</v>
      </c>
      <c r="I43" s="27"/>
      <c r="J43" s="188"/>
      <c r="K43" s="189"/>
      <c r="L43" s="190">
        <f>IF(S7="Accessory Only","",IF(S7="Boring But Big",IF(X13="","",MROUND(T13*X13,'Start-Options'!$B$38)),MROUND(U40*0.6,'Start-Options'!$B$38)))</f>
        <v>42.5</v>
      </c>
      <c r="M43" s="27"/>
      <c r="N43" s="78">
        <f>IF(S7="Accessory Only","",IF(S7="Boring But Big",10,5))</f>
        <v>10</v>
      </c>
      <c r="O43" s="220"/>
      <c r="P43" s="220"/>
      <c r="Q43" s="222"/>
      <c r="R43" s="27"/>
      <c r="S43" s="27"/>
      <c r="T43" s="27"/>
      <c r="U43" s="27"/>
      <c r="V43" s="27"/>
      <c r="W43" s="27"/>
      <c r="X43" s="27"/>
      <c r="Y43" s="27"/>
      <c r="Z43" s="27"/>
      <c r="AA43" s="27"/>
    </row>
    <row r="44" ht="12.75" customHeight="1">
      <c r="A44" s="188"/>
      <c r="B44" s="189"/>
      <c r="C44" s="27">
        <f>IF(S7="Boring But Big",IF(W13="","",MROUND(T13*W13,'Start-Options'!$B$38)),"")</f>
        <v>42.5</v>
      </c>
      <c r="D44" s="27"/>
      <c r="E44" s="78">
        <f>IF(S7="Boring But Big",10,"")</f>
        <v>10</v>
      </c>
      <c r="F44" s="219"/>
      <c r="G44" s="219"/>
      <c r="H44" s="191"/>
      <c r="I44" s="27"/>
      <c r="J44" s="188"/>
      <c r="K44" s="189"/>
      <c r="L44" s="27">
        <f>IF(S7="Boring But Big",IF(X13="","",MROUND(T13*X13,'Start-Options'!$B$38)),"")</f>
        <v>42.5</v>
      </c>
      <c r="M44" s="27"/>
      <c r="N44" s="78">
        <f>IF(S7="Boring But Big",10,"")</f>
        <v>10</v>
      </c>
      <c r="O44" s="219"/>
      <c r="P44" s="219"/>
      <c r="Q44" s="201"/>
      <c r="R44" s="27"/>
      <c r="S44" s="27"/>
      <c r="T44" s="27"/>
      <c r="U44" s="27"/>
      <c r="V44" s="27"/>
      <c r="W44" s="27"/>
      <c r="X44" s="27"/>
      <c r="Y44" s="27"/>
      <c r="Z44" s="27"/>
      <c r="AA44" s="27"/>
    </row>
    <row r="45" ht="12.75" customHeight="1">
      <c r="A45" s="194"/>
      <c r="B45" s="195"/>
      <c r="C45" s="27">
        <f>IF(S7="Boring But Big",IF(W13="","",MROUND(T13*W13,'Start-Options'!$B$38)),"")</f>
        <v>42.5</v>
      </c>
      <c r="D45" s="27"/>
      <c r="E45" s="78">
        <f>IF(S7="Boring But Big",10,"")</f>
        <v>10</v>
      </c>
      <c r="F45" s="154"/>
      <c r="G45" s="154"/>
      <c r="H45" s="155"/>
      <c r="I45" s="27"/>
      <c r="J45" s="194"/>
      <c r="K45" s="195"/>
      <c r="L45" s="27">
        <f>IF(S7="Boring But Big",IF(X13="","",MROUND(T13*X13,'Start-Options'!$B$38)),"")</f>
        <v>42.5</v>
      </c>
      <c r="M45" s="27"/>
      <c r="N45" s="78">
        <f>IF(S7="Boring But Big",10,"")</f>
        <v>10</v>
      </c>
      <c r="O45" s="154"/>
      <c r="P45" s="154"/>
      <c r="Q45" s="206"/>
      <c r="R45" s="27"/>
      <c r="S45" s="27"/>
      <c r="T45" s="27"/>
      <c r="U45" s="27"/>
      <c r="V45" s="27"/>
      <c r="W45" s="27"/>
      <c r="X45" s="27"/>
      <c r="Y45" s="27"/>
      <c r="Z45" s="27"/>
      <c r="AA45" s="27"/>
    </row>
    <row r="46" ht="12.75" customHeight="1">
      <c r="A46" s="196" t="s">
        <v>201</v>
      </c>
      <c r="B46" s="197" t="str">
        <f>IF(S7="Accessory Only","",IF(S7="Boring But Big",'Start-Options'!$B$7,T41))</f>
        <v>Squat</v>
      </c>
      <c r="C46" s="198">
        <f>IF(S7="Accessory Only","",IF(S7="Boring But Big",IF(W14="","",MROUND(T14*W14,'Start-Options'!$B$38)),IF(T34=531,MROUND(U41*0.65,'Start-Options'!$B$38),MROUND(U41*0.65,'Start-Options'!$B$38))))</f>
        <v>47.5</v>
      </c>
      <c r="D46" s="198"/>
      <c r="E46" s="199">
        <f>IF(S7="Accessory Only","",IF(S7="Boring But Big",10,5))</f>
        <v>10</v>
      </c>
      <c r="F46" s="185"/>
      <c r="G46" s="185"/>
      <c r="H46" s="200"/>
      <c r="I46" s="27"/>
      <c r="J46" s="196" t="s">
        <v>201</v>
      </c>
      <c r="K46" s="197" t="str">
        <f>IF(S7="Accessory Only","",IF(S7="Boring But Big",'Start-Options'!$B$7,T41))</f>
        <v>Squat</v>
      </c>
      <c r="L46" s="198">
        <f>IF(S7="Accessory Only","",IF(S7="Boring But Big",IF(X14="","",MROUND(T14*X14,'Start-Options'!$B$38)),MROUND(U41*0.4,'Start-Options'!$B$38)))</f>
        <v>47.5</v>
      </c>
      <c r="M46" s="198"/>
      <c r="N46" s="199">
        <f>IF(S7="Accessory Only","",IF(S7="Boring But Big",10,5))</f>
        <v>10</v>
      </c>
      <c r="O46" s="185"/>
      <c r="P46" s="185"/>
      <c r="Q46" s="187"/>
      <c r="R46" s="27"/>
      <c r="S46" s="70" t="s">
        <v>93</v>
      </c>
      <c r="T46" s="175"/>
      <c r="U46" s="27"/>
      <c r="V46" s="27"/>
      <c r="W46" s="27"/>
      <c r="X46" s="27"/>
      <c r="Y46" s="27"/>
      <c r="Z46" s="27"/>
      <c r="AA46" s="27"/>
    </row>
    <row r="47" ht="12.75" customHeight="1">
      <c r="A47" s="188"/>
      <c r="B47" s="189"/>
      <c r="C47" s="190">
        <f>IF(S7="Accessory Only","",IF(S7="Boring But Big",IF(W14="","",MROUND(T14*W14,'Start-Options'!$B$38)),IF(T34=531,MROUND(U41*0.75,'Start-Options'!$B$38),MROUND(U41*0.75,'Start-Options'!$B$38))))</f>
        <v>47.5</v>
      </c>
      <c r="D47" s="27"/>
      <c r="E47" s="78">
        <f>IF(S7="Accessory Only","",IF(S7="Boring But Big",10,5))</f>
        <v>10</v>
      </c>
      <c r="F47" s="219"/>
      <c r="G47" s="219"/>
      <c r="H47" s="191"/>
      <c r="I47" s="27"/>
      <c r="J47" s="188"/>
      <c r="K47" s="189"/>
      <c r="L47" s="190">
        <f>IF(S7="Accessory Only","",IF(S7="Boring But Big",IF(X14="","",MROUND(T14*X14,'Start-Options'!$B$38)),MROUND(U41*0.5,'Start-Options'!$B$38)))</f>
        <v>47.5</v>
      </c>
      <c r="M47" s="27"/>
      <c r="N47" s="78">
        <f>IF(S7="Accessory Only","",IF(S7="Boring But Big",10,5))</f>
        <v>10</v>
      </c>
      <c r="O47" s="220"/>
      <c r="P47" s="220"/>
      <c r="Q47" s="222"/>
      <c r="R47" s="27"/>
      <c r="S47" s="25" t="s">
        <v>94</v>
      </c>
      <c r="T47" s="162"/>
      <c r="U47" s="27"/>
      <c r="V47" s="27"/>
      <c r="W47" s="27"/>
      <c r="X47" s="27"/>
      <c r="Y47" s="27"/>
      <c r="Z47" s="27"/>
      <c r="AA47" s="27"/>
    </row>
    <row r="48" ht="12.75" customHeight="1">
      <c r="A48" s="188"/>
      <c r="B48" s="189"/>
      <c r="C48" s="190">
        <f>IF(S7="Accessory Only","",IF(S7="Boring But Big",IF(W14="","",MROUND(T14*W14,'Start-Options'!$B$38)),IF(T34=531,MROUND(U41*0.85,'Start-Options'!$B$38),MROUND(U41*0.85,'Start-Options'!$B$38))))</f>
        <v>47.5</v>
      </c>
      <c r="D48" s="27"/>
      <c r="E48" s="78">
        <f>IF(S7="Accessory Only","",IF(S7="Boring But Big",10,5))</f>
        <v>10</v>
      </c>
      <c r="F48" s="219"/>
      <c r="G48" s="219"/>
      <c r="H48" s="191"/>
      <c r="I48" s="27"/>
      <c r="J48" s="188"/>
      <c r="K48" s="189"/>
      <c r="L48" s="190">
        <f>IF(S7="Accessory Only","",IF(S7="Boring But Big",IF(X14="","",MROUND(T14*X14,'Start-Options'!$B$38)),MROUND(U41*0.6,'Start-Options'!$B$38)))</f>
        <v>47.5</v>
      </c>
      <c r="M48" s="27"/>
      <c r="N48" s="78">
        <f>IF(S7="Accessory Only","",IF(S7="Boring But Big",10,5))</f>
        <v>10</v>
      </c>
      <c r="O48" s="220"/>
      <c r="P48" s="220"/>
      <c r="Q48" s="222"/>
      <c r="R48" s="27"/>
      <c r="S48" s="77" t="s">
        <v>95</v>
      </c>
      <c r="T48" s="78" t="str">
        <f>IF(T47="","",MROUND(T47*0.4,'Start-Options'!$B$38))</f>
        <v/>
      </c>
      <c r="U48" s="27"/>
      <c r="V48" s="27"/>
      <c r="W48" s="27"/>
      <c r="X48" s="27"/>
      <c r="Y48" s="27"/>
      <c r="Z48" s="27"/>
      <c r="AA48" s="27"/>
    </row>
    <row r="49" ht="12.75" customHeight="1">
      <c r="A49" s="188"/>
      <c r="B49" s="189"/>
      <c r="C49" s="27">
        <f>IF(S7="Boring But Big",IF(W14="","",MROUND(T14*W14,'Start-Options'!$B$38)),"")</f>
        <v>47.5</v>
      </c>
      <c r="D49" s="27"/>
      <c r="E49" s="78">
        <f>IF(S7="Boring But Big",10,"")</f>
        <v>10</v>
      </c>
      <c r="F49" s="219"/>
      <c r="G49" s="219"/>
      <c r="H49" s="147"/>
      <c r="I49" s="27"/>
      <c r="J49" s="188"/>
      <c r="K49" s="189"/>
      <c r="L49" s="27">
        <f>IF(S7="Boring But Big",IF(X14="","",MROUND(T14*X14,'Start-Options'!$B$38)),"")</f>
        <v>47.5</v>
      </c>
      <c r="M49" s="27"/>
      <c r="N49" s="78">
        <f>IF(S7="Boring But Big",10,"")</f>
        <v>10</v>
      </c>
      <c r="O49" s="151"/>
      <c r="P49" s="219"/>
      <c r="Q49" s="224"/>
      <c r="R49" s="27"/>
      <c r="S49" s="77" t="s">
        <v>96</v>
      </c>
      <c r="T49" s="78" t="str">
        <f>IF(T47="","",MROUND(T47*0.5,'Start-Options'!$B$38))</f>
        <v/>
      </c>
      <c r="U49" s="27"/>
      <c r="V49" s="27"/>
      <c r="W49" s="27"/>
      <c r="X49" s="27"/>
      <c r="Y49" s="27"/>
      <c r="Z49" s="27"/>
      <c r="AA49" s="27"/>
    </row>
    <row r="50" ht="13.5" customHeight="1">
      <c r="A50" s="194"/>
      <c r="B50" s="225"/>
      <c r="C50" s="226">
        <f>IF(S7="Boring But Big",IF(W14="","",MROUND(T14*W14,'Start-Options'!$B$38)),"")</f>
        <v>47.5</v>
      </c>
      <c r="D50" s="158"/>
      <c r="E50" s="227">
        <f>IF(S7="Boring But Big",10,"")</f>
        <v>10</v>
      </c>
      <c r="F50" s="228"/>
      <c r="G50" s="228"/>
      <c r="H50" s="229"/>
      <c r="I50" s="158"/>
      <c r="J50" s="194"/>
      <c r="K50" s="225"/>
      <c r="L50" s="226">
        <f>IF(S7="Boring But Big",IF(X14="","",MROUND(T14*X14,'Start-Options'!$B$38)),"")</f>
        <v>47.5</v>
      </c>
      <c r="M50" s="158"/>
      <c r="N50" s="227">
        <f>IF(S7="Boring But Big",10,"")</f>
        <v>10</v>
      </c>
      <c r="O50" s="229"/>
      <c r="P50" s="228"/>
      <c r="Q50" s="230"/>
      <c r="R50" s="27"/>
      <c r="S50" s="82" t="s">
        <v>97</v>
      </c>
      <c r="T50" s="83" t="str">
        <f>IF(T47="","",MROUND(T47*0.6,'Start-Options'!$B$38))</f>
        <v/>
      </c>
      <c r="U50" s="27"/>
      <c r="V50" s="27"/>
      <c r="W50" s="27"/>
      <c r="X50" s="27"/>
      <c r="Y50" s="27"/>
      <c r="Z50" s="27"/>
      <c r="AA50" s="27"/>
    </row>
    <row r="51" ht="12.75" customHeight="1">
      <c r="A51" s="27"/>
      <c r="B51" s="27"/>
      <c r="C51" s="27"/>
      <c r="D51" s="27"/>
      <c r="E51" s="27"/>
      <c r="F51" s="27"/>
      <c r="G51" s="27"/>
      <c r="H51" s="27"/>
      <c r="I51" s="27"/>
      <c r="J51" s="27"/>
      <c r="K51" s="27"/>
      <c r="L51" s="27"/>
      <c r="M51" s="27"/>
      <c r="N51" s="27"/>
      <c r="O51" s="27"/>
      <c r="P51" s="27"/>
      <c r="Q51" s="27"/>
      <c r="R51" s="27"/>
      <c r="S51" s="69"/>
      <c r="T51" s="69"/>
      <c r="U51" s="69"/>
      <c r="V51" s="27"/>
      <c r="W51" s="27"/>
      <c r="X51" s="27"/>
      <c r="Y51" s="27"/>
      <c r="Z51" s="27"/>
      <c r="AA51" s="27"/>
    </row>
    <row r="52" ht="21.0" customHeight="1">
      <c r="A52" s="168"/>
      <c r="B52" s="27"/>
      <c r="C52" s="27"/>
      <c r="D52" s="27"/>
      <c r="E52" s="27"/>
      <c r="F52" s="27"/>
      <c r="G52" s="27"/>
      <c r="H52" s="27"/>
      <c r="I52" s="169" t="s">
        <v>98</v>
      </c>
      <c r="J52" s="27"/>
      <c r="K52" s="27"/>
      <c r="L52" s="27"/>
      <c r="M52" s="27"/>
      <c r="N52" s="27"/>
      <c r="O52" s="27"/>
      <c r="P52" s="27"/>
      <c r="Q52" s="27"/>
      <c r="R52" s="27"/>
      <c r="S52" s="27"/>
      <c r="T52" s="27"/>
      <c r="U52" s="27"/>
      <c r="V52" s="27"/>
      <c r="W52" s="27"/>
      <c r="X52" s="27"/>
      <c r="Y52" s="27"/>
      <c r="Z52" s="27"/>
      <c r="AA52" s="27"/>
    </row>
    <row r="53" ht="13.5" customHeight="1">
      <c r="A53" s="170" t="s">
        <v>216</v>
      </c>
      <c r="B53" s="171" t="s">
        <v>177</v>
      </c>
      <c r="C53" s="172"/>
      <c r="D53" s="172"/>
      <c r="E53" s="173"/>
      <c r="F53" s="171" t="s">
        <v>178</v>
      </c>
      <c r="G53" s="172"/>
      <c r="H53" s="173"/>
      <c r="I53" s="91"/>
      <c r="J53" s="174" t="s">
        <v>217</v>
      </c>
      <c r="K53" s="171" t="s">
        <v>177</v>
      </c>
      <c r="L53" s="172"/>
      <c r="M53" s="172"/>
      <c r="N53" s="173"/>
      <c r="O53" s="171" t="s">
        <v>178</v>
      </c>
      <c r="P53" s="172"/>
      <c r="Q53" s="94"/>
      <c r="R53" s="27"/>
      <c r="S53" s="70" t="s">
        <v>180</v>
      </c>
      <c r="T53" s="175"/>
      <c r="U53" s="71"/>
      <c r="V53" s="27"/>
      <c r="W53" s="27"/>
      <c r="X53" s="27"/>
      <c r="Y53" s="27"/>
      <c r="Z53" s="27"/>
      <c r="AA53" s="27"/>
    </row>
    <row r="54" ht="13.5" customHeight="1">
      <c r="A54" s="176"/>
      <c r="B54" s="177" t="s">
        <v>181</v>
      </c>
      <c r="C54" s="178" t="s">
        <v>26</v>
      </c>
      <c r="D54" s="178"/>
      <c r="E54" s="178" t="s">
        <v>27</v>
      </c>
      <c r="F54" s="178" t="s">
        <v>182</v>
      </c>
      <c r="G54" s="178" t="s">
        <v>183</v>
      </c>
      <c r="H54" s="179" t="s">
        <v>26</v>
      </c>
      <c r="I54" s="27"/>
      <c r="J54" s="180"/>
      <c r="K54" s="177" t="s">
        <v>181</v>
      </c>
      <c r="L54" s="178" t="s">
        <v>26</v>
      </c>
      <c r="M54" s="178"/>
      <c r="N54" s="178" t="s">
        <v>27</v>
      </c>
      <c r="O54" s="178" t="s">
        <v>182</v>
      </c>
      <c r="P54" s="179" t="s">
        <v>183</v>
      </c>
      <c r="Q54" s="181" t="s">
        <v>26</v>
      </c>
      <c r="R54" s="27"/>
      <c r="S54" s="182" t="s">
        <v>184</v>
      </c>
      <c r="T54" s="41"/>
      <c r="U54" s="42"/>
      <c r="V54" s="27"/>
      <c r="W54" s="27"/>
      <c r="X54" s="27"/>
      <c r="Y54" s="231"/>
      <c r="Z54" s="231"/>
      <c r="AA54" s="27"/>
    </row>
    <row r="55" ht="12.75" customHeight="1">
      <c r="A55" s="183" t="s">
        <v>185</v>
      </c>
      <c r="B55" s="184" t="str">
        <f>IF(S54="Accessory Only","",IF(S54="Boring But Big",'Start-Options'!$B$4,T68))</f>
        <v>Military</v>
      </c>
      <c r="C55" s="27">
        <f>IF(S54="Accessory Only","",IF(S54="Boring But Big",IF(U58="","",MROUND(T58*U58,'Start-Options'!$B$38)),IF(T64=531,MROUND(U68*0.5,'Start-Options'!$B$38),MROUND(U68*0.6,'Start-Options'!$B$38))))</f>
        <v>32.5</v>
      </c>
      <c r="D55" s="27"/>
      <c r="E55" s="78">
        <f>IF(S54="Accessory Only","",IF(S54="Boring But Big",10,IF(T64=531,10,8)))</f>
        <v>10</v>
      </c>
      <c r="F55" s="220" t="s">
        <v>186</v>
      </c>
      <c r="G55" s="232">
        <v>42865.0</v>
      </c>
      <c r="H55" s="200">
        <v>50.0</v>
      </c>
      <c r="I55" s="190"/>
      <c r="J55" s="183" t="s">
        <v>185</v>
      </c>
      <c r="K55" s="184" t="str">
        <f>IF(S54="Accessory Only","",IF(S54="Boring But Big",'Start-Options'!$B$4,T68))</f>
        <v>Military</v>
      </c>
      <c r="L55" s="27">
        <f>IF(S54="Accessory Only","",IF(S54="Boring But Big",IF(V58="","",MROUND(T58*V58,'Start-Options'!$B$38)),IF(T64=531,MROUND(U68*0.6,'Start-Options'!$B$38),MROUND(U68*0.5,'Start-Options'!$B$38))))</f>
        <v>32.5</v>
      </c>
      <c r="M55" s="27"/>
      <c r="N55" s="78">
        <f>IF(S54="Accessory Only","",IF(S54="Boring But Big",10,IF(T64=531,8,10)))</f>
        <v>10</v>
      </c>
      <c r="O55" s="185" t="s">
        <v>193</v>
      </c>
      <c r="P55" s="232">
        <v>42865.0</v>
      </c>
      <c r="Q55" s="200">
        <v>70.0</v>
      </c>
      <c r="R55" s="27"/>
      <c r="S55" s="27"/>
      <c r="T55" s="27"/>
      <c r="U55" s="27"/>
      <c r="V55" s="27"/>
      <c r="W55" s="27"/>
      <c r="X55" s="27"/>
      <c r="Y55" s="27"/>
      <c r="Z55" s="27"/>
      <c r="AA55" s="27"/>
    </row>
    <row r="56" ht="12.75" customHeight="1">
      <c r="A56" s="188"/>
      <c r="B56" s="189"/>
      <c r="C56" s="190">
        <f>IF(S54="Accessory Only","",IF(S54="Boring But Big",IF(U58="","",MROUND(T58*U58,'Start-Options'!$B$38)),IF(T64=531,MROUND(U68*0.6,'Start-Options'!$B$38),MROUND(U68*0.7,'Start-Options'!$B$38))))</f>
        <v>32.5</v>
      </c>
      <c r="D56" s="27"/>
      <c r="E56" s="78">
        <f>IF(S54="Accessory Only","",IF(S54="Boring But Big",10,IF(T64=531,10,8)))</f>
        <v>10</v>
      </c>
      <c r="F56" s="220" t="s">
        <v>218</v>
      </c>
      <c r="G56" s="219" t="s">
        <v>219</v>
      </c>
      <c r="H56" s="191" t="s">
        <v>220</v>
      </c>
      <c r="I56" s="27"/>
      <c r="J56" s="188"/>
      <c r="K56" s="189"/>
      <c r="L56" s="190">
        <f>IF(S54="Accessory Only","",IF(S54="Boring But Big",IF(V58="","",MROUND(T58*V58,'Start-Options'!$B$38)),IF(T64=531,MROUND(U68*0.7,'Start-Options'!$B$38),MROUND(U68*0.6,'Start-Options'!$B$38))))</f>
        <v>32.5</v>
      </c>
      <c r="M56" s="27"/>
      <c r="N56" s="78">
        <f>IF(S54="Accessory Only","",IF(S54="Boring But Big",10,IF(T64=531,8,10)))</f>
        <v>10</v>
      </c>
      <c r="O56" s="220" t="s">
        <v>218</v>
      </c>
      <c r="P56" s="219" t="s">
        <v>219</v>
      </c>
      <c r="Q56" s="191"/>
      <c r="R56" s="27"/>
      <c r="S56" s="70" t="s">
        <v>184</v>
      </c>
      <c r="T56" s="175"/>
      <c r="U56" s="175"/>
      <c r="V56" s="175"/>
      <c r="W56" s="175"/>
      <c r="X56" s="71"/>
      <c r="Y56" s="27"/>
      <c r="Z56" s="27"/>
      <c r="AA56" s="27"/>
    </row>
    <row r="57" ht="12.75" customHeight="1">
      <c r="A57" s="188"/>
      <c r="B57" s="189"/>
      <c r="C57" s="190">
        <f>IF(S54="Accessory Only","",IF(S54="Boring But Big",IF(U58="","",MROUND(T58*U58,'Start-Options'!$B$38)),IF(T64=531,MROUND(U68*0.7,'Start-Options'!$B$38),MROUND(U68*0.8,'Start-Options'!$B$38))))</f>
        <v>32.5</v>
      </c>
      <c r="D57" s="27"/>
      <c r="E57" s="78">
        <f>IF(S54="Accessory Only","",IF(S54="Boring But Big",10,IF(T64=531,10,6)))</f>
        <v>10</v>
      </c>
      <c r="F57" s="219"/>
      <c r="G57" s="219"/>
      <c r="H57" s="191"/>
      <c r="I57" s="27"/>
      <c r="J57" s="188"/>
      <c r="K57" s="189"/>
      <c r="L57" s="190">
        <f>IF(S54="Accessory Only","",IF(S54="Boring But Big",IF(V58="","",MROUND(T58*V58,'Start-Options'!$B$38)),IF(T64=531,MROUND(U68*0.8,'Start-Options'!$B$38),MROUND(U68*0.7,'Start-Options'!$B$38))))</f>
        <v>32.5</v>
      </c>
      <c r="M57" s="27"/>
      <c r="N57" s="78">
        <f>IF(S54="Accessory Only","",IF(S54="Boring But Big",10,IF(T64=531,6,10)))</f>
        <v>10</v>
      </c>
      <c r="O57" s="219"/>
      <c r="P57" s="219"/>
      <c r="Q57" s="191"/>
      <c r="R57" s="27"/>
      <c r="S57" s="25" t="s">
        <v>187</v>
      </c>
      <c r="T57" s="25" t="s">
        <v>28</v>
      </c>
      <c r="U57" s="25" t="s">
        <v>188</v>
      </c>
      <c r="V57" s="25" t="s">
        <v>189</v>
      </c>
      <c r="W57" s="192" t="s">
        <v>190</v>
      </c>
      <c r="X57" s="192" t="s">
        <v>191</v>
      </c>
      <c r="Y57" s="27"/>
      <c r="Z57" s="27"/>
      <c r="AA57" s="27"/>
    </row>
    <row r="58" ht="12.75" customHeight="1">
      <c r="A58" s="188"/>
      <c r="B58" s="189"/>
      <c r="C58" s="27">
        <f>IF(S54="Boring But Big",IF(U58="","",MROUND(T58*U58,'Start-Options'!$B$38)),"")</f>
        <v>32.5</v>
      </c>
      <c r="D58" s="27"/>
      <c r="E58" s="78">
        <f>IF(S54="Boring But Big",10,"")</f>
        <v>10</v>
      </c>
      <c r="F58" s="219"/>
      <c r="G58" s="219"/>
      <c r="H58" s="191"/>
      <c r="I58" s="27"/>
      <c r="J58" s="188"/>
      <c r="K58" s="189"/>
      <c r="L58" s="27">
        <f>IF(S54="Boring But Big",IF(V58="","",MROUND(T58*V58,'Start-Options'!$B$38)),"")</f>
        <v>32.5</v>
      </c>
      <c r="M58" s="27"/>
      <c r="N58" s="78">
        <f>IF(S54="Boring But Big",10,"")</f>
        <v>10</v>
      </c>
      <c r="O58" s="219"/>
      <c r="P58" s="219"/>
      <c r="Q58" s="191"/>
      <c r="R58" s="27"/>
      <c r="S58" s="25" t="s">
        <v>30</v>
      </c>
      <c r="T58" s="25">
        <f>'531'!Z29</f>
        <v>52.5</v>
      </c>
      <c r="U58" s="193">
        <v>0.6</v>
      </c>
      <c r="V58" s="193">
        <v>0.6</v>
      </c>
      <c r="W58" s="193">
        <v>0.6</v>
      </c>
      <c r="X58" s="193">
        <v>0.6</v>
      </c>
      <c r="Y58" s="27"/>
      <c r="Z58" s="27"/>
      <c r="AA58" s="27"/>
    </row>
    <row r="59" ht="12.75" customHeight="1">
      <c r="A59" s="194"/>
      <c r="B59" s="195"/>
      <c r="C59" s="27">
        <f>IF(S54="Boring But Big",IF(U58="","",MROUND(T58*U58,'Start-Options'!$B$38)),"")</f>
        <v>32.5</v>
      </c>
      <c r="D59" s="27"/>
      <c r="E59" s="78">
        <f>IF(S54="Boring But Big",10,"")</f>
        <v>10</v>
      </c>
      <c r="F59" s="154"/>
      <c r="G59" s="154"/>
      <c r="H59" s="155"/>
      <c r="I59" s="27"/>
      <c r="J59" s="194"/>
      <c r="K59" s="195"/>
      <c r="L59" s="27">
        <f>IF(S54="Boring But Big",IF(V58="","",MROUND(T58*V58,'Start-Options'!$B$38)),"")</f>
        <v>32.5</v>
      </c>
      <c r="M59" s="27"/>
      <c r="N59" s="78">
        <f>IF(S54="Boring But Big",10,"")</f>
        <v>10</v>
      </c>
      <c r="O59" s="154"/>
      <c r="P59" s="154"/>
      <c r="Q59" s="155"/>
      <c r="R59" s="27"/>
      <c r="S59" s="25" t="s">
        <v>31</v>
      </c>
      <c r="T59" s="25">
        <f>'531'!Z30</f>
        <v>115</v>
      </c>
      <c r="U59" s="193">
        <v>0.6</v>
      </c>
      <c r="V59" s="193">
        <v>0.6</v>
      </c>
      <c r="W59" s="193">
        <v>0.6</v>
      </c>
      <c r="X59" s="193">
        <v>0.6</v>
      </c>
      <c r="Y59" s="27"/>
      <c r="Z59" s="27"/>
      <c r="AA59" s="27"/>
    </row>
    <row r="60" ht="12.75" customHeight="1">
      <c r="A60" s="196" t="s">
        <v>192</v>
      </c>
      <c r="B60" s="197" t="str">
        <f>IF(S54="Accessory Only","",IF(S54="Boring But Big",'Start-Options'!$B$5,T69))</f>
        <v>Deadlift</v>
      </c>
      <c r="C60" s="198">
        <f>IF(S54="Accessory Only","",IF(S54="Boring But Big",IF(U59="","",MROUND(T59*U59,'Start-Options'!$B$38)),IF(T64=531,MROUND(U69*0.5,'Start-Options'!$B$38),MROUND(U69*0.6,'Start-Options'!$B$38))))</f>
        <v>70</v>
      </c>
      <c r="D60" s="198"/>
      <c r="E60" s="199">
        <f>IF(S54="Accessory Only","",IF(S54="Boring But Big",10,IF(T64=531,10,8)))</f>
        <v>10</v>
      </c>
      <c r="F60" s="185" t="s">
        <v>193</v>
      </c>
      <c r="G60" s="232">
        <v>42865.0</v>
      </c>
      <c r="H60" s="200">
        <v>65.0</v>
      </c>
      <c r="I60" s="27"/>
      <c r="J60" s="196" t="s">
        <v>192</v>
      </c>
      <c r="K60" s="197" t="str">
        <f>IF(S54="Accessory Only","",IF(S54="Boring But Big",'Start-Options'!$B$5,T69))</f>
        <v>Deadlift</v>
      </c>
      <c r="L60" s="198">
        <f>IF(S54="Accessory Only","",IF(S54="Boring But Big",IF(V59="","",MROUND(T59*V59,'Start-Options'!$B$38)),IF(T64=531,MROUND(U69*0.6,'Start-Options'!$B$38),MROUND(U69*0.5,'Start-Options'!$B$38))))</f>
        <v>70</v>
      </c>
      <c r="M60" s="198"/>
      <c r="N60" s="199">
        <f>IF(S54="Accessory Only","",IF(S54="Boring But Big",10,IF(T64=531,8,10)))</f>
        <v>10</v>
      </c>
      <c r="O60" s="220" t="s">
        <v>186</v>
      </c>
      <c r="P60" s="232">
        <v>42865.0</v>
      </c>
      <c r="Q60" s="200">
        <v>50.0</v>
      </c>
      <c r="R60" s="27"/>
      <c r="S60" s="25" t="s">
        <v>32</v>
      </c>
      <c r="T60" s="25">
        <f>'531'!Z31</f>
        <v>72.5</v>
      </c>
      <c r="U60" s="193">
        <v>0.6</v>
      </c>
      <c r="V60" s="193">
        <v>0.6</v>
      </c>
      <c r="W60" s="193">
        <v>0.6</v>
      </c>
      <c r="X60" s="193">
        <v>0.6</v>
      </c>
      <c r="Y60" s="27"/>
      <c r="Z60" s="27"/>
      <c r="AA60" s="27"/>
    </row>
    <row r="61" ht="12.75" customHeight="1">
      <c r="A61" s="188"/>
      <c r="B61" s="189"/>
      <c r="C61" s="190">
        <f>IF(S54="Accessory Only","",IF(S54="Boring But Big",IF(U59="","",MROUND(T59*U59,'Start-Options'!$B$38)),IF(T64=531,MROUND(U69*0.6,'Start-Options'!$B$38),MROUND(U69*0.7,'Start-Options'!$B$38))))</f>
        <v>70</v>
      </c>
      <c r="D61" s="27"/>
      <c r="E61" s="78">
        <f>IF(S54="Accessory Only","",IF(S54="Boring But Big",10,IF(T64=531,10,8)))</f>
        <v>10</v>
      </c>
      <c r="F61" s="220" t="s">
        <v>218</v>
      </c>
      <c r="G61" s="219" t="s">
        <v>219</v>
      </c>
      <c r="H61" s="191" t="s">
        <v>221</v>
      </c>
      <c r="I61" s="27"/>
      <c r="J61" s="188"/>
      <c r="K61" s="189"/>
      <c r="L61" s="190">
        <f>IF(S54="Accessory Only","",IF(S54="Boring But Big",IF(V59="","",MROUND(T59*V59,'Start-Options'!$B$38)),IF(T64=531,MROUND(U69*0.7,'Start-Options'!$B$38),MROUND(U69*0.6,'Start-Options'!$B$38))))</f>
        <v>70</v>
      </c>
      <c r="M61" s="27"/>
      <c r="N61" s="78">
        <f>IF(S54="Accessory Only","",IF(S54="Boring But Big",10,IF(T64=531,8,10)))</f>
        <v>10</v>
      </c>
      <c r="O61" s="220" t="s">
        <v>218</v>
      </c>
      <c r="P61" s="219" t="s">
        <v>219</v>
      </c>
      <c r="Q61" s="191"/>
      <c r="R61" s="27"/>
      <c r="S61" s="25" t="s">
        <v>194</v>
      </c>
      <c r="T61" s="25">
        <f>'531'!Z32</f>
        <v>85</v>
      </c>
      <c r="U61" s="193">
        <v>0.6</v>
      </c>
      <c r="V61" s="193">
        <v>0.6</v>
      </c>
      <c r="W61" s="193">
        <v>0.6</v>
      </c>
      <c r="X61" s="193">
        <v>0.6</v>
      </c>
      <c r="Y61" s="27"/>
      <c r="Z61" s="27"/>
      <c r="AA61" s="27"/>
    </row>
    <row r="62" ht="12.75" customHeight="1">
      <c r="A62" s="188"/>
      <c r="B62" s="189"/>
      <c r="C62" s="190">
        <f>IF(S54="Accessory Only","",IF(S54="Boring But Big",IF(U59="","",MROUND(T59*U59,'Start-Options'!$B$38)),IF(T64=531,MROUND(U69*0.7,'Start-Options'!$B$38),MROUND(U69*0.8,'Start-Options'!$B$38))))</f>
        <v>70</v>
      </c>
      <c r="D62" s="27"/>
      <c r="E62" s="78">
        <f>IF(S54="Accessory Only","",IF(S54="Boring But Big",10,IF(T64=531,10,6)))</f>
        <v>10</v>
      </c>
      <c r="F62" s="219"/>
      <c r="G62" s="219"/>
      <c r="H62" s="191"/>
      <c r="I62" s="27"/>
      <c r="J62" s="188"/>
      <c r="K62" s="189"/>
      <c r="L62" s="190">
        <f>IF(S54="Accessory Only","",IF(S54="Boring But Big",IF(V59="","",MROUND(T59*V59,'Start-Options'!$B$38)),IF(T64=531,MROUND(U69*0.8,'Start-Options'!$B$38),MROUND(U69*0.7,'Start-Options'!$B$38))))</f>
        <v>70</v>
      </c>
      <c r="M62" s="27"/>
      <c r="N62" s="78">
        <f>IF(S54="Accessory Only","",IF(S54="Boring But Big",10,IF(T64=531,6,10)))</f>
        <v>10</v>
      </c>
      <c r="O62" s="219"/>
      <c r="P62" s="219"/>
      <c r="Q62" s="191"/>
      <c r="R62" s="27"/>
      <c r="S62" s="27"/>
      <c r="T62" s="27"/>
      <c r="U62" s="27"/>
      <c r="V62" s="27"/>
      <c r="W62" s="27"/>
      <c r="X62" s="27"/>
      <c r="Y62" s="27"/>
      <c r="Z62" s="27"/>
      <c r="AA62" s="27"/>
    </row>
    <row r="63" ht="12.75" customHeight="1">
      <c r="A63" s="188"/>
      <c r="B63" s="189"/>
      <c r="C63" s="27">
        <f>IF(S54="Boring But Big",IF(U59="","",MROUND(T59*U59,'Start-Options'!$B$38)),"")</f>
        <v>70</v>
      </c>
      <c r="D63" s="27"/>
      <c r="E63" s="78">
        <f>IF(S54="Boring But Big",10,"")</f>
        <v>10</v>
      </c>
      <c r="F63" s="219"/>
      <c r="G63" s="219"/>
      <c r="H63" s="191"/>
      <c r="I63" s="27"/>
      <c r="J63" s="188"/>
      <c r="K63" s="189"/>
      <c r="L63" s="27">
        <f>IF(S54="Boring But Big",IF(V59="","",MROUND(T59*V59,'Start-Options'!$B$38)),"")</f>
        <v>70</v>
      </c>
      <c r="M63" s="27"/>
      <c r="N63" s="78">
        <f>IF(S54="Boring But Big",10,"")</f>
        <v>10</v>
      </c>
      <c r="O63" s="219"/>
      <c r="P63" s="219"/>
      <c r="Q63" s="191"/>
      <c r="R63" s="27"/>
      <c r="S63" s="70" t="s">
        <v>204</v>
      </c>
      <c r="T63" s="71"/>
      <c r="U63" s="27"/>
      <c r="V63" s="27"/>
      <c r="W63" s="27"/>
      <c r="X63" s="27"/>
      <c r="Y63" s="27"/>
      <c r="Z63" s="27"/>
      <c r="AA63" s="27"/>
    </row>
    <row r="64" ht="12.75" customHeight="1">
      <c r="A64" s="188"/>
      <c r="B64" s="195"/>
      <c r="C64" s="27">
        <f>IF(S54="Boring But Big",IF(U59="","",MROUND(T59*U59,'Start-Options'!$B$38)),"")</f>
        <v>70</v>
      </c>
      <c r="D64" s="27"/>
      <c r="E64" s="78">
        <f>IF(S54="Boring But Big",10,"")</f>
        <v>10</v>
      </c>
      <c r="F64" s="154"/>
      <c r="G64" s="154"/>
      <c r="H64" s="155"/>
      <c r="I64" s="27"/>
      <c r="J64" s="188"/>
      <c r="K64" s="195"/>
      <c r="L64" s="27">
        <f>IF(S54="Boring But Big",IF(V59="","",MROUND(T59*V59,'Start-Options'!$B$38)),"")</f>
        <v>70</v>
      </c>
      <c r="M64" s="27"/>
      <c r="N64" s="78">
        <f>IF(S54="Boring But Big",10,"")</f>
        <v>10</v>
      </c>
      <c r="O64" s="154"/>
      <c r="P64" s="154"/>
      <c r="Q64" s="155"/>
      <c r="R64" s="27"/>
      <c r="S64" s="25" t="s">
        <v>205</v>
      </c>
      <c r="T64" s="28">
        <v>531.0</v>
      </c>
      <c r="U64" s="27"/>
      <c r="V64" s="27"/>
      <c r="W64" s="27"/>
      <c r="X64" s="27"/>
      <c r="Y64" s="27"/>
      <c r="Z64" s="27"/>
      <c r="AA64" s="27"/>
    </row>
    <row r="65" ht="12.75" customHeight="1">
      <c r="A65" s="196" t="s">
        <v>200</v>
      </c>
      <c r="B65" s="197" t="str">
        <f>IF(S54="Accessory Only","",IF(S54="Boring But Big",'Start-Options'!$B$6,T70))</f>
        <v>Bench</v>
      </c>
      <c r="C65" s="198">
        <f>IF(S54="Accessory Only","",IF(S54="Boring But Big",IF(U60="","",MROUND(T60*U60,'Start-Options'!$B$38)),IF(T64=531,MROUND(U70*0.5,'Start-Options'!$B$38),MROUND(U70*0.6,'Start-Options'!$B$38))))</f>
        <v>42.5</v>
      </c>
      <c r="D65" s="198"/>
      <c r="E65" s="199">
        <f>IF(S54="Accessory Only","",IF(S54="Boring But Big",10,IF(T64=531,10,8)))</f>
        <v>10</v>
      </c>
      <c r="F65" s="220" t="s">
        <v>186</v>
      </c>
      <c r="G65" s="232">
        <v>42865.0</v>
      </c>
      <c r="H65" s="200">
        <v>45.0</v>
      </c>
      <c r="I65" s="27"/>
      <c r="J65" s="196" t="s">
        <v>200</v>
      </c>
      <c r="K65" s="197" t="str">
        <f>IF(S54="Accessory Only","",IF(S54="Boring But Big",'Start-Options'!$B$6,T70))</f>
        <v>Bench</v>
      </c>
      <c r="L65" s="198">
        <f>IF(S54="Accessory Only","",IF(S54="Boring But Big",IF(V60="","",MROUND(T60*V60,'Start-Options'!$B$38)),IF(T64=531,MROUND(U70*0.6,'Start-Options'!$B$38),MROUND(U70*0.5,'Start-Options'!$B$38))))</f>
        <v>42.5</v>
      </c>
      <c r="M65" s="198"/>
      <c r="N65" s="199">
        <f>IF(S54="Accessory Only","",IF(S54="Boring But Big",10,IF(T64=531,8,10)))</f>
        <v>10</v>
      </c>
      <c r="O65" s="185" t="s">
        <v>193</v>
      </c>
      <c r="P65" s="232">
        <v>42865.0</v>
      </c>
      <c r="Q65" s="200">
        <v>70.0</v>
      </c>
      <c r="R65" s="27"/>
      <c r="S65" s="27"/>
      <c r="T65" s="27"/>
      <c r="U65" s="27"/>
      <c r="V65" s="27"/>
      <c r="W65" s="27"/>
      <c r="X65" s="27"/>
      <c r="Y65" s="27"/>
      <c r="Z65" s="27"/>
      <c r="AA65" s="27"/>
    </row>
    <row r="66" ht="12.75" customHeight="1">
      <c r="A66" s="188"/>
      <c r="B66" s="189"/>
      <c r="C66" s="190">
        <f>IF(S54="Accessory Only","",IF(S54="Boring But Big",IF(U60="","",MROUND(T60*U60,'Start-Options'!$B$38)),IF(T64=531,MROUND(U70*0.6,'Start-Options'!$B$38),MROUND(U70*0.7,'Start-Options'!$B$38))))</f>
        <v>42.5</v>
      </c>
      <c r="D66" s="27"/>
      <c r="E66" s="78">
        <f>IF(S54="Accessory Only","",IF(S54="Boring But Big",10,IF(T64=531,10,8)))</f>
        <v>10</v>
      </c>
      <c r="F66" s="220" t="s">
        <v>218</v>
      </c>
      <c r="G66" s="219" t="s">
        <v>219</v>
      </c>
      <c r="H66" s="191" t="s">
        <v>222</v>
      </c>
      <c r="I66" s="27"/>
      <c r="J66" s="188"/>
      <c r="K66" s="189"/>
      <c r="L66" s="190">
        <f>IF(S54="Accessory Only","",IF(S54="Boring But Big",IF(V60="","",MROUND(T60*V60,'Start-Options'!$B$38)),IF(T64=531,MROUND(U70*0.7,'Start-Options'!$B$38),MROUND(U70*0.6,'Start-Options'!$B$38))))</f>
        <v>42.5</v>
      </c>
      <c r="M66" s="27"/>
      <c r="N66" s="78">
        <f>IF(S54="Accessory Only","",IF(S54="Boring But Big",10,IF(T64=531,8,10)))</f>
        <v>10</v>
      </c>
      <c r="O66" s="220" t="s">
        <v>218</v>
      </c>
      <c r="P66" s="219" t="s">
        <v>219</v>
      </c>
      <c r="Q66" s="191" t="s">
        <v>223</v>
      </c>
      <c r="R66" s="27"/>
      <c r="S66" s="70" t="s">
        <v>204</v>
      </c>
      <c r="T66" s="175"/>
      <c r="U66" s="71"/>
      <c r="V66" s="27"/>
      <c r="W66" s="27"/>
      <c r="X66" s="27"/>
      <c r="Y66" s="27"/>
      <c r="Z66" s="27"/>
      <c r="AA66" s="27"/>
    </row>
    <row r="67" ht="12.75" customHeight="1">
      <c r="A67" s="188"/>
      <c r="B67" s="189"/>
      <c r="C67" s="190">
        <f>IF(S54="Accessory Only","",IF(S54="Boring But Big",IF(U60="","",MROUND(T60*U60,'Start-Options'!$B$38)),IF(T64=531,MROUND(U70*0.7,'Start-Options'!$B$38),MROUND(U70*0.8,'Start-Options'!$B$38))))</f>
        <v>42.5</v>
      </c>
      <c r="D67" s="27"/>
      <c r="E67" s="78">
        <f>IF(S54="Accessory Only","",IF(S54="Boring But Big",10,IF(T64=531,10,6)))</f>
        <v>10</v>
      </c>
      <c r="F67" s="220"/>
      <c r="G67" s="219"/>
      <c r="H67" s="191"/>
      <c r="I67" s="27"/>
      <c r="J67" s="188"/>
      <c r="K67" s="189"/>
      <c r="L67" s="190">
        <f>IF(S54="Accessory Only","",IF(S54="Boring But Big",IF(V60="","",MROUND(T60*V60,'Start-Options'!$B$38)),IF(T64=531,MROUND(U70*0.8,'Start-Options'!$B$38),MROUND(U70*0.7,'Start-Options'!$B$38))))</f>
        <v>42.5</v>
      </c>
      <c r="M67" s="27"/>
      <c r="N67" s="78">
        <f>IF(S54="Accessory Only","",IF(S54="Boring But Big",10,IF(T64=531,6,10)))</f>
        <v>10</v>
      </c>
      <c r="O67" s="219"/>
      <c r="P67" s="219"/>
      <c r="Q67" s="191"/>
      <c r="R67" s="27"/>
      <c r="S67" s="25"/>
      <c r="T67" s="223" t="s">
        <v>182</v>
      </c>
      <c r="U67" s="223" t="s">
        <v>28</v>
      </c>
      <c r="V67" s="7"/>
      <c r="W67" s="27" t="s">
        <v>206</v>
      </c>
      <c r="X67" s="27"/>
      <c r="Y67" s="27"/>
      <c r="Z67" s="27"/>
      <c r="AA67" s="27"/>
    </row>
    <row r="68" ht="12.75" customHeight="1">
      <c r="A68" s="188"/>
      <c r="B68" s="189"/>
      <c r="C68" s="27">
        <f>IF(S54="Boring But Big",IF(U60="","",MROUND(T60*U60,'Start-Options'!$B$38)),"")</f>
        <v>42.5</v>
      </c>
      <c r="D68" s="27"/>
      <c r="E68" s="27">
        <f>IF(S54="Boring But Big",10,"")</f>
        <v>10</v>
      </c>
      <c r="F68" s="220"/>
      <c r="G68" s="219"/>
      <c r="H68" s="207"/>
      <c r="I68" s="190"/>
      <c r="J68" s="188"/>
      <c r="K68" s="189"/>
      <c r="L68" s="27">
        <f>IF(S54="Boring But Big",IF(V60="","",MROUND(T60*V60,'Start-Options'!$B$38)),"")</f>
        <v>42.5</v>
      </c>
      <c r="M68" s="27"/>
      <c r="N68" s="78">
        <f>IF(S54="Boring But Big",10,"")</f>
        <v>10</v>
      </c>
      <c r="O68" s="219"/>
      <c r="P68" s="219"/>
      <c r="Q68" s="191"/>
      <c r="R68" s="27"/>
      <c r="S68" s="77" t="s">
        <v>36</v>
      </c>
      <c r="T68" s="147" t="s">
        <v>208</v>
      </c>
      <c r="U68" s="147">
        <v>100.0</v>
      </c>
      <c r="V68" s="27"/>
      <c r="W68" s="27" t="s">
        <v>207</v>
      </c>
      <c r="X68" s="27"/>
      <c r="Y68" s="27"/>
      <c r="Z68" s="27"/>
      <c r="AA68" s="27"/>
    </row>
    <row r="69" ht="12.75" customHeight="1">
      <c r="A69" s="194"/>
      <c r="B69" s="195"/>
      <c r="C69" s="27">
        <f>IF(S54="Boring But Big",IF(U60="","",MROUND(T60*U60,'Start-Options'!$B$38)),"")</f>
        <v>42.5</v>
      </c>
      <c r="D69" s="27"/>
      <c r="E69" s="78">
        <f>IF(S54="Boring But Big",10,"")</f>
        <v>10</v>
      </c>
      <c r="F69" s="220"/>
      <c r="G69" s="154"/>
      <c r="H69" s="155"/>
      <c r="I69" s="27"/>
      <c r="J69" s="194"/>
      <c r="K69" s="195"/>
      <c r="L69" s="27">
        <f>IF(S54="Boring But Big",IF(V60="","",MROUND(T60*V60,'Start-Options'!$B$38)),"")</f>
        <v>42.5</v>
      </c>
      <c r="M69" s="27"/>
      <c r="N69" s="78">
        <f>IF(S54="Boring But Big",10,"")</f>
        <v>10</v>
      </c>
      <c r="O69" s="154"/>
      <c r="P69" s="154"/>
      <c r="Q69" s="155"/>
      <c r="R69" s="27"/>
      <c r="S69" s="25" t="s">
        <v>44</v>
      </c>
      <c r="T69" s="162" t="s">
        <v>210</v>
      </c>
      <c r="U69" s="162">
        <v>100.0</v>
      </c>
      <c r="V69" s="27"/>
      <c r="W69" s="27" t="s">
        <v>209</v>
      </c>
      <c r="X69" s="27"/>
      <c r="Y69" s="27"/>
      <c r="Z69" s="27"/>
      <c r="AA69" s="27"/>
    </row>
    <row r="70" ht="12.75" customHeight="1">
      <c r="A70" s="196" t="s">
        <v>201</v>
      </c>
      <c r="B70" s="197" t="str">
        <f>IF(S54="Accessory Only","",IF(S54="Boring But Big",'Start-Options'!$B$7,T71))</f>
        <v>Squat</v>
      </c>
      <c r="C70" s="198">
        <f>IF(S54="Accessory Only","",IF(S54="Boring But Big",IF(U61="","",MROUND(T61*U61,'Start-Options'!$B$38)),IF(T64=531,MROUND(U71*0.5,'Start-Options'!$B$38),MROUND(U71*0.6,'Start-Options'!$B$38))))</f>
        <v>50</v>
      </c>
      <c r="D70" s="198"/>
      <c r="E70" s="199">
        <f>IF(S54="Accessory Only","",IF(S54="Boring But Big",10,IF(T64=531,10,8)))</f>
        <v>10</v>
      </c>
      <c r="F70" s="185" t="s">
        <v>193</v>
      </c>
      <c r="G70" s="232">
        <v>42865.0</v>
      </c>
      <c r="H70" s="200">
        <v>60.0</v>
      </c>
      <c r="I70" s="27"/>
      <c r="J70" s="196" t="s">
        <v>201</v>
      </c>
      <c r="K70" s="197" t="str">
        <f>IF(S54="Accessory Only","",IF(S54="Boring But Big",'Start-Options'!$B$7,T71))</f>
        <v>Squat</v>
      </c>
      <c r="L70" s="198">
        <f>IF(S54="Accessory Only","",IF(S54="Boring But Big",IF(V61="","",MROUND(T61*V61,'Start-Options'!$B$38)),IF(T64=531,MROUND(U71*0.6,'Start-Options'!$B$38),MROUND(U71*0.5,'Start-Options'!$B$38))))</f>
        <v>50</v>
      </c>
      <c r="M70" s="198"/>
      <c r="N70" s="199">
        <f>IF(S54="Accessory Only","",IF(S54="Boring But Big",10,IF(T64=531,8,10)))</f>
        <v>10</v>
      </c>
      <c r="O70" s="220" t="s">
        <v>186</v>
      </c>
      <c r="P70" s="232">
        <v>42865.0</v>
      </c>
      <c r="Q70" s="200">
        <v>50.0</v>
      </c>
      <c r="R70" s="27"/>
      <c r="S70" s="25" t="s">
        <v>48</v>
      </c>
      <c r="T70" s="162" t="s">
        <v>212</v>
      </c>
      <c r="U70" s="162">
        <v>100.0</v>
      </c>
      <c r="V70" s="18"/>
      <c r="W70" s="27" t="s">
        <v>211</v>
      </c>
      <c r="X70" s="27"/>
      <c r="Y70" s="27"/>
      <c r="Z70" s="27"/>
      <c r="AA70" s="27"/>
    </row>
    <row r="71" ht="12.75" customHeight="1">
      <c r="A71" s="188"/>
      <c r="B71" s="189"/>
      <c r="C71" s="190">
        <f>IF(S54="Accessory Only","",IF(S54="Boring But Big",IF(U61="","",MROUND(T61*U61,'Start-Options'!$B$38)),IF(T64=531,MROUND(U71*0.6,'Start-Options'!$B$38),MROUND(U71*0.7,'Start-Options'!$B$38))))</f>
        <v>50</v>
      </c>
      <c r="D71" s="27"/>
      <c r="E71" s="78">
        <f>IF(S54="Accessory Only","",IF(S54="Boring But Big",10,IF(T64=531,10,8)))</f>
        <v>10</v>
      </c>
      <c r="F71" s="220" t="s">
        <v>218</v>
      </c>
      <c r="G71" s="219" t="s">
        <v>219</v>
      </c>
      <c r="H71" s="191" t="s">
        <v>222</v>
      </c>
      <c r="I71" s="27"/>
      <c r="J71" s="188"/>
      <c r="K71" s="189"/>
      <c r="L71" s="190">
        <f>IF(S54="Accessory Only","",IF(S54="Boring But Big",IF(V61="","",MROUND(T61*V61,'Start-Options'!$B$38)),IF(T64=531,MROUND(U71*0.7,'Start-Options'!$B$38),MROUND(U71*0.6,'Start-Options'!$B$38))))</f>
        <v>50</v>
      </c>
      <c r="M71" s="27"/>
      <c r="N71" s="78">
        <f>IF(S54="Accessory Only","",IF(S54="Boring But Big",10,IF(T64=531,8,10)))</f>
        <v>10</v>
      </c>
      <c r="O71" s="220" t="s">
        <v>218</v>
      </c>
      <c r="P71" s="219" t="s">
        <v>219</v>
      </c>
      <c r="Q71" s="191" t="s">
        <v>223</v>
      </c>
      <c r="R71" s="27"/>
      <c r="S71" s="82" t="s">
        <v>53</v>
      </c>
      <c r="T71" s="155" t="s">
        <v>224</v>
      </c>
      <c r="U71" s="155">
        <v>100.0</v>
      </c>
      <c r="V71" s="27"/>
      <c r="W71" s="27"/>
      <c r="X71" s="27"/>
      <c r="Y71" s="27"/>
      <c r="Z71" s="27"/>
      <c r="AA71" s="27"/>
    </row>
    <row r="72" ht="12.75" customHeight="1">
      <c r="A72" s="188"/>
      <c r="B72" s="189"/>
      <c r="C72" s="190">
        <f>IF(S54="Accessory Only","",IF(S54="Boring But Big",IF(U61="","",MROUND(T61*U61,'Start-Options'!$B$38)),IF(T64=531,MROUND(U71*0.7,'Start-Options'!$B$38),MROUND(U71*0.8,'Start-Options'!$B$38))))</f>
        <v>50</v>
      </c>
      <c r="D72" s="27"/>
      <c r="E72" s="78">
        <f>IF(S54="Accessory Only","",IF(S54="Boring But Big",10,IF(T64=531,10,6)))</f>
        <v>10</v>
      </c>
      <c r="F72" s="219"/>
      <c r="G72" s="219"/>
      <c r="H72" s="191"/>
      <c r="I72" s="27"/>
      <c r="J72" s="188"/>
      <c r="K72" s="189"/>
      <c r="L72" s="190">
        <f>IF(S54="Accessory Only","",IF(S54="Boring But Big",IF(V61="","",MROUND(T61*V61,'Start-Options'!$B$38)),IF(T64=531,MROUND(U71*0.8,'Start-Options'!$B$38),MROUND(U71*0.7,'Start-Options'!$B$38))))</f>
        <v>50</v>
      </c>
      <c r="M72" s="27"/>
      <c r="N72" s="78">
        <f>IF(S54="Accessory Only","",IF(S54="Boring But Big",10,IF(T64=531,6,10)))</f>
        <v>10</v>
      </c>
      <c r="O72" s="219"/>
      <c r="P72" s="219"/>
      <c r="Q72" s="191"/>
      <c r="R72" s="27"/>
      <c r="S72" s="27"/>
      <c r="T72" s="27"/>
      <c r="U72" s="27"/>
      <c r="V72" s="27"/>
      <c r="W72" s="27"/>
      <c r="X72" s="27"/>
      <c r="Y72" s="27"/>
      <c r="Z72" s="27"/>
      <c r="AA72" s="27"/>
    </row>
    <row r="73" ht="12.75" customHeight="1">
      <c r="A73" s="188"/>
      <c r="B73" s="189"/>
      <c r="C73" s="27">
        <f>IF(S54="Boring But Big",IF(U61="","",MROUND(T61*U61,'Start-Options'!$B$38)),"")</f>
        <v>50</v>
      </c>
      <c r="D73" s="27"/>
      <c r="E73" s="78">
        <f>IF(S54="Boring But Big",10,"")</f>
        <v>10</v>
      </c>
      <c r="F73" s="219"/>
      <c r="G73" s="219"/>
      <c r="H73" s="191"/>
      <c r="I73" s="27"/>
      <c r="J73" s="188"/>
      <c r="K73" s="189"/>
      <c r="L73" s="27">
        <f>IF(S54="Boring But Big",IF(V61="","",MROUND(T61*V61,'Start-Options'!$B$38)),"")</f>
        <v>50</v>
      </c>
      <c r="M73" s="27"/>
      <c r="N73" s="78">
        <f>IF(S54="Boring But Big",10,"")</f>
        <v>10</v>
      </c>
      <c r="O73" s="219"/>
      <c r="P73" s="219"/>
      <c r="Q73" s="191"/>
      <c r="R73" s="27"/>
      <c r="S73" s="27"/>
      <c r="T73" s="27"/>
      <c r="U73" s="27"/>
      <c r="V73" s="27"/>
      <c r="W73" s="27"/>
      <c r="X73" s="27"/>
      <c r="Y73" s="27"/>
      <c r="Z73" s="27"/>
      <c r="AA73" s="27"/>
    </row>
    <row r="74" ht="12.75" customHeight="1">
      <c r="A74" s="194"/>
      <c r="B74" s="195"/>
      <c r="C74" s="208">
        <f>IF(S54="Boring But Big",IF(U61="","",MROUND(T61*U61,'Start-Options'!$B$38)),"")</f>
        <v>50</v>
      </c>
      <c r="D74" s="49"/>
      <c r="E74" s="83">
        <f>IF(S54="Boring But Big",10,"")</f>
        <v>10</v>
      </c>
      <c r="F74" s="154"/>
      <c r="G74" s="154"/>
      <c r="H74" s="155"/>
      <c r="I74" s="27"/>
      <c r="J74" s="194"/>
      <c r="K74" s="195"/>
      <c r="L74" s="208">
        <f>IF(S54="Boring But Big",IF(V61="","",MROUND(T61*V61,'Start-Options'!$B$38)),"")</f>
        <v>50</v>
      </c>
      <c r="M74" s="49"/>
      <c r="N74" s="83">
        <f>IF(S54="Boring But Big",10,"")</f>
        <v>10</v>
      </c>
      <c r="O74" s="154"/>
      <c r="P74" s="154"/>
      <c r="Q74" s="155"/>
      <c r="R74" s="27"/>
      <c r="S74" s="27"/>
      <c r="T74" s="27"/>
      <c r="U74" s="27"/>
      <c r="V74" s="27"/>
      <c r="W74" s="27"/>
      <c r="X74" s="27"/>
      <c r="Y74" s="27"/>
      <c r="Z74" s="27"/>
      <c r="AA74" s="27"/>
    </row>
    <row r="75" ht="12.75" customHeight="1">
      <c r="A75" s="168"/>
      <c r="B75" s="27"/>
      <c r="C75" s="27"/>
      <c r="D75" s="27"/>
      <c r="E75" s="27"/>
      <c r="F75" s="27"/>
      <c r="G75" s="27"/>
      <c r="H75" s="27"/>
      <c r="I75" s="27"/>
      <c r="J75" s="27"/>
      <c r="K75" s="27"/>
      <c r="L75" s="27"/>
      <c r="M75" s="27"/>
      <c r="N75" s="27"/>
      <c r="O75" s="27"/>
      <c r="P75" s="27"/>
      <c r="Q75" s="209"/>
      <c r="R75" s="27"/>
      <c r="S75" s="27"/>
      <c r="T75" s="27"/>
      <c r="U75" s="27"/>
      <c r="V75" s="27"/>
      <c r="W75" s="27"/>
      <c r="X75" s="27"/>
      <c r="Y75" s="27"/>
      <c r="Z75" s="27"/>
      <c r="AA75" s="27"/>
    </row>
    <row r="76" ht="13.5" customHeight="1">
      <c r="A76" s="210" t="s">
        <v>225</v>
      </c>
      <c r="B76" s="211" t="s">
        <v>177</v>
      </c>
      <c r="C76" s="41"/>
      <c r="D76" s="41"/>
      <c r="E76" s="42"/>
      <c r="F76" s="211" t="s">
        <v>178</v>
      </c>
      <c r="G76" s="41"/>
      <c r="H76" s="42"/>
      <c r="I76" s="27"/>
      <c r="J76" s="212" t="s">
        <v>226</v>
      </c>
      <c r="K76" s="211" t="s">
        <v>177</v>
      </c>
      <c r="L76" s="41"/>
      <c r="M76" s="41"/>
      <c r="N76" s="42"/>
      <c r="O76" s="211" t="s">
        <v>178</v>
      </c>
      <c r="P76" s="41"/>
      <c r="Q76" s="213"/>
      <c r="R76" s="27"/>
      <c r="S76" s="70" t="s">
        <v>93</v>
      </c>
      <c r="T76" s="71"/>
      <c r="U76" s="27"/>
      <c r="V76" s="27"/>
      <c r="W76" s="27"/>
      <c r="X76" s="27"/>
      <c r="Y76" s="27"/>
      <c r="Z76" s="27"/>
      <c r="AA76" s="27"/>
    </row>
    <row r="77" ht="12.75" customHeight="1">
      <c r="A77" s="194"/>
      <c r="B77" s="214" t="s">
        <v>181</v>
      </c>
      <c r="C77" s="215" t="s">
        <v>26</v>
      </c>
      <c r="D77" s="215"/>
      <c r="E77" s="215" t="s">
        <v>27</v>
      </c>
      <c r="F77" s="215" t="s">
        <v>182</v>
      </c>
      <c r="G77" s="216" t="s">
        <v>183</v>
      </c>
      <c r="H77" s="215" t="s">
        <v>26</v>
      </c>
      <c r="I77" s="27"/>
      <c r="J77" s="217"/>
      <c r="K77" s="214" t="s">
        <v>181</v>
      </c>
      <c r="L77" s="215" t="s">
        <v>26</v>
      </c>
      <c r="M77" s="215"/>
      <c r="N77" s="215" t="s">
        <v>27</v>
      </c>
      <c r="O77" s="215" t="s">
        <v>182</v>
      </c>
      <c r="P77" s="216" t="s">
        <v>183</v>
      </c>
      <c r="Q77" s="218" t="s">
        <v>26</v>
      </c>
      <c r="R77" s="27"/>
      <c r="S77" s="25" t="s">
        <v>94</v>
      </c>
      <c r="T77" s="162"/>
      <c r="U77" s="27"/>
      <c r="V77" s="27"/>
      <c r="W77" s="27"/>
      <c r="X77" s="27"/>
      <c r="Y77" s="27"/>
      <c r="Z77" s="27"/>
      <c r="AA77" s="27"/>
    </row>
    <row r="78" ht="12.75" customHeight="1">
      <c r="A78" s="183" t="s">
        <v>185</v>
      </c>
      <c r="B78" s="197" t="str">
        <f>IF(S54="Accessory Only","",IF(S54="Boring But Big",'Start-Options'!$B$4,T68))</f>
        <v>Military</v>
      </c>
      <c r="C78" s="198">
        <f>IF(S54="Accessory Only","",IF(S54="Boring But Big",IF(W58="","",MROUND(T58*W58,'Start-Options'!$B$38)),IF(T64=531,MROUND(U68*0.65,'Start-Options'!$B$38),MROUND(U68*0.65,'Start-Options'!$B$38))))</f>
        <v>32.5</v>
      </c>
      <c r="D78" s="198"/>
      <c r="E78" s="199">
        <f>IF(S54="Accessory Only","",IF(S54="Boring But Big",10,5))</f>
        <v>10</v>
      </c>
      <c r="F78" s="220" t="s">
        <v>186</v>
      </c>
      <c r="G78" s="232">
        <v>42865.0</v>
      </c>
      <c r="H78" s="200"/>
      <c r="I78" s="27"/>
      <c r="J78" s="233" t="s">
        <v>185</v>
      </c>
      <c r="K78" s="197" t="str">
        <f>IF(S54="Accessory Only","",IF(S54="Boring But Big",'Start-Options'!$B$4,T68))</f>
        <v>Military</v>
      </c>
      <c r="L78" s="198">
        <f>IF(S54="Accessory Only","",IF(S54="Boring But Big",IF(X58="","",MROUND(T58*X58,'Start-Options'!$B$38)),MROUND(U68*0.4,'Start-Options'!$B$38)))</f>
        <v>32.5</v>
      </c>
      <c r="M78" s="198"/>
      <c r="N78" s="199">
        <f>IF(S54="Accessory Only","",IF(S54="Boring But Big",10,5))</f>
        <v>10</v>
      </c>
      <c r="O78" s="185"/>
      <c r="P78" s="185"/>
      <c r="Q78" s="187"/>
      <c r="R78" s="27"/>
      <c r="S78" s="77" t="s">
        <v>95</v>
      </c>
      <c r="T78" s="78" t="str">
        <f>IF(T77="","",MROUND(T77*0.4,'Start-Options'!$B$38))</f>
        <v/>
      </c>
      <c r="U78" s="27"/>
      <c r="V78" s="27"/>
      <c r="W78" s="27"/>
      <c r="X78" s="27"/>
      <c r="Y78" s="27"/>
      <c r="Z78" s="27"/>
      <c r="AA78" s="27"/>
    </row>
    <row r="79" ht="12.75" customHeight="1">
      <c r="A79" s="188"/>
      <c r="B79" s="189"/>
      <c r="C79" s="190">
        <f>IF(S54="Accessory Only","",IF(S54="Boring But Big",IF(W58="","",MROUND(T58*W58,'Start-Options'!$B$38)),IF(T64=531,MROUND(U68*0.75,'Start-Options'!$B$38),MROUND(U68*0.75,'Start-Options'!$B$38))))</f>
        <v>32.5</v>
      </c>
      <c r="D79" s="27"/>
      <c r="E79" s="78">
        <f>IF(S54="Accessory Only","",IF(S54="Boring But Big",10,5))</f>
        <v>10</v>
      </c>
      <c r="F79" s="220" t="s">
        <v>218</v>
      </c>
      <c r="G79" s="219" t="s">
        <v>219</v>
      </c>
      <c r="H79" s="191"/>
      <c r="I79" s="27"/>
      <c r="J79" s="188"/>
      <c r="K79" s="189"/>
      <c r="L79" s="190">
        <f>IF(S54="Accessory Only","",IF(S54="Boring But Big",IF(X58="","",MROUND(T58*X58,'Start-Options'!$B$38)),MROUND(U68*0.5,'Start-Options'!$B$38)))</f>
        <v>32.5</v>
      </c>
      <c r="M79" s="27"/>
      <c r="N79" s="78">
        <f>IF(S54="Accessory Only","",IF(S54="Boring But Big",10,5))</f>
        <v>10</v>
      </c>
      <c r="O79" s="220"/>
      <c r="P79" s="220"/>
      <c r="Q79" s="221"/>
      <c r="R79" s="27"/>
      <c r="S79" s="77" t="s">
        <v>96</v>
      </c>
      <c r="T79" s="78" t="str">
        <f>IF(T77="","",MROUND(T77*0.5,'Start-Options'!$B$38))</f>
        <v/>
      </c>
      <c r="U79" s="27"/>
      <c r="V79" s="27"/>
      <c r="W79" s="27"/>
      <c r="X79" s="27"/>
      <c r="Y79" s="27"/>
      <c r="Z79" s="27"/>
      <c r="AA79" s="27"/>
    </row>
    <row r="80" ht="12.75" customHeight="1">
      <c r="A80" s="188"/>
      <c r="B80" s="189"/>
      <c r="C80" s="190">
        <f>IF(S54="Accessory Only","",IF(S54="Boring But Big",IF(W58="","",MROUND(T58*W58,'Start-Options'!$B$38)),IF(T64=531,MROUND(U68*0.85,'Start-Options'!$B$38),MROUND(U68*0.85,'Start-Options'!$B$38))))</f>
        <v>32.5</v>
      </c>
      <c r="D80" s="27"/>
      <c r="E80" s="78">
        <f>IF(S54="Accessory Only","",IF(S54="Boring But Big",10,5))</f>
        <v>10</v>
      </c>
      <c r="F80" s="219"/>
      <c r="G80" s="219"/>
      <c r="H80" s="191"/>
      <c r="I80" s="27"/>
      <c r="J80" s="188"/>
      <c r="K80" s="189"/>
      <c r="L80" s="190">
        <f>IF(S54="Accessory Only","",IF(S54="Boring But Big",IF(X58="","",MROUND(T58*X58,'Start-Options'!$B$38)),MROUND(U68*0.6,'Start-Options'!$B$38)))</f>
        <v>32.5</v>
      </c>
      <c r="M80" s="27"/>
      <c r="N80" s="78">
        <f>IF(S54="Accessory Only","",IF(S54="Boring But Big",10,5))</f>
        <v>10</v>
      </c>
      <c r="O80" s="220"/>
      <c r="P80" s="220"/>
      <c r="Q80" s="222"/>
      <c r="R80" s="27"/>
      <c r="S80" s="82" t="s">
        <v>97</v>
      </c>
      <c r="T80" s="83" t="str">
        <f>IF(T77="","",MROUND(T77*0.6,'Start-Options'!$B$38))</f>
        <v/>
      </c>
      <c r="U80" s="27"/>
      <c r="V80" s="27"/>
      <c r="W80" s="27"/>
      <c r="X80" s="27"/>
      <c r="Y80" s="27"/>
      <c r="Z80" s="27"/>
      <c r="AA80" s="27"/>
    </row>
    <row r="81" ht="12.75" customHeight="1">
      <c r="A81" s="188"/>
      <c r="B81" s="189"/>
      <c r="C81" s="27">
        <f>IF(S54="Boring But Big",IF(W58="","",MROUND(T58*W58,'Start-Options'!$B$38)),"")</f>
        <v>32.5</v>
      </c>
      <c r="D81" s="27"/>
      <c r="E81" s="78">
        <f>IF(S54="Boring But Big",10,"")</f>
        <v>10</v>
      </c>
      <c r="F81" s="219"/>
      <c r="G81" s="219"/>
      <c r="H81" s="191"/>
      <c r="I81" s="27"/>
      <c r="J81" s="188"/>
      <c r="K81" s="189"/>
      <c r="L81" s="27">
        <f>IF(S54="Boring But Big",IF(X58="","",MROUND(T58*X58,'Start-Options'!$B$38)),"")</f>
        <v>32.5</v>
      </c>
      <c r="M81" s="27"/>
      <c r="N81" s="78">
        <f>IF(S54="Boring But Big",10,"")</f>
        <v>10</v>
      </c>
      <c r="O81" s="219"/>
      <c r="P81" s="219"/>
      <c r="Q81" s="201"/>
      <c r="R81" s="27"/>
      <c r="S81" s="27"/>
      <c r="T81" s="27"/>
      <c r="U81" s="27"/>
      <c r="V81" s="27"/>
      <c r="W81" s="27"/>
      <c r="X81" s="27"/>
      <c r="Y81" s="27"/>
      <c r="Z81" s="27"/>
      <c r="AA81" s="27"/>
    </row>
    <row r="82" ht="12.75" customHeight="1">
      <c r="A82" s="194"/>
      <c r="B82" s="195"/>
      <c r="C82" s="27">
        <f>IF(S54="Boring But Big",IF(W58="","",MROUND(T58*W58,'Start-Options'!$B$38)),"")</f>
        <v>32.5</v>
      </c>
      <c r="D82" s="27"/>
      <c r="E82" s="78">
        <f>IF(S54="Boring But Big",10,"")</f>
        <v>10</v>
      </c>
      <c r="F82" s="154"/>
      <c r="G82" s="154"/>
      <c r="H82" s="155"/>
      <c r="I82" s="27"/>
      <c r="J82" s="194"/>
      <c r="K82" s="195"/>
      <c r="L82" s="27">
        <f>IF(S54="Boring But Big",IF(X58="","",MROUND(T58*X58,'Start-Options'!$B$38)),"")</f>
        <v>32.5</v>
      </c>
      <c r="M82" s="27"/>
      <c r="N82" s="78">
        <f>IF(S54="Boring But Big",10,"")</f>
        <v>10</v>
      </c>
      <c r="O82" s="154"/>
      <c r="P82" s="154"/>
      <c r="Q82" s="206"/>
      <c r="R82" s="27"/>
      <c r="S82" s="27"/>
      <c r="T82" s="27"/>
      <c r="U82" s="27"/>
      <c r="V82" s="27"/>
      <c r="W82" s="27"/>
      <c r="X82" s="27"/>
      <c r="Y82" s="27"/>
      <c r="Z82" s="27"/>
      <c r="AA82" s="27"/>
    </row>
    <row r="83" ht="12.75" customHeight="1">
      <c r="A83" s="196" t="s">
        <v>192</v>
      </c>
      <c r="B83" s="197" t="str">
        <f>IF(S54="Accessory Only","",IF(S54="Boring But Big",'Start-Options'!$B$5,T69))</f>
        <v>Deadlift</v>
      </c>
      <c r="C83" s="198">
        <f>IF(S54="Accessory Only","",IF(S54="Boring But Big",IF(W59="","",MROUND(T59*W59,'Start-Options'!$B$38)),IF(T64=531,MROUND(U69*0.65,'Start-Options'!$B$38),MROUND(U69*0.65,'Start-Options'!$B$38))))</f>
        <v>70</v>
      </c>
      <c r="D83" s="198"/>
      <c r="E83" s="199">
        <f>IF(S54="Accessory Only","",IF(S54="Boring But Big",10,5))</f>
        <v>10</v>
      </c>
      <c r="F83" s="185" t="s">
        <v>193</v>
      </c>
      <c r="G83" s="232">
        <v>42865.0</v>
      </c>
      <c r="H83" s="200"/>
      <c r="I83" s="27"/>
      <c r="J83" s="234" t="s">
        <v>192</v>
      </c>
      <c r="K83" s="197" t="str">
        <f>IF(S54="Accessory Only","",IF(S54="Boring But Big",'Start-Options'!$B$5,T69))</f>
        <v>Deadlift</v>
      </c>
      <c r="L83" s="198">
        <f>IF(S54="Accessory Only","",IF(S54="Boring But Big",IF(X59="","",MROUND(T59*X59,'Start-Options'!$B$38)),MROUND(U69*0.4,'Start-Options'!$B$38)))</f>
        <v>70</v>
      </c>
      <c r="M83" s="198"/>
      <c r="N83" s="199">
        <f>IF(S54="Accessory Only","",IF(S54="Boring But Big",10,5))</f>
        <v>10</v>
      </c>
      <c r="O83" s="185"/>
      <c r="P83" s="185"/>
      <c r="Q83" s="187"/>
      <c r="R83" s="27"/>
      <c r="S83" s="27"/>
      <c r="T83" s="27"/>
      <c r="U83" s="27"/>
      <c r="V83" s="27"/>
      <c r="W83" s="27"/>
      <c r="X83" s="27"/>
      <c r="Y83" s="27"/>
      <c r="Z83" s="27"/>
      <c r="AA83" s="27"/>
    </row>
    <row r="84" ht="12.75" customHeight="1">
      <c r="A84" s="188"/>
      <c r="B84" s="189"/>
      <c r="C84" s="190">
        <f>IF(S54="Accessory Only","",IF(S54="Boring But Big",IF(W59="","",MROUND(T59*W59,'Start-Options'!$B$38)),IF(T64=531,MROUND(U69*0.75,'Start-Options'!$B$38),MROUND(U69*0.75,'Start-Options'!$B$38))))</f>
        <v>70</v>
      </c>
      <c r="D84" s="27"/>
      <c r="E84" s="78">
        <f>IF(S54="Accessory Only","",IF(S54="Boring But Big",10,5))</f>
        <v>10</v>
      </c>
      <c r="F84" s="220" t="s">
        <v>218</v>
      </c>
      <c r="G84" s="219" t="s">
        <v>219</v>
      </c>
      <c r="H84" s="191"/>
      <c r="I84" s="27"/>
      <c r="J84" s="188"/>
      <c r="K84" s="189"/>
      <c r="L84" s="190">
        <f>IF(S54="Accessory Only","",IF(S54="Boring But Big",IF(X59="","",MROUND(T59*X59,'Start-Options'!$B$38)),MROUND(U69*0.5,'Start-Options'!$B$38)))</f>
        <v>70</v>
      </c>
      <c r="M84" s="27"/>
      <c r="N84" s="78">
        <f>IF(S54="Accessory Only","",IF(S54="Boring But Big",10,5))</f>
        <v>10</v>
      </c>
      <c r="O84" s="220"/>
      <c r="P84" s="220"/>
      <c r="Q84" s="222"/>
      <c r="R84" s="27"/>
      <c r="S84" s="27"/>
      <c r="T84" s="27"/>
      <c r="U84" s="27"/>
      <c r="V84" s="27"/>
      <c r="W84" s="27"/>
      <c r="X84" s="27"/>
      <c r="Y84" s="27"/>
      <c r="Z84" s="27"/>
      <c r="AA84" s="27"/>
    </row>
    <row r="85" ht="12.75" customHeight="1">
      <c r="A85" s="188"/>
      <c r="B85" s="189"/>
      <c r="C85" s="190">
        <f>IF(S54="Accessory Only","",IF(S54="Boring But Big",IF(W59="","",MROUND(T59*W59,'Start-Options'!$B$38)),IF(T64=531,MROUND(U69*0.85,'Start-Options'!$B$38),MROUND(U69*0.85,'Start-Options'!$B$38))))</f>
        <v>70</v>
      </c>
      <c r="D85" s="27"/>
      <c r="E85" s="78">
        <f>IF(S54="Accessory Only","",IF(S54="Boring But Big",10,5))</f>
        <v>10</v>
      </c>
      <c r="F85" s="219"/>
      <c r="G85" s="219"/>
      <c r="H85" s="191"/>
      <c r="I85" s="27"/>
      <c r="J85" s="188"/>
      <c r="K85" s="189"/>
      <c r="L85" s="190">
        <f>IF(S54="Accessory Only","",IF(S54="Boring But Big",IF(X59="","",MROUND(T59*X59,'Start-Options'!$B$38)),MROUND(U69*0.6,'Start-Options'!$B$38)))</f>
        <v>70</v>
      </c>
      <c r="M85" s="27"/>
      <c r="N85" s="78">
        <f>IF(S54="Accessory Only","",IF(S54="Boring But Big",10,5))</f>
        <v>10</v>
      </c>
      <c r="O85" s="220"/>
      <c r="P85" s="220"/>
      <c r="Q85" s="222"/>
      <c r="R85" s="27"/>
      <c r="S85" s="27"/>
      <c r="T85" s="27"/>
      <c r="U85" s="27"/>
      <c r="V85" s="27"/>
      <c r="W85" s="27"/>
      <c r="X85" s="27"/>
      <c r="Y85" s="27"/>
      <c r="Z85" s="27"/>
      <c r="AA85" s="27"/>
    </row>
    <row r="86" ht="12.75" customHeight="1">
      <c r="A86" s="188"/>
      <c r="B86" s="189"/>
      <c r="C86" s="27">
        <f>IF(S54="Boring But Big",IF(W59="","",MROUND(T59*W59,'Start-Options'!$B$38)),"")</f>
        <v>70</v>
      </c>
      <c r="D86" s="27"/>
      <c r="E86" s="78">
        <f>IF(S54="Boring But Big",10,"")</f>
        <v>10</v>
      </c>
      <c r="F86" s="219"/>
      <c r="G86" s="219"/>
      <c r="H86" s="191"/>
      <c r="I86" s="27"/>
      <c r="J86" s="188"/>
      <c r="K86" s="189"/>
      <c r="L86" s="27">
        <f>IF(S54="Boring But Big",IF(X59="","",MROUND(T59*X59,'Start-Options'!$B$38)),"")</f>
        <v>70</v>
      </c>
      <c r="M86" s="27"/>
      <c r="N86" s="78">
        <f>IF(S54="Boring But Big",10,"")</f>
        <v>10</v>
      </c>
      <c r="O86" s="219"/>
      <c r="P86" s="219"/>
      <c r="Q86" s="201"/>
      <c r="R86" s="27"/>
      <c r="S86" s="27"/>
      <c r="T86" s="27"/>
      <c r="U86" s="27"/>
      <c r="V86" s="27"/>
      <c r="W86" s="27"/>
      <c r="X86" s="27"/>
      <c r="Y86" s="27"/>
      <c r="Z86" s="27"/>
      <c r="AA86" s="27"/>
    </row>
    <row r="87" ht="12.75" customHeight="1">
      <c r="A87" s="188"/>
      <c r="B87" s="195"/>
      <c r="C87" s="27">
        <f>IF(S54="Boring But Big",IF(W59="","",MROUND(T59*W59,'Start-Options'!$B$38)),"")</f>
        <v>70</v>
      </c>
      <c r="D87" s="27"/>
      <c r="E87" s="78">
        <f>IF(S54="Boring But Big",10,"")</f>
        <v>10</v>
      </c>
      <c r="F87" s="154"/>
      <c r="G87" s="154"/>
      <c r="H87" s="155"/>
      <c r="I87" s="27"/>
      <c r="J87" s="188"/>
      <c r="K87" s="195"/>
      <c r="L87" s="27">
        <f>IF(S54="Boring But Big",IF(X59="","",MROUND(T59*X59,'Start-Options'!$B$38)),"")</f>
        <v>70</v>
      </c>
      <c r="M87" s="27"/>
      <c r="N87" s="78">
        <f>IF(S54="Boring But Big",10,"")</f>
        <v>10</v>
      </c>
      <c r="O87" s="154"/>
      <c r="P87" s="154"/>
      <c r="Q87" s="206"/>
      <c r="R87" s="27"/>
      <c r="S87" s="27"/>
      <c r="T87" s="27"/>
      <c r="U87" s="27"/>
      <c r="V87" s="27"/>
      <c r="W87" s="27"/>
      <c r="X87" s="27"/>
      <c r="Y87" s="27"/>
      <c r="Z87" s="27"/>
      <c r="AA87" s="27"/>
    </row>
    <row r="88" ht="12.75" customHeight="1">
      <c r="A88" s="196" t="s">
        <v>200</v>
      </c>
      <c r="B88" s="197" t="str">
        <f>IF(S54="Accessory Only","",IF(S54="Boring But Big",'Start-Options'!$B$6,T70))</f>
        <v>Bench</v>
      </c>
      <c r="C88" s="198">
        <f>IF(S54="Accessory Only","",IF(S54="Boring But Big",IF(W60="","",MROUND(T60*W60,'Start-Options'!$B$38)),IF(T64=531,MROUND(U70*0.65,'Start-Options'!$B$38),MROUND(U70*0.65,'Start-Options'!$B$38))))</f>
        <v>42.5</v>
      </c>
      <c r="D88" s="198"/>
      <c r="E88" s="199">
        <f>IF(S54="Accessory Only","",IF(S54="Boring But Big",10,5))</f>
        <v>10</v>
      </c>
      <c r="F88" s="220" t="s">
        <v>186</v>
      </c>
      <c r="G88" s="232">
        <v>42865.0</v>
      </c>
      <c r="H88" s="200">
        <v>50.0</v>
      </c>
      <c r="I88" s="27"/>
      <c r="J88" s="234" t="s">
        <v>200</v>
      </c>
      <c r="K88" s="197" t="str">
        <f>IF(S54="Accessory Only","",IF(S54="Boring But Big",'Start-Options'!$B$6,T70))</f>
        <v>Bench</v>
      </c>
      <c r="L88" s="198">
        <f>IF(S54="Accessory Only","",IF(S54="Boring But Big",IF(X60="","",MROUND(T60*X60,'Start-Options'!$B$38)),MROUND(U70*0.4,'Start-Options'!$B$38)))</f>
        <v>42.5</v>
      </c>
      <c r="M88" s="198"/>
      <c r="N88" s="199">
        <f>IF(S54="Accessory Only","",IF(S54="Boring But Big",10,5))</f>
        <v>10</v>
      </c>
      <c r="O88" s="185"/>
      <c r="P88" s="185"/>
      <c r="Q88" s="187"/>
      <c r="R88" s="27"/>
      <c r="S88" s="27"/>
      <c r="T88" s="27"/>
      <c r="U88" s="27"/>
      <c r="V88" s="27"/>
      <c r="W88" s="27"/>
      <c r="X88" s="27"/>
      <c r="Y88" s="27"/>
      <c r="Z88" s="27"/>
      <c r="AA88" s="27"/>
    </row>
    <row r="89" ht="12.75" customHeight="1">
      <c r="A89" s="188"/>
      <c r="B89" s="189"/>
      <c r="C89" s="190">
        <f>IF(S54="Accessory Only","",IF(S54="Boring But Big",IF(W60="","",MROUND(T60*W60,'Start-Options'!$B$38)),IF(T64=531,MROUND(U70*0.75,'Start-Options'!$B$38),MROUND(U70*0.75,'Start-Options'!$B$38))))</f>
        <v>42.5</v>
      </c>
      <c r="D89" s="27"/>
      <c r="E89" s="78">
        <f>IF(S54="Accessory Only","",IF(S54="Boring But Big",10,5))</f>
        <v>10</v>
      </c>
      <c r="F89" s="220" t="s">
        <v>218</v>
      </c>
      <c r="G89" s="219" t="s">
        <v>219</v>
      </c>
      <c r="H89" s="191" t="s">
        <v>227</v>
      </c>
      <c r="I89" s="27"/>
      <c r="J89" s="188"/>
      <c r="K89" s="189"/>
      <c r="L89" s="190">
        <f>IF(S54="Accessory Only","",IF(S54="Boring But Big",IF(X60="","",MROUND(T60*X60,'Start-Options'!$B$38)),MROUND(U70*0.5,'Start-Options'!$B$38)))</f>
        <v>42.5</v>
      </c>
      <c r="M89" s="27"/>
      <c r="N89" s="78">
        <f>IF(S54="Accessory Only","",IF(S54="Boring But Big",10,5))</f>
        <v>10</v>
      </c>
      <c r="O89" s="220"/>
      <c r="P89" s="220"/>
      <c r="Q89" s="222"/>
      <c r="R89" s="27"/>
      <c r="S89" s="27"/>
      <c r="T89" s="27"/>
      <c r="U89" s="27"/>
      <c r="V89" s="27"/>
      <c r="W89" s="27"/>
      <c r="X89" s="27"/>
      <c r="Y89" s="27"/>
      <c r="Z89" s="27"/>
      <c r="AA89" s="27"/>
    </row>
    <row r="90" ht="12.75" customHeight="1">
      <c r="A90" s="188"/>
      <c r="B90" s="189"/>
      <c r="C90" s="190">
        <f>IF(S54="Accessory Only","",IF(S54="Boring But Big",IF(W60="","",MROUND(T60*W60,'Start-Options'!$B$38)),IF(T64=531,MROUND(U70*0.85,'Start-Options'!$B$38),MROUND(U70*0.85,'Start-Options'!$B$38))))</f>
        <v>42.5</v>
      </c>
      <c r="D90" s="27"/>
      <c r="E90" s="78">
        <f>IF(S54="Accessory Only","",IF(S54="Boring But Big",10,5))</f>
        <v>10</v>
      </c>
      <c r="F90" s="220"/>
      <c r="G90" s="219"/>
      <c r="H90" s="191"/>
      <c r="I90" s="27"/>
      <c r="J90" s="188"/>
      <c r="K90" s="189"/>
      <c r="L90" s="190">
        <f>IF(S54="Accessory Only","",IF(S54="Boring But Big",IF(X60="","",MROUND(T60*X60,'Start-Options'!$B$38)),MROUND(U70*0.6,'Start-Options'!$B$38)))</f>
        <v>42.5</v>
      </c>
      <c r="M90" s="27"/>
      <c r="N90" s="78">
        <f>IF(S54="Accessory Only","",IF(S54="Boring But Big",10,5))</f>
        <v>10</v>
      </c>
      <c r="O90" s="220"/>
      <c r="P90" s="220"/>
      <c r="Q90" s="222"/>
      <c r="R90" s="27"/>
      <c r="S90" s="27"/>
      <c r="T90" s="27"/>
      <c r="U90" s="27"/>
      <c r="V90" s="27"/>
      <c r="W90" s="27"/>
      <c r="X90" s="27"/>
      <c r="Y90" s="27"/>
      <c r="Z90" s="27"/>
      <c r="AA90" s="27"/>
    </row>
    <row r="91" ht="12.75" customHeight="1">
      <c r="A91" s="188"/>
      <c r="B91" s="189"/>
      <c r="C91" s="27">
        <f>IF(S54="Boring But Big",IF(W60="","",MROUND(T60*W60,'Start-Options'!$B$38)),"")</f>
        <v>42.5</v>
      </c>
      <c r="D91" s="27"/>
      <c r="E91" s="78">
        <f>IF(S54="Boring But Big",10,"")</f>
        <v>10</v>
      </c>
      <c r="F91" s="220"/>
      <c r="G91" s="219"/>
      <c r="H91" s="207"/>
      <c r="I91" s="27"/>
      <c r="J91" s="188"/>
      <c r="K91" s="189"/>
      <c r="L91" s="27">
        <f>IF(S54="Boring But Big",IF(X60="","",MROUND(T60*X60,'Start-Options'!$B$38)),"")</f>
        <v>42.5</v>
      </c>
      <c r="M91" s="27"/>
      <c r="N91" s="78">
        <f>IF(S54="Boring But Big",10,"")</f>
        <v>10</v>
      </c>
      <c r="O91" s="219"/>
      <c r="P91" s="219"/>
      <c r="Q91" s="201"/>
      <c r="R91" s="27"/>
      <c r="S91" s="27"/>
      <c r="T91" s="27"/>
      <c r="U91" s="27"/>
      <c r="V91" s="27"/>
      <c r="W91" s="27"/>
      <c r="X91" s="27"/>
      <c r="Y91" s="27"/>
      <c r="Z91" s="27"/>
      <c r="AA91" s="27"/>
    </row>
    <row r="92" ht="12.75" customHeight="1">
      <c r="A92" s="194"/>
      <c r="B92" s="195"/>
      <c r="C92" s="27">
        <f>IF(S54="Boring But Big",IF(W60="","",MROUND(T60*W60,'Start-Options'!$B$38)),"")</f>
        <v>42.5</v>
      </c>
      <c r="D92" s="27"/>
      <c r="E92" s="78">
        <f>IF(S54="Boring But Big",10,"")</f>
        <v>10</v>
      </c>
      <c r="F92" s="220"/>
      <c r="G92" s="154"/>
      <c r="H92" s="155"/>
      <c r="I92" s="27"/>
      <c r="J92" s="194"/>
      <c r="K92" s="195"/>
      <c r="L92" s="27">
        <f>IF(S54="Boring But Big",IF(X60="","",MROUND(T60*X60,'Start-Options'!$B$38)),"")</f>
        <v>42.5</v>
      </c>
      <c r="M92" s="27"/>
      <c r="N92" s="78">
        <f>IF(S54="Boring But Big",10,"")</f>
        <v>10</v>
      </c>
      <c r="O92" s="154"/>
      <c r="P92" s="154"/>
      <c r="Q92" s="206"/>
      <c r="R92" s="27"/>
      <c r="S92" s="27"/>
      <c r="T92" s="27"/>
      <c r="U92" s="27"/>
      <c r="V92" s="27"/>
      <c r="W92" s="27"/>
      <c r="X92" s="27"/>
      <c r="Y92" s="27"/>
      <c r="Z92" s="27"/>
      <c r="AA92" s="27"/>
    </row>
    <row r="93" ht="12.75" customHeight="1">
      <c r="A93" s="196" t="s">
        <v>201</v>
      </c>
      <c r="B93" s="197" t="str">
        <f>IF(S54="Accessory Only","",IF(S54="Boring But Big",'Start-Options'!$B$7,T71))</f>
        <v>Squat</v>
      </c>
      <c r="C93" s="198">
        <f>IF(S54="Accessory Only","",IF(S54="Boring But Big",IF(W61="","",MROUND(T61*W61,'Start-Options'!$B$38)),IF(T64=531,MROUND(U71*0.65,'Start-Options'!$B$38),MROUND(U71*0.65,'Start-Options'!$B$38))))</f>
        <v>50</v>
      </c>
      <c r="D93" s="198"/>
      <c r="E93" s="199">
        <f>IF(S54="Accessory Only","",IF(S54="Boring But Big",10,5))</f>
        <v>10</v>
      </c>
      <c r="F93" s="185" t="s">
        <v>193</v>
      </c>
      <c r="G93" s="232">
        <v>42865.0</v>
      </c>
      <c r="H93" s="200">
        <v>70.0</v>
      </c>
      <c r="I93" s="27"/>
      <c r="J93" s="234" t="s">
        <v>228</v>
      </c>
      <c r="K93" s="197" t="str">
        <f>IF(S54="Accessory Only","",IF(S54="Boring But Big",'Start-Options'!$B$7,T71))</f>
        <v>Squat</v>
      </c>
      <c r="L93" s="198">
        <f>IF(S54="Accessory Only","",IF(S54="Boring But Big",IF(X61="","",MROUND(T61*X61,'Start-Options'!$B$38)),MROUND(U71*0.4,'Start-Options'!$B$38)))</f>
        <v>50</v>
      </c>
      <c r="M93" s="198"/>
      <c r="N93" s="199">
        <f>IF(S54="Accessory Only","",IF(S54="Boring But Big",10,5))</f>
        <v>10</v>
      </c>
      <c r="O93" s="185"/>
      <c r="P93" s="185"/>
      <c r="Q93" s="187"/>
      <c r="R93" s="27"/>
      <c r="S93" s="27"/>
      <c r="T93" s="27"/>
      <c r="U93" s="27"/>
      <c r="V93" s="27"/>
      <c r="W93" s="27"/>
      <c r="X93" s="27"/>
      <c r="Y93" s="27"/>
      <c r="Z93" s="27"/>
      <c r="AA93" s="27"/>
    </row>
    <row r="94" ht="12.75" customHeight="1">
      <c r="A94" s="188"/>
      <c r="B94" s="189"/>
      <c r="C94" s="190">
        <f>IF(S54="Accessory Only","",IF(S54="Boring But Big",IF(W61="","",MROUND(T61*W61,'Start-Options'!$B$38)),IF(T64=531,MROUND(U71*0.75,'Start-Options'!$B$38),MROUND(U71*0.75,'Start-Options'!$B$38))))</f>
        <v>50</v>
      </c>
      <c r="D94" s="27"/>
      <c r="E94" s="78">
        <f>IF(S54="Accessory Only","",IF(S54="Boring But Big",10,5))</f>
        <v>10</v>
      </c>
      <c r="F94" s="220" t="s">
        <v>218</v>
      </c>
      <c r="G94" s="219" t="s">
        <v>219</v>
      </c>
      <c r="H94" s="191" t="s">
        <v>227</v>
      </c>
      <c r="I94" s="27"/>
      <c r="J94" s="188"/>
      <c r="K94" s="189"/>
      <c r="L94" s="190">
        <f>IF(S54="Accessory Only","",IF(S54="Boring But Big",IF(X61="","",MROUND(T61*X61,'Start-Options'!$B$38)),MROUND(U71*0.5,'Start-Options'!$B$38)))</f>
        <v>50</v>
      </c>
      <c r="M94" s="27"/>
      <c r="N94" s="78">
        <f>IF(S54="Accessory Only","",IF(S54="Boring But Big",10,5))</f>
        <v>10</v>
      </c>
      <c r="O94" s="220"/>
      <c r="P94" s="220"/>
      <c r="Q94" s="222"/>
      <c r="R94" s="27"/>
      <c r="S94" s="27"/>
      <c r="T94" s="27"/>
      <c r="U94" s="27"/>
      <c r="V94" s="27"/>
      <c r="W94" s="27"/>
      <c r="X94" s="27"/>
      <c r="Y94" s="231"/>
      <c r="Z94" s="231"/>
      <c r="AA94" s="27"/>
    </row>
    <row r="95" ht="12.75" customHeight="1">
      <c r="A95" s="188"/>
      <c r="B95" s="189"/>
      <c r="C95" s="190">
        <f>IF(S54="Accessory Only","",IF(S54="Boring But Big",IF(W61="","",MROUND(T61*W61,'Start-Options'!$B$38)),IF(T64=531,MROUND(U71*0.85,'Start-Options'!$B$38),MROUND(U71*0.85,'Start-Options'!$B$38))))</f>
        <v>50</v>
      </c>
      <c r="D95" s="27"/>
      <c r="E95" s="78">
        <f>IF(S54="Accessory Only","",IF(S54="Boring But Big",10,5))</f>
        <v>10</v>
      </c>
      <c r="F95" s="219"/>
      <c r="G95" s="219"/>
      <c r="H95" s="191"/>
      <c r="I95" s="27"/>
      <c r="J95" s="188"/>
      <c r="K95" s="189"/>
      <c r="L95" s="190">
        <f>IF(S54="Accessory Only","",IF(S54="Boring But Big",IF(X61="","",MROUND(T61*X61,'Start-Options'!$B$38)),MROUND(U71*0.6,'Start-Options'!$B$38)))</f>
        <v>50</v>
      </c>
      <c r="M95" s="27"/>
      <c r="N95" s="78">
        <f>IF(S54="Accessory Only","",IF(S54="Boring But Big",10,5))</f>
        <v>10</v>
      </c>
      <c r="O95" s="220"/>
      <c r="P95" s="220"/>
      <c r="Q95" s="222"/>
      <c r="R95" s="27"/>
      <c r="S95" s="27"/>
      <c r="T95" s="27"/>
      <c r="U95" s="27"/>
      <c r="V95" s="27"/>
      <c r="W95" s="27"/>
      <c r="X95" s="27"/>
      <c r="Y95" s="27"/>
      <c r="Z95" s="27"/>
      <c r="AA95" s="27"/>
    </row>
    <row r="96" ht="12.75" customHeight="1">
      <c r="A96" s="188"/>
      <c r="B96" s="189"/>
      <c r="C96" s="27">
        <f>IF(S54="Boring But Big",IF(W61="","",MROUND(T61*W61,'Start-Options'!$B$38)),"")</f>
        <v>50</v>
      </c>
      <c r="D96" s="27"/>
      <c r="E96" s="78">
        <f>IF(S54="Boring But Big",10,"")</f>
        <v>10</v>
      </c>
      <c r="F96" s="219"/>
      <c r="G96" s="219"/>
      <c r="H96" s="191"/>
      <c r="I96" s="27"/>
      <c r="J96" s="188"/>
      <c r="K96" s="189"/>
      <c r="L96" s="27">
        <f>IF(S54="Boring But Big",IF(X61="","",MROUND(T61*X61,'Start-Options'!$B$38)),"")</f>
        <v>50</v>
      </c>
      <c r="M96" s="27"/>
      <c r="N96" s="78">
        <f>IF(S54="Boring But Big",10,"")</f>
        <v>10</v>
      </c>
      <c r="O96" s="151"/>
      <c r="P96" s="219"/>
      <c r="Q96" s="224"/>
      <c r="R96" s="27"/>
      <c r="S96" s="27"/>
      <c r="T96" s="27"/>
      <c r="U96" s="27"/>
      <c r="V96" s="27"/>
      <c r="W96" s="27"/>
      <c r="X96" s="27"/>
      <c r="Y96" s="27"/>
      <c r="Z96" s="27"/>
      <c r="AA96" s="27"/>
    </row>
    <row r="97" ht="13.5" customHeight="1">
      <c r="A97" s="194"/>
      <c r="B97" s="225"/>
      <c r="C97" s="226">
        <f>IF(S54="Boring But Big",IF(W61="","",MROUND(T61*W61,'Start-Options'!$B$38)),"")</f>
        <v>50</v>
      </c>
      <c r="D97" s="158"/>
      <c r="E97" s="227">
        <f>IF(S54="Boring But Big",10,"")</f>
        <v>10</v>
      </c>
      <c r="F97" s="154"/>
      <c r="G97" s="154"/>
      <c r="H97" s="155"/>
      <c r="I97" s="158"/>
      <c r="J97" s="194"/>
      <c r="K97" s="225"/>
      <c r="L97" s="226">
        <f>IF(S54="Boring But Big",IF(X61="","",MROUND(T61*X61,'Start-Options'!$B$38)),"")</f>
        <v>50</v>
      </c>
      <c r="M97" s="158"/>
      <c r="N97" s="227">
        <f>IF(S54="Boring But Big",10,"")</f>
        <v>10</v>
      </c>
      <c r="O97" s="229"/>
      <c r="P97" s="228"/>
      <c r="Q97" s="230"/>
      <c r="R97" s="27"/>
      <c r="S97" s="27"/>
      <c r="T97" s="27"/>
      <c r="U97" s="27"/>
      <c r="V97" s="27"/>
      <c r="W97" s="27"/>
      <c r="X97" s="27"/>
      <c r="Y97" s="27"/>
      <c r="Z97" s="27"/>
      <c r="AA97" s="27"/>
    </row>
    <row r="98" ht="12.75" customHeight="1">
      <c r="A98" s="235"/>
      <c r="B98" s="235"/>
      <c r="C98" s="27"/>
      <c r="D98" s="27"/>
      <c r="E98" s="27"/>
      <c r="F98" s="27"/>
      <c r="G98" s="27"/>
      <c r="H98" s="27"/>
      <c r="I98" s="27"/>
      <c r="J98" s="235"/>
      <c r="K98" s="235"/>
      <c r="L98" s="27"/>
      <c r="M98" s="27"/>
      <c r="N98" s="27"/>
      <c r="O98" s="27"/>
      <c r="P98" s="27"/>
      <c r="Q98" s="27"/>
      <c r="R98" s="27"/>
      <c r="S98" s="27"/>
      <c r="T98" s="27"/>
      <c r="U98" s="27"/>
      <c r="V98" s="27"/>
      <c r="W98" s="27"/>
      <c r="X98" s="27"/>
      <c r="Y98" s="27"/>
      <c r="Z98" s="27"/>
      <c r="AA98" s="27"/>
    </row>
    <row r="99" ht="21.0" customHeight="1">
      <c r="A99" s="168"/>
      <c r="B99" s="27"/>
      <c r="C99" s="27"/>
      <c r="D99" s="27"/>
      <c r="E99" s="27"/>
      <c r="F99" s="27"/>
      <c r="G99" s="27"/>
      <c r="H99" s="27"/>
      <c r="I99" s="169" t="s">
        <v>106</v>
      </c>
      <c r="J99" s="27"/>
      <c r="K99" s="27"/>
      <c r="L99" s="27"/>
      <c r="M99" s="27"/>
      <c r="N99" s="27"/>
      <c r="O99" s="27"/>
      <c r="P99" s="27"/>
      <c r="Q99" s="27"/>
      <c r="R99" s="27"/>
      <c r="S99" s="27"/>
      <c r="T99" s="27"/>
      <c r="U99" s="27"/>
      <c r="V99" s="27"/>
      <c r="W99" s="27"/>
      <c r="X99" s="27"/>
      <c r="Y99" s="27"/>
      <c r="Z99" s="27"/>
      <c r="AA99" s="27"/>
    </row>
    <row r="100" ht="12.75" customHeight="1">
      <c r="A100" s="170" t="s">
        <v>229</v>
      </c>
      <c r="B100" s="171" t="s">
        <v>177</v>
      </c>
      <c r="C100" s="172"/>
      <c r="D100" s="172"/>
      <c r="E100" s="173"/>
      <c r="F100" s="171" t="s">
        <v>178</v>
      </c>
      <c r="G100" s="172"/>
      <c r="H100" s="173"/>
      <c r="I100" s="91"/>
      <c r="J100" s="174" t="s">
        <v>230</v>
      </c>
      <c r="K100" s="171" t="s">
        <v>177</v>
      </c>
      <c r="L100" s="172"/>
      <c r="M100" s="172"/>
      <c r="N100" s="173"/>
      <c r="O100" s="171" t="s">
        <v>178</v>
      </c>
      <c r="P100" s="172"/>
      <c r="Q100" s="94"/>
      <c r="R100" s="27"/>
      <c r="S100" s="70" t="s">
        <v>180</v>
      </c>
      <c r="T100" s="175"/>
      <c r="U100" s="71"/>
      <c r="V100" s="27"/>
      <c r="W100" s="27"/>
      <c r="X100" s="27"/>
      <c r="Y100" s="27"/>
      <c r="Z100" s="27"/>
      <c r="AA100" s="27"/>
    </row>
    <row r="101" ht="13.5" customHeight="1">
      <c r="A101" s="176"/>
      <c r="B101" s="177" t="s">
        <v>181</v>
      </c>
      <c r="C101" s="178" t="s">
        <v>26</v>
      </c>
      <c r="D101" s="178"/>
      <c r="E101" s="178" t="s">
        <v>27</v>
      </c>
      <c r="F101" s="178" t="s">
        <v>182</v>
      </c>
      <c r="G101" s="178" t="s">
        <v>183</v>
      </c>
      <c r="H101" s="179" t="s">
        <v>26</v>
      </c>
      <c r="I101" s="27"/>
      <c r="J101" s="180"/>
      <c r="K101" s="177" t="s">
        <v>181</v>
      </c>
      <c r="L101" s="178" t="s">
        <v>26</v>
      </c>
      <c r="M101" s="178"/>
      <c r="N101" s="178" t="s">
        <v>27</v>
      </c>
      <c r="O101" s="178" t="s">
        <v>182</v>
      </c>
      <c r="P101" s="179" t="s">
        <v>183</v>
      </c>
      <c r="Q101" s="181" t="s">
        <v>26</v>
      </c>
      <c r="R101" s="27"/>
      <c r="S101" s="236" t="s">
        <v>184</v>
      </c>
      <c r="T101" s="41"/>
      <c r="U101" s="42"/>
      <c r="V101" s="27"/>
      <c r="W101" s="27"/>
      <c r="X101" s="27"/>
      <c r="Y101" s="27"/>
      <c r="Z101" s="27"/>
      <c r="AA101" s="27"/>
    </row>
    <row r="102" ht="12.75" customHeight="1">
      <c r="A102" s="183" t="s">
        <v>185</v>
      </c>
      <c r="B102" s="184" t="str">
        <f>IF(S101="Accessory Only","",IF(S101="Boring But Big",'Start-Options'!$B$4,T115))</f>
        <v>Military</v>
      </c>
      <c r="C102" s="27">
        <f>IF(S101="Accessory Only","",IF(S101="Boring But Big",IF(U105="","",MROUND(T105*U105,'Start-Options'!$B$38)),IF(T111=531,MROUND(U115*0.5,'Start-Options'!$B$38),MROUND(U115*0.6,'Start-Options'!$B$38))))</f>
        <v>32.5</v>
      </c>
      <c r="D102" s="27"/>
      <c r="E102" s="78">
        <f>IF(S101="Accessory Only","",IF(S101="Boring But Big",10,IF(T111=531,10,8)))</f>
        <v>10</v>
      </c>
      <c r="F102" s="220" t="s">
        <v>186</v>
      </c>
      <c r="G102" s="232">
        <v>42865.0</v>
      </c>
      <c r="H102" s="237">
        <v>55.0</v>
      </c>
      <c r="I102" s="190"/>
      <c r="J102" s="183" t="s">
        <v>185</v>
      </c>
      <c r="K102" s="184" t="str">
        <f>IF(S101="Accessory Only","",IF(S101="Boring But Big",'Start-Options'!$B$4,T115))</f>
        <v>Military</v>
      </c>
      <c r="L102" s="27">
        <f>IF(S101="Accessory Only","",IF(S101="Boring But Big",IF(V105="","",MROUND(T105*V105,'Start-Options'!$B$38)),IF(T111=531,MROUND(U115*0.6,'Start-Options'!$B$38),MROUND(U115*0.5,'Start-Options'!$B$38))))</f>
        <v>32.5</v>
      </c>
      <c r="M102" s="27"/>
      <c r="N102" s="78">
        <f>IF(S101="Accessory Only","",IF(S101="Boring But Big",10,IF(T111=531,8,10)))</f>
        <v>10</v>
      </c>
      <c r="O102" s="220" t="s">
        <v>186</v>
      </c>
      <c r="P102" s="232">
        <v>42865.0</v>
      </c>
      <c r="Q102" s="237"/>
      <c r="R102" s="27"/>
      <c r="S102" s="27"/>
      <c r="T102" s="27"/>
      <c r="U102" s="27"/>
      <c r="V102" s="27"/>
      <c r="W102" s="27"/>
      <c r="X102" s="27"/>
      <c r="Y102" s="27"/>
      <c r="Z102" s="27"/>
      <c r="AA102" s="27"/>
    </row>
    <row r="103" ht="12.75" customHeight="1">
      <c r="A103" s="188"/>
      <c r="B103" s="189"/>
      <c r="C103" s="190">
        <f>IF(S101="Accessory Only","",IF(S101="Boring But Big",IF(U105="","",MROUND(T105*U105,'Start-Options'!$B$38)),IF(T111=531,MROUND(U115*0.6,'Start-Options'!$B$38),MROUND(U115*0.7,'Start-Options'!$B$38))))</f>
        <v>32.5</v>
      </c>
      <c r="D103" s="27"/>
      <c r="E103" s="78">
        <f>IF(S101="Accessory Only","",IF(S101="Boring But Big",10,IF(T111=531,10,8)))</f>
        <v>10</v>
      </c>
      <c r="F103" s="220" t="s">
        <v>218</v>
      </c>
      <c r="G103" s="219" t="s">
        <v>219</v>
      </c>
      <c r="H103" s="238" t="s">
        <v>231</v>
      </c>
      <c r="I103" s="27"/>
      <c r="J103" s="188"/>
      <c r="K103" s="189"/>
      <c r="L103" s="190">
        <f>IF(S101="Accessory Only","",IF(S101="Boring But Big",IF(V105="","",MROUND(T105*V105,'Start-Options'!$B$38)),IF(T111=531,MROUND(U115*0.7,'Start-Options'!$B$38),MROUND(U115*0.6,'Start-Options'!$B$38))))</f>
        <v>32.5</v>
      </c>
      <c r="M103" s="27"/>
      <c r="N103" s="78">
        <f>IF(S101="Accessory Only","",IF(S101="Boring But Big",10,IF(T111=531,8,10)))</f>
        <v>10</v>
      </c>
      <c r="O103" s="220" t="s">
        <v>218</v>
      </c>
      <c r="P103" s="219" t="s">
        <v>219</v>
      </c>
      <c r="Q103" s="238" t="s">
        <v>227</v>
      </c>
      <c r="R103" s="27"/>
      <c r="S103" s="70" t="s">
        <v>184</v>
      </c>
      <c r="T103" s="175"/>
      <c r="U103" s="175"/>
      <c r="V103" s="175"/>
      <c r="W103" s="175"/>
      <c r="X103" s="71"/>
      <c r="Y103" s="27"/>
      <c r="Z103" s="27"/>
      <c r="AA103" s="27"/>
    </row>
    <row r="104" ht="12.75" customHeight="1">
      <c r="A104" s="188"/>
      <c r="B104" s="189"/>
      <c r="C104" s="190">
        <f>IF(S101="Accessory Only","",IF(S101="Boring But Big",IF(U105="","",MROUND(T105*U105,'Start-Options'!$B$38)),IF(T111=531,MROUND(U115*0.7,'Start-Options'!$B$38),MROUND(U115*0.8,'Start-Options'!$B$38))))</f>
        <v>32.5</v>
      </c>
      <c r="D104" s="27"/>
      <c r="E104" s="78">
        <f>IF(S101="Accessory Only","",IF(S101="Boring But Big",10,IF(T111=531,10,6)))</f>
        <v>10</v>
      </c>
      <c r="F104" s="220"/>
      <c r="G104" s="219"/>
      <c r="H104" s="191"/>
      <c r="I104" s="27"/>
      <c r="J104" s="188"/>
      <c r="K104" s="189"/>
      <c r="L104" s="190">
        <f>IF(S101="Accessory Only","",IF(S101="Boring But Big",IF(V105="","",MROUND(T105*V105,'Start-Options'!$B$38)),IF(T111=531,MROUND(U115*0.8,'Start-Options'!$B$38),MROUND(U115*0.7,'Start-Options'!$B$38))))</f>
        <v>32.5</v>
      </c>
      <c r="M104" s="27"/>
      <c r="N104" s="78">
        <f>IF(S101="Accessory Only","",IF(S101="Boring But Big",10,IF(T111=531,6,10)))</f>
        <v>10</v>
      </c>
      <c r="O104" s="220"/>
      <c r="P104" s="219"/>
      <c r="Q104" s="191"/>
      <c r="R104" s="27"/>
      <c r="S104" s="25" t="s">
        <v>187</v>
      </c>
      <c r="T104" s="25" t="s">
        <v>28</v>
      </c>
      <c r="U104" s="25" t="s">
        <v>188</v>
      </c>
      <c r="V104" s="25" t="s">
        <v>189</v>
      </c>
      <c r="W104" s="192" t="s">
        <v>190</v>
      </c>
      <c r="X104" s="192" t="s">
        <v>191</v>
      </c>
      <c r="Y104" s="27"/>
      <c r="Z104" s="27"/>
      <c r="AA104" s="27"/>
    </row>
    <row r="105" ht="12.75" customHeight="1">
      <c r="A105" s="188"/>
      <c r="B105" s="189"/>
      <c r="C105" s="27">
        <f>IF(S101="Boring But Big",IF(U105="","",MROUND(T105*U105,'Start-Options'!$B$38)),"")</f>
        <v>32.5</v>
      </c>
      <c r="D105" s="27"/>
      <c r="E105" s="78">
        <f>IF(S101="Boring But Big",10,"")</f>
        <v>10</v>
      </c>
      <c r="F105" s="220"/>
      <c r="G105" s="219"/>
      <c r="H105" s="207"/>
      <c r="I105" s="27"/>
      <c r="J105" s="188"/>
      <c r="K105" s="189"/>
      <c r="L105" s="27">
        <f>IF(S101="Boring But Big",IF(V105="","",MROUND(T105*V105,'Start-Options'!$B$38)),"")</f>
        <v>32.5</v>
      </c>
      <c r="M105" s="27"/>
      <c r="N105" s="78">
        <f>IF(S101="Boring But Big",10,"")</f>
        <v>10</v>
      </c>
      <c r="O105" s="220"/>
      <c r="P105" s="219"/>
      <c r="Q105" s="207"/>
      <c r="R105" s="27"/>
      <c r="S105" s="25" t="s">
        <v>30</v>
      </c>
      <c r="T105" s="25">
        <f>'531'!Z45</f>
        <v>55</v>
      </c>
      <c r="U105" s="193">
        <v>0.6</v>
      </c>
      <c r="V105" s="193">
        <v>0.6</v>
      </c>
      <c r="W105" s="193">
        <v>0.6</v>
      </c>
      <c r="X105" s="193">
        <v>0.6</v>
      </c>
      <c r="Y105" s="27"/>
      <c r="Z105" s="27"/>
      <c r="AA105" s="27"/>
    </row>
    <row r="106" ht="12.75" customHeight="1">
      <c r="A106" s="194"/>
      <c r="B106" s="195"/>
      <c r="C106" s="27">
        <f>IF(S101="Boring But Big",IF(U105="","",MROUND(T105*U105,'Start-Options'!$B$38)),"")</f>
        <v>32.5</v>
      </c>
      <c r="D106" s="27"/>
      <c r="E106" s="78">
        <f>IF(S101="Boring But Big",10,"")</f>
        <v>10</v>
      </c>
      <c r="F106" s="220"/>
      <c r="G106" s="154"/>
      <c r="H106" s="155"/>
      <c r="I106" s="27"/>
      <c r="J106" s="194"/>
      <c r="K106" s="195"/>
      <c r="L106" s="27">
        <f>IF(S101="Boring But Big",IF(V105="","",MROUND(T105*V105,'Start-Options'!$B$38)),"")</f>
        <v>32.5</v>
      </c>
      <c r="M106" s="27"/>
      <c r="N106" s="78">
        <f>IF(S101="Boring But Big",10,"")</f>
        <v>10</v>
      </c>
      <c r="O106" s="220"/>
      <c r="P106" s="154"/>
      <c r="Q106" s="155"/>
      <c r="R106" s="27"/>
      <c r="S106" s="25" t="s">
        <v>31</v>
      </c>
      <c r="T106" s="25">
        <f>'531'!Z46</f>
        <v>120</v>
      </c>
      <c r="U106" s="193">
        <v>0.6</v>
      </c>
      <c r="V106" s="193">
        <v>0.6</v>
      </c>
      <c r="W106" s="193">
        <v>0.6</v>
      </c>
      <c r="X106" s="193">
        <v>0.6</v>
      </c>
      <c r="Y106" s="27"/>
      <c r="Z106" s="27"/>
      <c r="AA106" s="27"/>
    </row>
    <row r="107" ht="12.75" customHeight="1">
      <c r="A107" s="196" t="s">
        <v>192</v>
      </c>
      <c r="B107" s="197" t="str">
        <f>IF(S101="Accessory Only","",IF(S101="Boring But Big",'Start-Options'!$B$5,T116))</f>
        <v>Deadlift</v>
      </c>
      <c r="C107" s="198">
        <f>IF(S101="Accessory Only","",IF(S101="Boring But Big",IF(U106="","",MROUND(T106*U106,'Start-Options'!$B$38)),IF(T111=531,MROUND(U116*0.5,'Start-Options'!$B$38),MROUND(U116*0.6,'Start-Options'!$B$38))))</f>
        <v>72.5</v>
      </c>
      <c r="D107" s="198"/>
      <c r="E107" s="199">
        <f>IF(S101="Accessory Only","",IF(S101="Boring But Big",10,IF(T111=531,10,8)))</f>
        <v>10</v>
      </c>
      <c r="F107" s="239" t="s">
        <v>193</v>
      </c>
      <c r="G107" s="232">
        <v>42865.0</v>
      </c>
      <c r="H107" s="237">
        <v>40.0</v>
      </c>
      <c r="I107" s="27"/>
      <c r="J107" s="196" t="s">
        <v>192</v>
      </c>
      <c r="K107" s="197" t="str">
        <f>IF(S101="Accessory Only","",IF(S101="Boring But Big",'Start-Options'!$B$5,T116))</f>
        <v>Deadlift</v>
      </c>
      <c r="L107" s="198">
        <f>IF(S101="Accessory Only","",IF(S101="Boring But Big",IF(V106="","",MROUND(T106*V106,'Start-Options'!$B$38)),IF(T111=531,MROUND(U116*0.6,'Start-Options'!$B$38),MROUND(U116*0.5,'Start-Options'!$B$38))))</f>
        <v>72.5</v>
      </c>
      <c r="M107" s="198"/>
      <c r="N107" s="199">
        <f>IF(S101="Accessory Only","",IF(S101="Boring But Big",10,IF(T111=531,8,10)))</f>
        <v>10</v>
      </c>
      <c r="O107" s="239" t="s">
        <v>193</v>
      </c>
      <c r="P107" s="232">
        <v>42865.0</v>
      </c>
      <c r="Q107" s="237"/>
      <c r="R107" s="27"/>
      <c r="S107" s="25" t="s">
        <v>32</v>
      </c>
      <c r="T107" s="25">
        <f>'531'!Z47</f>
        <v>75</v>
      </c>
      <c r="U107" s="193">
        <v>0.6</v>
      </c>
      <c r="V107" s="193">
        <v>0.6</v>
      </c>
      <c r="W107" s="193">
        <v>0.6</v>
      </c>
      <c r="X107" s="193">
        <v>0.6</v>
      </c>
      <c r="Y107" s="27"/>
      <c r="Z107" s="27"/>
      <c r="AA107" s="27"/>
    </row>
    <row r="108" ht="12.75" customHeight="1">
      <c r="A108" s="188"/>
      <c r="B108" s="189"/>
      <c r="C108" s="190">
        <f>IF(S101="Accessory Only","",IF(S101="Boring But Big",IF(U106="","",MROUND(T106*U106,'Start-Options'!$B$38)),IF(T111=531,MROUND(U116*0.6,'Start-Options'!$B$38),MROUND(U116*0.7,'Start-Options'!$B$38))))</f>
        <v>72.5</v>
      </c>
      <c r="D108" s="27"/>
      <c r="E108" s="78">
        <f>IF(S101="Accessory Only","",IF(S101="Boring But Big",10,IF(T111=531,10,8)))</f>
        <v>10</v>
      </c>
      <c r="F108" s="220" t="s">
        <v>218</v>
      </c>
      <c r="G108" s="219" t="s">
        <v>219</v>
      </c>
      <c r="H108" s="238" t="s">
        <v>222</v>
      </c>
      <c r="I108" s="27"/>
      <c r="J108" s="188"/>
      <c r="K108" s="189"/>
      <c r="L108" s="190">
        <f>IF(S101="Accessory Only","",IF(S101="Boring But Big",IF(V106="","",MROUND(T106*V106,'Start-Options'!$B$38)),IF(T111=531,MROUND(U116*0.7,'Start-Options'!$B$38),MROUND(U116*0.6,'Start-Options'!$B$38))))</f>
        <v>72.5</v>
      </c>
      <c r="M108" s="27"/>
      <c r="N108" s="78">
        <f>IF(S101="Accessory Only","",IF(S101="Boring But Big",10,IF(T111=531,8,10)))</f>
        <v>10</v>
      </c>
      <c r="O108" s="220" t="s">
        <v>218</v>
      </c>
      <c r="P108" s="219" t="s">
        <v>219</v>
      </c>
      <c r="Q108" s="238" t="s">
        <v>232</v>
      </c>
      <c r="R108" s="27"/>
      <c r="S108" s="25" t="s">
        <v>194</v>
      </c>
      <c r="T108" s="25">
        <f>'531'!Z48</f>
        <v>90</v>
      </c>
      <c r="U108" s="193">
        <v>0.6</v>
      </c>
      <c r="V108" s="193">
        <v>0.6</v>
      </c>
      <c r="W108" s="193">
        <v>0.6</v>
      </c>
      <c r="X108" s="193">
        <v>0.6</v>
      </c>
      <c r="Y108" s="27"/>
      <c r="Z108" s="27"/>
      <c r="AA108" s="27"/>
    </row>
    <row r="109" ht="12.75" customHeight="1">
      <c r="A109" s="188"/>
      <c r="B109" s="189"/>
      <c r="C109" s="190">
        <f>IF(S101="Accessory Only","",IF(S101="Boring But Big",IF(U106="","",MROUND(T106*U106,'Start-Options'!$B$38)),IF(T111=531,MROUND(U116*0.7,'Start-Options'!$B$38),MROUND(U116*0.8,'Start-Options'!$B$38))))</f>
        <v>72.5</v>
      </c>
      <c r="D109" s="27"/>
      <c r="E109" s="78">
        <f>IF(S101="Accessory Only","",IF(S101="Boring But Big",10,IF(T111=531,10,6)))</f>
        <v>10</v>
      </c>
      <c r="F109" s="219"/>
      <c r="G109" s="219"/>
      <c r="H109" s="191"/>
      <c r="I109" s="27"/>
      <c r="J109" s="188"/>
      <c r="K109" s="189"/>
      <c r="L109" s="190">
        <f>IF(S101="Accessory Only","",IF(S101="Boring But Big",IF(V106="","",MROUND(T106*V106,'Start-Options'!$B$38)),IF(T111=531,MROUND(U116*0.8,'Start-Options'!$B$38),MROUND(U116*0.7,'Start-Options'!$B$38))))</f>
        <v>72.5</v>
      </c>
      <c r="M109" s="27"/>
      <c r="N109" s="78">
        <f>IF(S101="Accessory Only","",IF(S101="Boring But Big",10,IF(T111=531,6,10)))</f>
        <v>10</v>
      </c>
      <c r="O109" s="219"/>
      <c r="P109" s="219"/>
      <c r="Q109" s="191"/>
      <c r="R109" s="27"/>
      <c r="S109" s="27"/>
      <c r="T109" s="27"/>
      <c r="U109" s="27"/>
      <c r="V109" s="27"/>
      <c r="W109" s="27"/>
      <c r="X109" s="27"/>
      <c r="Y109" s="27"/>
      <c r="Z109" s="27"/>
      <c r="AA109" s="27"/>
    </row>
    <row r="110" ht="12.75" customHeight="1">
      <c r="A110" s="188"/>
      <c r="B110" s="189"/>
      <c r="C110" s="27">
        <f>IF(S101="Boring But Big",IF(U106="","",MROUND(T106*U106,'Start-Options'!$B$38)),"")</f>
        <v>72.5</v>
      </c>
      <c r="D110" s="27"/>
      <c r="E110" s="78">
        <f>IF(S101="Boring But Big",10,"")</f>
        <v>10</v>
      </c>
      <c r="F110" s="219"/>
      <c r="G110" s="219"/>
      <c r="H110" s="191"/>
      <c r="I110" s="27"/>
      <c r="J110" s="188"/>
      <c r="K110" s="189"/>
      <c r="L110" s="27">
        <f>IF(S101="Boring But Big",IF(V106="","",MROUND(T106*V106,'Start-Options'!$B$38)),"")</f>
        <v>72.5</v>
      </c>
      <c r="M110" s="27"/>
      <c r="N110" s="78">
        <f>IF(S101="Boring But Big",10,"")</f>
        <v>10</v>
      </c>
      <c r="O110" s="219"/>
      <c r="P110" s="219"/>
      <c r="Q110" s="191"/>
      <c r="R110" s="27"/>
      <c r="S110" s="70" t="s">
        <v>204</v>
      </c>
      <c r="T110" s="71"/>
      <c r="U110" s="27"/>
      <c r="V110" s="27"/>
      <c r="W110" s="27"/>
      <c r="X110" s="27"/>
      <c r="Y110" s="27"/>
      <c r="Z110" s="27"/>
      <c r="AA110" s="27"/>
    </row>
    <row r="111" ht="12.75" customHeight="1">
      <c r="A111" s="188"/>
      <c r="B111" s="195"/>
      <c r="C111" s="27">
        <f>IF(S101="Boring But Big",IF(U106="","",MROUND(T106*U106,'Start-Options'!$B$38)),"")</f>
        <v>72.5</v>
      </c>
      <c r="D111" s="27"/>
      <c r="E111" s="78">
        <f>IF(S101="Boring But Big",10,"")</f>
        <v>10</v>
      </c>
      <c r="F111" s="154"/>
      <c r="G111" s="154"/>
      <c r="H111" s="155"/>
      <c r="I111" s="27"/>
      <c r="J111" s="188"/>
      <c r="K111" s="195"/>
      <c r="L111" s="27">
        <f>IF(S101="Boring But Big",IF(V106="","",MROUND(T106*V106,'Start-Options'!$B$38)),"")</f>
        <v>72.5</v>
      </c>
      <c r="M111" s="27"/>
      <c r="N111" s="78">
        <f>IF(S101="Boring But Big",10,"")</f>
        <v>10</v>
      </c>
      <c r="O111" s="154"/>
      <c r="P111" s="154"/>
      <c r="Q111" s="155"/>
      <c r="R111" s="27"/>
      <c r="S111" s="25" t="s">
        <v>205</v>
      </c>
      <c r="T111" s="28">
        <v>531.0</v>
      </c>
      <c r="U111" s="27"/>
      <c r="V111" s="27"/>
      <c r="W111" s="27"/>
      <c r="X111" s="27"/>
      <c r="Y111" s="27"/>
      <c r="Z111" s="27"/>
      <c r="AA111" s="27"/>
    </row>
    <row r="112" ht="12.75" customHeight="1">
      <c r="A112" s="196" t="s">
        <v>200</v>
      </c>
      <c r="B112" s="197" t="str">
        <f>IF(S101="Accessory Only","",IF(S101="Boring But Big",'Start-Options'!$B$6,T117))</f>
        <v>Bench</v>
      </c>
      <c r="C112" s="198">
        <f>IF(S101="Accessory Only","",IF(S101="Boring But Big",IF(U107="","",MROUND(T107*U107,'Start-Options'!$B$38)),IF(T111=531,MROUND(U117*0.5,'Start-Options'!$B$38),MROUND(U117*0.6,'Start-Options'!$B$38))))</f>
        <v>45</v>
      </c>
      <c r="D112" s="198"/>
      <c r="E112" s="199">
        <f>IF(S101="Accessory Only","",IF(S101="Boring But Big",10,IF(T111=531,10,8)))</f>
        <v>10</v>
      </c>
      <c r="F112" s="220" t="s">
        <v>186</v>
      </c>
      <c r="G112" s="232">
        <v>42865.0</v>
      </c>
      <c r="H112" s="200">
        <v>50.0</v>
      </c>
      <c r="I112" s="27"/>
      <c r="J112" s="196" t="s">
        <v>200</v>
      </c>
      <c r="K112" s="197" t="str">
        <f>IF(S101="Accessory Only","",IF(S101="Boring But Big",'Start-Options'!$B$6,T117))</f>
        <v>Bench</v>
      </c>
      <c r="L112" s="198">
        <f>IF(S101="Accessory Only","",IF(S101="Boring But Big",IF(V107="","",MROUND(T107*V107,'Start-Options'!$B$38)),IF(T111=531,MROUND(U117*0.6,'Start-Options'!$B$38),MROUND(U117*0.5,'Start-Options'!$B$38))))</f>
        <v>45</v>
      </c>
      <c r="M112" s="198"/>
      <c r="N112" s="199">
        <f>IF(S101="Accessory Only","",IF(S101="Boring But Big",10,IF(T111=531,8,10)))</f>
        <v>10</v>
      </c>
      <c r="O112" s="220" t="s">
        <v>186</v>
      </c>
      <c r="P112" s="232">
        <v>42865.0</v>
      </c>
      <c r="Q112" s="237">
        <v>55.0</v>
      </c>
      <c r="R112" s="27"/>
      <c r="S112" s="27"/>
      <c r="T112" s="27"/>
      <c r="U112" s="27"/>
      <c r="V112" s="27"/>
      <c r="W112" s="27"/>
      <c r="X112" s="27"/>
      <c r="Y112" s="27"/>
      <c r="Z112" s="27"/>
      <c r="AA112" s="27"/>
    </row>
    <row r="113" ht="12.75" customHeight="1">
      <c r="A113" s="188"/>
      <c r="B113" s="189"/>
      <c r="C113" s="190">
        <f>IF(S101="Accessory Only","",IF(S101="Boring But Big",IF(U107="","",MROUND(T107*U107,'Start-Options'!$B$38)),IF(T111=531,MROUND(U117*0.6,'Start-Options'!$B$38),MROUND(U117*0.7,'Start-Options'!$B$38))))</f>
        <v>45</v>
      </c>
      <c r="D113" s="27"/>
      <c r="E113" s="78">
        <f>IF(S101="Accessory Only","",IF(S101="Boring But Big",10,IF(T111=531,10,8)))</f>
        <v>10</v>
      </c>
      <c r="F113" s="220" t="s">
        <v>218</v>
      </c>
      <c r="G113" s="219" t="s">
        <v>219</v>
      </c>
      <c r="H113" s="238" t="s">
        <v>222</v>
      </c>
      <c r="I113" s="27"/>
      <c r="J113" s="188"/>
      <c r="K113" s="189"/>
      <c r="L113" s="190">
        <f>IF(S101="Accessory Only","",IF(S101="Boring But Big",IF(V107="","",MROUND(T107*V107,'Start-Options'!$B$38)),IF(T111=531,MROUND(U117*0.7,'Start-Options'!$B$38),MROUND(U117*0.6,'Start-Options'!$B$38))))</f>
        <v>45</v>
      </c>
      <c r="M113" s="27"/>
      <c r="N113" s="78">
        <f>IF(S101="Accessory Only","",IF(S101="Boring But Big",10,IF(T111=531,8,10)))</f>
        <v>10</v>
      </c>
      <c r="O113" s="220" t="s">
        <v>218</v>
      </c>
      <c r="P113" s="219" t="s">
        <v>219</v>
      </c>
      <c r="Q113" s="238" t="s">
        <v>220</v>
      </c>
      <c r="R113" s="27"/>
      <c r="S113" s="70" t="s">
        <v>204</v>
      </c>
      <c r="T113" s="175"/>
      <c r="U113" s="71"/>
      <c r="V113" s="27"/>
      <c r="W113" s="27"/>
      <c r="X113" s="27"/>
      <c r="Y113" s="27"/>
      <c r="Z113" s="27"/>
      <c r="AA113" s="27"/>
    </row>
    <row r="114" ht="12.75" customHeight="1">
      <c r="A114" s="188"/>
      <c r="B114" s="189"/>
      <c r="C114" s="190">
        <f>IF(S101="Accessory Only","",IF(S101="Boring But Big",IF(U107="","",MROUND(T107*U107,'Start-Options'!$B$38)),IF(T111=531,MROUND(U117*0.7,'Start-Options'!$B$38),MROUND(U117*0.8,'Start-Options'!$B$38))))</f>
        <v>45</v>
      </c>
      <c r="D114" s="27"/>
      <c r="E114" s="78">
        <f>IF(S101="Accessory Only","",IF(S101="Boring But Big",10,IF(T111=531,10,6)))</f>
        <v>10</v>
      </c>
      <c r="F114" s="220"/>
      <c r="G114" s="219"/>
      <c r="H114" s="191"/>
      <c r="I114" s="27"/>
      <c r="J114" s="188"/>
      <c r="K114" s="189"/>
      <c r="L114" s="190">
        <f>IF(S101="Accessory Only","",IF(S101="Boring But Big",IF(V107="","",MROUND(T107*V107,'Start-Options'!$B$38)),IF(T111=531,MROUND(U117*0.8,'Start-Options'!$B$38),MROUND(U117*0.7,'Start-Options'!$B$38))))</f>
        <v>45</v>
      </c>
      <c r="M114" s="27"/>
      <c r="N114" s="78">
        <f>IF(S101="Accessory Only","",IF(S101="Boring But Big",10,IF(T111=531,6,10)))</f>
        <v>10</v>
      </c>
      <c r="O114" s="220"/>
      <c r="P114" s="219"/>
      <c r="Q114" s="191"/>
      <c r="R114" s="27"/>
      <c r="S114" s="25"/>
      <c r="T114" s="223" t="s">
        <v>182</v>
      </c>
      <c r="U114" s="223" t="s">
        <v>28</v>
      </c>
      <c r="V114" s="27"/>
      <c r="W114" s="27"/>
      <c r="X114" s="27"/>
      <c r="Y114" s="27"/>
      <c r="Z114" s="27"/>
      <c r="AA114" s="27"/>
    </row>
    <row r="115" ht="12.75" customHeight="1">
      <c r="A115" s="188"/>
      <c r="B115" s="189"/>
      <c r="C115" s="27">
        <f>IF(S101="Boring But Big",IF(U107="","",MROUND(T107*U107,'Start-Options'!$B$38)),"")</f>
        <v>45</v>
      </c>
      <c r="D115" s="27"/>
      <c r="E115" s="27">
        <f>IF(S101="Boring But Big",10,"")</f>
        <v>10</v>
      </c>
      <c r="F115" s="220"/>
      <c r="G115" s="219"/>
      <c r="H115" s="207"/>
      <c r="I115" s="190"/>
      <c r="J115" s="188"/>
      <c r="K115" s="189"/>
      <c r="L115" s="27">
        <f>IF(S101="Boring But Big",IF(V107="","",MROUND(T107*V107,'Start-Options'!$B$38)),"")</f>
        <v>45</v>
      </c>
      <c r="M115" s="27"/>
      <c r="N115" s="78">
        <f>IF(S101="Boring But Big",10,"")</f>
        <v>10</v>
      </c>
      <c r="O115" s="220"/>
      <c r="P115" s="219"/>
      <c r="Q115" s="207"/>
      <c r="R115" s="27"/>
      <c r="S115" s="77" t="s">
        <v>36</v>
      </c>
      <c r="T115" s="147" t="s">
        <v>208</v>
      </c>
      <c r="U115" s="147">
        <v>100.0</v>
      </c>
      <c r="V115" s="27"/>
      <c r="W115" s="27"/>
      <c r="X115" s="27"/>
      <c r="Y115" s="27"/>
      <c r="Z115" s="27"/>
      <c r="AA115" s="27"/>
    </row>
    <row r="116" ht="12.75" customHeight="1">
      <c r="A116" s="194"/>
      <c r="B116" s="195"/>
      <c r="C116" s="27">
        <f>IF(S101="Boring But Big",IF(U107="","",MROUND(T107*U107,'Start-Options'!$B$38)),"")</f>
        <v>45</v>
      </c>
      <c r="D116" s="27"/>
      <c r="E116" s="78">
        <f>IF(S101="Boring But Big",10,"")</f>
        <v>10</v>
      </c>
      <c r="F116" s="220"/>
      <c r="G116" s="154"/>
      <c r="H116" s="155"/>
      <c r="I116" s="27"/>
      <c r="J116" s="194"/>
      <c r="K116" s="195"/>
      <c r="L116" s="27">
        <f>IF(S101="Boring But Big",IF(V107="","",MROUND(T107*V107,'Start-Options'!$B$38)),"")</f>
        <v>45</v>
      </c>
      <c r="M116" s="27"/>
      <c r="N116" s="78">
        <f>IF(S101="Boring But Big",10,"")</f>
        <v>10</v>
      </c>
      <c r="O116" s="220"/>
      <c r="P116" s="154"/>
      <c r="Q116" s="155"/>
      <c r="R116" s="27"/>
      <c r="S116" s="25" t="s">
        <v>44</v>
      </c>
      <c r="T116" s="162" t="s">
        <v>210</v>
      </c>
      <c r="U116" s="162">
        <v>100.0</v>
      </c>
      <c r="V116" s="27"/>
      <c r="W116" s="27"/>
      <c r="X116" s="27"/>
      <c r="Y116" s="27"/>
      <c r="Z116" s="27"/>
      <c r="AA116" s="27"/>
    </row>
    <row r="117" ht="12.75" customHeight="1">
      <c r="A117" s="196" t="s">
        <v>201</v>
      </c>
      <c r="B117" s="197" t="str">
        <f>IF(S101="Accessory Only","",IF(S101="Boring But Big",'Start-Options'!$B$7,T118))</f>
        <v>Squat</v>
      </c>
      <c r="C117" s="198">
        <f>IF(S101="Accessory Only","",IF(S101="Boring But Big",IF(U108="","",MROUND(T108*U108,'Start-Options'!$B$38)),IF(T111=531,MROUND(U118*0.5,'Start-Options'!$B$38),MROUND(U118*0.6,'Start-Options'!$B$38))))</f>
        <v>55</v>
      </c>
      <c r="D117" s="198"/>
      <c r="E117" s="199">
        <f>IF(S101="Accessory Only","",IF(S101="Boring But Big",10,IF(T111=531,10,8)))</f>
        <v>10</v>
      </c>
      <c r="F117" s="185" t="s">
        <v>193</v>
      </c>
      <c r="G117" s="232">
        <v>42865.0</v>
      </c>
      <c r="H117" s="200">
        <v>70.0</v>
      </c>
      <c r="I117" s="27"/>
      <c r="J117" s="196" t="s">
        <v>201</v>
      </c>
      <c r="K117" s="197" t="str">
        <f>IF(S101="Accessory Only","",IF(S101="Boring But Big",'Start-Options'!$B$7,T118))</f>
        <v>Squat</v>
      </c>
      <c r="L117" s="198">
        <f>IF(S101="Accessory Only","",IF(S101="Boring But Big",IF(V108="","",MROUND(T108*V108,'Start-Options'!$B$38)),IF(T111=531,MROUND(U118*0.6,'Start-Options'!$B$38),MROUND(U118*0.5,'Start-Options'!$B$38))))</f>
        <v>55</v>
      </c>
      <c r="M117" s="198"/>
      <c r="N117" s="199">
        <f>IF(S101="Accessory Only","",IF(S101="Boring But Big",10,IF(T111=531,8,10)))</f>
        <v>10</v>
      </c>
      <c r="O117" s="185" t="s">
        <v>193</v>
      </c>
      <c r="P117" s="232">
        <v>42865.0</v>
      </c>
      <c r="Q117" s="237">
        <v>45.0</v>
      </c>
      <c r="R117" s="27"/>
      <c r="S117" s="25" t="s">
        <v>48</v>
      </c>
      <c r="T117" s="162" t="s">
        <v>212</v>
      </c>
      <c r="U117" s="162">
        <v>100.0</v>
      </c>
      <c r="V117" s="27"/>
      <c r="W117" s="27"/>
      <c r="X117" s="27"/>
      <c r="Y117" s="27"/>
      <c r="Z117" s="27"/>
      <c r="AA117" s="27"/>
    </row>
    <row r="118" ht="12.75" customHeight="1">
      <c r="A118" s="188"/>
      <c r="B118" s="189"/>
      <c r="C118" s="190">
        <f>IF(S101="Accessory Only","",IF(S101="Boring But Big",IF(U108="","",MROUND(T108*U108,'Start-Options'!$B$38)),IF(T111=531,MROUND(U118*0.6,'Start-Options'!$B$38),MROUND(U118*0.7,'Start-Options'!$B$38))))</f>
        <v>55</v>
      </c>
      <c r="D118" s="27"/>
      <c r="E118" s="78">
        <f>IF(S101="Accessory Only","",IF(S101="Boring But Big",10,IF(T111=531,10,8)))</f>
        <v>10</v>
      </c>
      <c r="F118" s="220" t="s">
        <v>218</v>
      </c>
      <c r="G118" s="219" t="s">
        <v>219</v>
      </c>
      <c r="H118" s="238" t="s">
        <v>233</v>
      </c>
      <c r="I118" s="27"/>
      <c r="J118" s="188"/>
      <c r="K118" s="189"/>
      <c r="L118" s="190">
        <f>IF(S101="Accessory Only","",IF(S101="Boring But Big",IF(V108="","",MROUND(T108*V108,'Start-Options'!$B$38)),IF(T111=531,MROUND(U118*0.7,'Start-Options'!$B$38),MROUND(U118*0.6,'Start-Options'!$B$38))))</f>
        <v>55</v>
      </c>
      <c r="M118" s="27"/>
      <c r="N118" s="78">
        <f>IF(S101="Accessory Only","",IF(S101="Boring But Big",10,IF(T111=531,8,10)))</f>
        <v>10</v>
      </c>
      <c r="O118" s="220" t="s">
        <v>218</v>
      </c>
      <c r="P118" s="219" t="s">
        <v>219</v>
      </c>
      <c r="Q118" s="238" t="s">
        <v>227</v>
      </c>
      <c r="R118" s="27"/>
      <c r="S118" s="82" t="s">
        <v>53</v>
      </c>
      <c r="T118" s="155" t="s">
        <v>224</v>
      </c>
      <c r="U118" s="155">
        <v>100.0</v>
      </c>
      <c r="V118" s="27"/>
      <c r="W118" s="27"/>
      <c r="X118" s="27"/>
      <c r="Y118" s="27"/>
      <c r="Z118" s="27"/>
      <c r="AA118" s="27"/>
    </row>
    <row r="119" ht="12.75" customHeight="1">
      <c r="A119" s="188"/>
      <c r="B119" s="189"/>
      <c r="C119" s="190">
        <f>IF(S101="Accessory Only","",IF(S101="Boring But Big",IF(U108="","",MROUND(T108*U108,'Start-Options'!$B$38)),IF(T111=531,MROUND(U118*0.7,'Start-Options'!$B$38),MROUND(U118*0.8,'Start-Options'!$B$38))))</f>
        <v>55</v>
      </c>
      <c r="D119" s="27"/>
      <c r="E119" s="78">
        <f>IF(S101="Accessory Only","",IF(S101="Boring But Big",10,IF(T111=531,10,6)))</f>
        <v>10</v>
      </c>
      <c r="F119" s="219"/>
      <c r="G119" s="219"/>
      <c r="H119" s="191"/>
      <c r="I119" s="27"/>
      <c r="J119" s="188"/>
      <c r="K119" s="189"/>
      <c r="L119" s="190">
        <f>IF(S101="Accessory Only","",IF(S101="Boring But Big",IF(V108="","",MROUND(T108*V108,'Start-Options'!$B$38)),IF(T111=531,MROUND(U118*0.8,'Start-Options'!$B$38),MROUND(U118*0.7,'Start-Options'!$B$38))))</f>
        <v>55</v>
      </c>
      <c r="M119" s="27"/>
      <c r="N119" s="78">
        <f>IF(S101="Accessory Only","",IF(S101="Boring But Big",10,IF(T111=531,6,10)))</f>
        <v>10</v>
      </c>
      <c r="O119" s="219"/>
      <c r="P119" s="219"/>
      <c r="Q119" s="191"/>
      <c r="R119" s="27"/>
      <c r="S119" s="27"/>
      <c r="T119" s="27"/>
      <c r="U119" s="27"/>
      <c r="V119" s="27"/>
      <c r="W119" s="27"/>
      <c r="X119" s="27"/>
      <c r="Y119" s="27"/>
      <c r="Z119" s="27"/>
      <c r="AA119" s="27"/>
    </row>
    <row r="120" ht="12.75" customHeight="1">
      <c r="A120" s="188"/>
      <c r="B120" s="189"/>
      <c r="C120" s="27">
        <f>IF(S101="Boring But Big",IF(U108="","",MROUND(T108*U108,'Start-Options'!$B$38)),"")</f>
        <v>55</v>
      </c>
      <c r="D120" s="27"/>
      <c r="E120" s="78">
        <f>IF(S101="Boring But Big",10,"")</f>
        <v>10</v>
      </c>
      <c r="F120" s="219"/>
      <c r="G120" s="219"/>
      <c r="H120" s="191"/>
      <c r="I120" s="27"/>
      <c r="J120" s="188"/>
      <c r="K120" s="189"/>
      <c r="L120" s="27">
        <f>IF(S101="Boring But Big",IF(V108="","",MROUND(T108*V108,'Start-Options'!$B$38)),"")</f>
        <v>55</v>
      </c>
      <c r="M120" s="27"/>
      <c r="N120" s="78">
        <f>IF(S101="Boring But Big",10,"")</f>
        <v>10</v>
      </c>
      <c r="O120" s="219"/>
      <c r="P120" s="219"/>
      <c r="Q120" s="191"/>
      <c r="R120" s="27"/>
      <c r="S120" s="27"/>
      <c r="T120" s="27"/>
      <c r="U120" s="27"/>
      <c r="V120" s="27"/>
      <c r="W120" s="27"/>
      <c r="X120" s="27"/>
      <c r="Y120" s="27"/>
      <c r="Z120" s="27"/>
      <c r="AA120" s="27"/>
    </row>
    <row r="121" ht="12.75" customHeight="1">
      <c r="A121" s="194"/>
      <c r="B121" s="195"/>
      <c r="C121" s="208">
        <f>IF(S101="Boring But Big",IF(U108="","",MROUND(T108*U108,'Start-Options'!$B$38)),"")</f>
        <v>55</v>
      </c>
      <c r="D121" s="49"/>
      <c r="E121" s="83">
        <f>IF(S101="Boring But Big",10,"")</f>
        <v>10</v>
      </c>
      <c r="F121" s="154"/>
      <c r="G121" s="154"/>
      <c r="H121" s="155"/>
      <c r="I121" s="27"/>
      <c r="J121" s="194"/>
      <c r="K121" s="195"/>
      <c r="L121" s="208">
        <f>IF(S101="Boring But Big",IF(V108="","",MROUND(T108*V108,'Start-Options'!$B$38)),"")</f>
        <v>55</v>
      </c>
      <c r="M121" s="49"/>
      <c r="N121" s="83">
        <f>IF(S101="Boring But Big",10,"")</f>
        <v>10</v>
      </c>
      <c r="O121" s="154"/>
      <c r="P121" s="154"/>
      <c r="Q121" s="155"/>
      <c r="R121" s="27"/>
      <c r="S121" s="27"/>
      <c r="T121" s="27"/>
      <c r="U121" s="27"/>
      <c r="V121" s="27"/>
      <c r="W121" s="27"/>
      <c r="X121" s="27"/>
      <c r="Y121" s="27"/>
      <c r="Z121" s="27"/>
      <c r="AA121" s="27"/>
    </row>
    <row r="122" ht="12.75" customHeight="1">
      <c r="A122" s="168"/>
      <c r="B122" s="27"/>
      <c r="C122" s="27"/>
      <c r="D122" s="27"/>
      <c r="E122" s="27"/>
      <c r="F122" s="27"/>
      <c r="G122" s="27"/>
      <c r="H122" s="27"/>
      <c r="I122" s="27"/>
      <c r="J122" s="27"/>
      <c r="K122" s="27"/>
      <c r="L122" s="27"/>
      <c r="M122" s="27"/>
      <c r="N122" s="27"/>
      <c r="O122" s="27"/>
      <c r="P122" s="27"/>
      <c r="Q122" s="209"/>
      <c r="R122" s="27"/>
      <c r="S122" s="27"/>
      <c r="T122" s="27"/>
      <c r="U122" s="27"/>
      <c r="V122" s="27"/>
      <c r="W122" s="27"/>
      <c r="X122" s="27"/>
      <c r="Y122" s="27"/>
      <c r="Z122" s="27"/>
      <c r="AA122" s="27"/>
    </row>
    <row r="123" ht="12.75" customHeight="1">
      <c r="A123" s="210" t="s">
        <v>234</v>
      </c>
      <c r="B123" s="211" t="s">
        <v>177</v>
      </c>
      <c r="C123" s="41"/>
      <c r="D123" s="41"/>
      <c r="E123" s="42"/>
      <c r="F123" s="211" t="s">
        <v>178</v>
      </c>
      <c r="G123" s="41"/>
      <c r="H123" s="42"/>
      <c r="I123" s="27"/>
      <c r="J123" s="212" t="s">
        <v>235</v>
      </c>
      <c r="K123" s="211" t="s">
        <v>177</v>
      </c>
      <c r="L123" s="41"/>
      <c r="M123" s="41"/>
      <c r="N123" s="42"/>
      <c r="O123" s="211" t="s">
        <v>178</v>
      </c>
      <c r="P123" s="41"/>
      <c r="Q123" s="213"/>
      <c r="R123" s="27"/>
      <c r="S123" s="70" t="s">
        <v>93</v>
      </c>
      <c r="T123" s="71"/>
      <c r="U123" s="27"/>
      <c r="V123" s="27"/>
      <c r="W123" s="27"/>
      <c r="X123" s="27"/>
      <c r="Y123" s="27"/>
      <c r="Z123" s="27"/>
      <c r="AA123" s="27"/>
    </row>
    <row r="124" ht="12.75" customHeight="1">
      <c r="A124" s="194"/>
      <c r="B124" s="214" t="s">
        <v>181</v>
      </c>
      <c r="C124" s="215" t="s">
        <v>26</v>
      </c>
      <c r="D124" s="215"/>
      <c r="E124" s="215" t="s">
        <v>27</v>
      </c>
      <c r="F124" s="215" t="s">
        <v>182</v>
      </c>
      <c r="G124" s="216" t="s">
        <v>183</v>
      </c>
      <c r="H124" s="215" t="s">
        <v>26</v>
      </c>
      <c r="I124" s="27"/>
      <c r="J124" s="217"/>
      <c r="K124" s="214" t="s">
        <v>181</v>
      </c>
      <c r="L124" s="215" t="s">
        <v>26</v>
      </c>
      <c r="M124" s="215"/>
      <c r="N124" s="215" t="s">
        <v>27</v>
      </c>
      <c r="O124" s="215" t="s">
        <v>182</v>
      </c>
      <c r="P124" s="216" t="s">
        <v>183</v>
      </c>
      <c r="Q124" s="218" t="s">
        <v>26</v>
      </c>
      <c r="R124" s="27"/>
      <c r="S124" s="25" t="s">
        <v>94</v>
      </c>
      <c r="T124" s="162"/>
      <c r="U124" s="27"/>
      <c r="V124" s="27"/>
      <c r="W124" s="27"/>
      <c r="X124" s="27"/>
      <c r="Y124" s="27"/>
      <c r="Z124" s="27"/>
      <c r="AA124" s="27"/>
    </row>
    <row r="125" ht="12.75" customHeight="1">
      <c r="A125" s="183" t="s">
        <v>185</v>
      </c>
      <c r="B125" s="197" t="str">
        <f>IF(S101="Accessory Only","",IF(S101="Boring But Big",'Start-Options'!$B$4,T115))</f>
        <v>Military</v>
      </c>
      <c r="C125" s="198">
        <f>IF(S101="Accessory Only","",IF(S101="Boring But Big",IF(W105="","",MROUND(T105*W105,'Start-Options'!$B$38)),IF(T111=531,MROUND(U115*0.65,'Start-Options'!$B$38),MROUND(U115*0.65,'Start-Options'!$B$38))))</f>
        <v>32.5</v>
      </c>
      <c r="D125" s="198"/>
      <c r="E125" s="199">
        <f>IF(S101="Accessory Only","",IF(S101="Boring But Big",10,5))</f>
        <v>10</v>
      </c>
      <c r="F125" s="220" t="s">
        <v>186</v>
      </c>
      <c r="G125" s="232">
        <v>42865.0</v>
      </c>
      <c r="H125" s="237"/>
      <c r="I125" s="27"/>
      <c r="J125" s="183" t="s">
        <v>185</v>
      </c>
      <c r="K125" s="197" t="str">
        <f>IF(S101="Accessory Only","",IF(S101="Boring But Big",'Start-Options'!$B$4,T115))</f>
        <v>Military</v>
      </c>
      <c r="L125" s="198">
        <f>IF(S101="Accessory Only","",IF(S101="Boring But Big",IF(X105="","",MROUND(T105*X105,'Start-Options'!$B$38)),MROUND(U115*0.4,'Start-Options'!$B$38)))</f>
        <v>32.5</v>
      </c>
      <c r="M125" s="198"/>
      <c r="N125" s="199">
        <f>IF(S101="Accessory Only","",IF(S101="Boring But Big",10,5))</f>
        <v>10</v>
      </c>
      <c r="O125" s="185"/>
      <c r="P125" s="185"/>
      <c r="Q125" s="187"/>
      <c r="R125" s="27"/>
      <c r="S125" s="77" t="s">
        <v>95</v>
      </c>
      <c r="T125" s="78" t="str">
        <f>IF(T124="","",MROUND(T124*0.4,'Start-Options'!$B$38))</f>
        <v/>
      </c>
      <c r="U125" s="27"/>
      <c r="V125" s="27"/>
      <c r="W125" s="27"/>
      <c r="X125" s="27"/>
      <c r="Y125" s="27"/>
      <c r="Z125" s="27"/>
      <c r="AA125" s="27"/>
    </row>
    <row r="126" ht="12.75" customHeight="1">
      <c r="A126" s="188"/>
      <c r="B126" s="189"/>
      <c r="C126" s="190">
        <f>IF(S101="Accessory Only","",IF(S101="Boring But Big",IF(W105="","",MROUND(T105*W105,'Start-Options'!$B$38)),IF(T111=531,MROUND(U115*0.75,'Start-Options'!$B$38),MROUND(U115*0.75,'Start-Options'!$B$38))))</f>
        <v>32.5</v>
      </c>
      <c r="D126" s="27"/>
      <c r="E126" s="78">
        <f>IF(S101="Accessory Only","",IF(S101="Boring But Big",10,5))</f>
        <v>10</v>
      </c>
      <c r="F126" s="220" t="s">
        <v>218</v>
      </c>
      <c r="G126" s="219" t="s">
        <v>219</v>
      </c>
      <c r="H126" s="238"/>
      <c r="I126" s="27"/>
      <c r="J126" s="188"/>
      <c r="K126" s="189"/>
      <c r="L126" s="190">
        <f>IF(S101="Accessory Only","",IF(S101="Boring But Big",IF(X105="","",MROUND(T105*X105,'Start-Options'!$B$38)),MROUND(U115*0.5,'Start-Options'!$B$38)))</f>
        <v>32.5</v>
      </c>
      <c r="M126" s="27"/>
      <c r="N126" s="78">
        <f>IF(S101="Accessory Only","",IF(S101="Boring But Big",10,5))</f>
        <v>10</v>
      </c>
      <c r="O126" s="220"/>
      <c r="P126" s="220"/>
      <c r="Q126" s="221"/>
      <c r="R126" s="27"/>
      <c r="S126" s="77" t="s">
        <v>96</v>
      </c>
      <c r="T126" s="78" t="str">
        <f>IF(T124="","",MROUND(T124*0.5,'Start-Options'!$B$38))</f>
        <v/>
      </c>
      <c r="U126" s="27"/>
      <c r="V126" s="27"/>
      <c r="W126" s="27"/>
      <c r="X126" s="27"/>
      <c r="Y126" s="27"/>
      <c r="Z126" s="27"/>
      <c r="AA126" s="27"/>
    </row>
    <row r="127" ht="12.75" customHeight="1">
      <c r="A127" s="188"/>
      <c r="B127" s="189"/>
      <c r="C127" s="190">
        <f>IF(S101="Accessory Only","",IF(S101="Boring But Big",IF(W105="","",MROUND(T105*W105,'Start-Options'!$B$38)),IF(T111=531,MROUND(U115*0.85,'Start-Options'!$B$38),MROUND(U115*0.85,'Start-Options'!$B$38))))</f>
        <v>32.5</v>
      </c>
      <c r="D127" s="27"/>
      <c r="E127" s="78">
        <f>IF(S101="Accessory Only","",IF(S101="Boring But Big",10,5))</f>
        <v>10</v>
      </c>
      <c r="F127" s="220"/>
      <c r="G127" s="219"/>
      <c r="H127" s="191"/>
      <c r="I127" s="27"/>
      <c r="J127" s="188"/>
      <c r="K127" s="189"/>
      <c r="L127" s="190">
        <f>IF(S101="Accessory Only","",IF(S101="Boring But Big",IF(X105="","",MROUND(T105*X105,'Start-Options'!$B$38)),MROUND(U115*0.6,'Start-Options'!$B$38)))</f>
        <v>32.5</v>
      </c>
      <c r="M127" s="27"/>
      <c r="N127" s="78">
        <f>IF(S101="Accessory Only","",IF(S101="Boring But Big",10,5))</f>
        <v>10</v>
      </c>
      <c r="O127" s="220"/>
      <c r="P127" s="220"/>
      <c r="Q127" s="222"/>
      <c r="R127" s="27"/>
      <c r="S127" s="82" t="s">
        <v>97</v>
      </c>
      <c r="T127" s="83" t="str">
        <f>IF(T124="","",MROUND(T124*0.6,'Start-Options'!$B$38))</f>
        <v/>
      </c>
      <c r="U127" s="27"/>
      <c r="V127" s="27"/>
      <c r="W127" s="27"/>
      <c r="X127" s="27"/>
      <c r="Y127" s="27"/>
      <c r="Z127" s="27"/>
      <c r="AA127" s="27"/>
    </row>
    <row r="128" ht="12.75" customHeight="1">
      <c r="A128" s="188"/>
      <c r="B128" s="189"/>
      <c r="C128" s="27">
        <f>IF(S101="Boring But Big",IF(W105="","",MROUND(T105*W105,'Start-Options'!$B$38)),"")</f>
        <v>32.5</v>
      </c>
      <c r="D128" s="27"/>
      <c r="E128" s="78">
        <f>IF(S101="Boring But Big",10,"")</f>
        <v>10</v>
      </c>
      <c r="F128" s="220"/>
      <c r="G128" s="219"/>
      <c r="H128" s="207"/>
      <c r="I128" s="27"/>
      <c r="J128" s="188"/>
      <c r="K128" s="189"/>
      <c r="L128" s="27">
        <f>IF(S101="Boring But Big",IF(X105="","",MROUND(T105*X105,'Start-Options'!$B$38)),"")</f>
        <v>32.5</v>
      </c>
      <c r="M128" s="27"/>
      <c r="N128" s="78">
        <f>IF(S101="Boring But Big",10,"")</f>
        <v>10</v>
      </c>
      <c r="O128" s="219"/>
      <c r="P128" s="219"/>
      <c r="Q128" s="201"/>
      <c r="R128" s="27"/>
      <c r="S128" s="27"/>
      <c r="T128" s="27"/>
      <c r="U128" s="27"/>
      <c r="V128" s="27"/>
      <c r="W128" s="27"/>
      <c r="X128" s="27"/>
      <c r="Y128" s="27"/>
      <c r="Z128" s="27"/>
      <c r="AA128" s="27"/>
    </row>
    <row r="129" ht="12.75" customHeight="1">
      <c r="A129" s="194"/>
      <c r="B129" s="195"/>
      <c r="C129" s="27">
        <f>IF(S101="Boring But Big",IF(W105="","",MROUND(T105*W105,'Start-Options'!$B$38)),"")</f>
        <v>32.5</v>
      </c>
      <c r="D129" s="27"/>
      <c r="E129" s="78">
        <f>IF(S101="Boring But Big",10,"")</f>
        <v>10</v>
      </c>
      <c r="F129" s="220"/>
      <c r="G129" s="154"/>
      <c r="H129" s="155"/>
      <c r="I129" s="27"/>
      <c r="J129" s="194"/>
      <c r="K129" s="195"/>
      <c r="L129" s="27">
        <f>IF(S101="Boring But Big",IF(X105="","",MROUND(T105*X105,'Start-Options'!$B$38)),"")</f>
        <v>32.5</v>
      </c>
      <c r="M129" s="27"/>
      <c r="N129" s="78">
        <f>IF(S101="Boring But Big",10,"")</f>
        <v>10</v>
      </c>
      <c r="O129" s="154"/>
      <c r="P129" s="154"/>
      <c r="Q129" s="206"/>
      <c r="R129" s="27"/>
      <c r="S129" s="27"/>
      <c r="T129" s="27"/>
      <c r="U129" s="27"/>
      <c r="V129" s="27"/>
      <c r="W129" s="27"/>
      <c r="X129" s="27"/>
      <c r="Y129" s="27"/>
      <c r="Z129" s="27"/>
      <c r="AA129" s="27"/>
    </row>
    <row r="130" ht="12.75" customHeight="1">
      <c r="A130" s="196" t="s">
        <v>192</v>
      </c>
      <c r="B130" s="197" t="str">
        <f>IF(S101="Accessory Only","",IF(S101="Boring But Big",'Start-Options'!$B$5,T116))</f>
        <v>Deadlift</v>
      </c>
      <c r="C130" s="198">
        <f>IF(S101="Accessory Only","",IF(S101="Boring But Big",IF(W106="","",MROUND(T106*W106,'Start-Options'!$B$38)),IF(T111=531,MROUND(U116*0.65,'Start-Options'!$B$38),MROUND(U116*0.65,'Start-Options'!$B$38))))</f>
        <v>72.5</v>
      </c>
      <c r="D130" s="198"/>
      <c r="E130" s="199">
        <f>IF(S101="Accessory Only","",IF(S101="Boring But Big",10,5))</f>
        <v>10</v>
      </c>
      <c r="F130" s="239" t="s">
        <v>193</v>
      </c>
      <c r="G130" s="232">
        <v>42865.0</v>
      </c>
      <c r="H130" s="237"/>
      <c r="I130" s="27"/>
      <c r="J130" s="196" t="s">
        <v>192</v>
      </c>
      <c r="K130" s="197" t="str">
        <f>IF(S101="Accessory Only","",IF(S101="Boring But Big",'Start-Options'!$B$5,T116))</f>
        <v>Deadlift</v>
      </c>
      <c r="L130" s="198">
        <f>IF(S101="Accessory Only","",IF(S101="Boring But Big",IF(X106="","",MROUND(T106*X106,'Start-Options'!$B$38)),MROUND(U116*0.4,'Start-Options'!$B$38)))</f>
        <v>72.5</v>
      </c>
      <c r="M130" s="198"/>
      <c r="N130" s="199">
        <f>IF(S101="Accessory Only","",IF(S101="Boring But Big",10,5))</f>
        <v>10</v>
      </c>
      <c r="O130" s="185"/>
      <c r="P130" s="185"/>
      <c r="Q130" s="187"/>
      <c r="R130" s="27"/>
      <c r="S130" s="27"/>
      <c r="T130" s="27"/>
      <c r="U130" s="27"/>
      <c r="V130" s="27"/>
      <c r="W130" s="27"/>
      <c r="X130" s="27"/>
      <c r="Y130" s="27"/>
      <c r="Z130" s="27"/>
      <c r="AA130" s="27"/>
    </row>
    <row r="131" ht="12.75" customHeight="1">
      <c r="A131" s="188"/>
      <c r="B131" s="189"/>
      <c r="C131" s="190">
        <f>IF(S101="Accessory Only","",IF(S101="Boring But Big",IF(W106="","",MROUND(T106*W106,'Start-Options'!$B$38)),IF(T111=531,MROUND(U116*0.75,'Start-Options'!$B$38),MROUND(U116*0.75,'Start-Options'!$B$38))))</f>
        <v>72.5</v>
      </c>
      <c r="D131" s="27"/>
      <c r="E131" s="78">
        <f>IF(S101="Accessory Only","",IF(S101="Boring But Big",10,5))</f>
        <v>10</v>
      </c>
      <c r="F131" s="220" t="s">
        <v>218</v>
      </c>
      <c r="G131" s="219" t="s">
        <v>219</v>
      </c>
      <c r="H131" s="238"/>
      <c r="I131" s="27"/>
      <c r="J131" s="188"/>
      <c r="K131" s="189"/>
      <c r="L131" s="190">
        <f>IF(S101="Accessory Only","",IF(S101="Boring But Big",IF(X106="","",MROUND(T106*X106,'Start-Options'!$B$38)),MROUND(U116*0.5,'Start-Options'!$B$38)))</f>
        <v>72.5</v>
      </c>
      <c r="M131" s="27"/>
      <c r="N131" s="78">
        <f>IF(S101="Accessory Only","",IF(S101="Boring But Big",10,5))</f>
        <v>10</v>
      </c>
      <c r="O131" s="220"/>
      <c r="P131" s="220"/>
      <c r="Q131" s="222"/>
      <c r="R131" s="27"/>
      <c r="S131" s="27"/>
      <c r="T131" s="27"/>
      <c r="U131" s="27"/>
      <c r="V131" s="27"/>
      <c r="W131" s="27"/>
      <c r="X131" s="27"/>
      <c r="Y131" s="27"/>
      <c r="Z131" s="27"/>
      <c r="AA131" s="27"/>
    </row>
    <row r="132" ht="12.75" customHeight="1">
      <c r="A132" s="188"/>
      <c r="B132" s="189"/>
      <c r="C132" s="190">
        <f>IF(S101="Accessory Only","",IF(S101="Boring But Big",IF(W106="","",MROUND(T106*W106,'Start-Options'!$B$38)),IF(T111=531,MROUND(U116*0.85,'Start-Options'!$B$38),MROUND(U116*0.85,'Start-Options'!$B$38))))</f>
        <v>72.5</v>
      </c>
      <c r="D132" s="27"/>
      <c r="E132" s="78">
        <f>IF(S101="Accessory Only","",IF(S101="Boring But Big",10,5))</f>
        <v>10</v>
      </c>
      <c r="F132" s="219"/>
      <c r="G132" s="219"/>
      <c r="H132" s="191"/>
      <c r="I132" s="27"/>
      <c r="J132" s="188"/>
      <c r="K132" s="189"/>
      <c r="L132" s="190">
        <f>IF(S101="Accessory Only","",IF(S101="Boring But Big",IF(X106="","",MROUND(T106*X106,'Start-Options'!$B$38)),MROUND(U116*0.6,'Start-Options'!$B$38)))</f>
        <v>72.5</v>
      </c>
      <c r="M132" s="27"/>
      <c r="N132" s="78">
        <f>IF(S101="Accessory Only","",IF(S101="Boring But Big",10,5))</f>
        <v>10</v>
      </c>
      <c r="O132" s="220"/>
      <c r="P132" s="220"/>
      <c r="Q132" s="222"/>
      <c r="R132" s="27"/>
      <c r="S132" s="27"/>
      <c r="T132" s="27"/>
      <c r="U132" s="27"/>
      <c r="V132" s="27"/>
      <c r="W132" s="27"/>
      <c r="X132" s="27"/>
      <c r="Y132" s="27"/>
      <c r="Z132" s="27"/>
      <c r="AA132" s="27"/>
    </row>
    <row r="133" ht="12.75" customHeight="1">
      <c r="A133" s="188"/>
      <c r="B133" s="189"/>
      <c r="C133" s="27">
        <f>IF(S101="Boring But Big",IF(W106="","",MROUND(T106*W106,'Start-Options'!$B$38)),"")</f>
        <v>72.5</v>
      </c>
      <c r="D133" s="27"/>
      <c r="E133" s="78">
        <f>IF(S101="Boring But Big",10,"")</f>
        <v>10</v>
      </c>
      <c r="F133" s="219"/>
      <c r="G133" s="219"/>
      <c r="H133" s="191"/>
      <c r="I133" s="27"/>
      <c r="J133" s="188"/>
      <c r="K133" s="189"/>
      <c r="L133" s="27">
        <f>IF(S101="Boring But Big",IF(X106="","",MROUND(T106*X106,'Start-Options'!$B$38)),"")</f>
        <v>72.5</v>
      </c>
      <c r="M133" s="27"/>
      <c r="N133" s="78">
        <f>IF(S101="Boring But Big",10,"")</f>
        <v>10</v>
      </c>
      <c r="O133" s="219"/>
      <c r="P133" s="219"/>
      <c r="Q133" s="201"/>
      <c r="R133" s="27"/>
      <c r="S133" s="27"/>
      <c r="T133" s="27"/>
      <c r="U133" s="27"/>
      <c r="V133" s="27"/>
      <c r="W133" s="27"/>
      <c r="X133" s="27"/>
      <c r="Y133" s="27"/>
      <c r="Z133" s="27"/>
      <c r="AA133" s="27"/>
    </row>
    <row r="134" ht="12.75" customHeight="1">
      <c r="A134" s="188"/>
      <c r="B134" s="195"/>
      <c r="C134" s="27">
        <f>IF(S101="Boring But Big",IF(W106="","",MROUND(T106*W106,'Start-Options'!$B$38)),"")</f>
        <v>72.5</v>
      </c>
      <c r="D134" s="27"/>
      <c r="E134" s="78">
        <f>IF(S101="Boring But Big",10,"")</f>
        <v>10</v>
      </c>
      <c r="F134" s="154"/>
      <c r="G134" s="154"/>
      <c r="H134" s="155"/>
      <c r="I134" s="27"/>
      <c r="J134" s="188"/>
      <c r="K134" s="195"/>
      <c r="L134" s="27">
        <f>IF(S101="Boring But Big",IF(X106="","",MROUND(T106*X106,'Start-Options'!$B$38)),"")</f>
        <v>72.5</v>
      </c>
      <c r="M134" s="27"/>
      <c r="N134" s="78">
        <f>IF(S101="Boring But Big",10,"")</f>
        <v>10</v>
      </c>
      <c r="O134" s="154"/>
      <c r="P134" s="154"/>
      <c r="Q134" s="206"/>
      <c r="R134" s="27"/>
      <c r="S134" s="27"/>
      <c r="T134" s="27"/>
      <c r="U134" s="27"/>
      <c r="V134" s="27"/>
      <c r="W134" s="27"/>
      <c r="X134" s="27"/>
      <c r="Y134" s="231"/>
      <c r="Z134" s="231"/>
      <c r="AA134" s="27"/>
    </row>
    <row r="135" ht="12.75" customHeight="1">
      <c r="A135" s="196" t="s">
        <v>200</v>
      </c>
      <c r="B135" s="197" t="str">
        <f>IF(S101="Accessory Only","",IF(S101="Boring But Big",'Start-Options'!$B$6,T117))</f>
        <v>Bench</v>
      </c>
      <c r="C135" s="198">
        <f>IF(S101="Accessory Only","",IF(S101="Boring But Big",IF(W107="","",MROUND(T107*W107,'Start-Options'!$B$38)),IF(T111=531,MROUND(U117*0.65,'Start-Options'!$B$38),MROUND(U117*0.65,'Start-Options'!$B$38))))</f>
        <v>45</v>
      </c>
      <c r="D135" s="198"/>
      <c r="E135" s="199">
        <f>IF(S101="Accessory Only","",IF(S101="Boring But Big",10,5))</f>
        <v>10</v>
      </c>
      <c r="F135" s="220" t="s">
        <v>186</v>
      </c>
      <c r="G135" s="232">
        <v>42865.0</v>
      </c>
      <c r="H135" s="237">
        <v>55.0</v>
      </c>
      <c r="I135" s="27"/>
      <c r="J135" s="196" t="s">
        <v>200</v>
      </c>
      <c r="K135" s="197" t="str">
        <f>IF(S101="Accessory Only","",IF(S101="Boring But Big",'Start-Options'!$B$6,T117))</f>
        <v>Bench</v>
      </c>
      <c r="L135" s="198">
        <f>IF(S101="Accessory Only","",IF(S101="Boring But Big",IF(X107="","",MROUND(T107*X107,'Start-Options'!$B$38)),MROUND(U117*0.4,'Start-Options'!$B$38)))</f>
        <v>45</v>
      </c>
      <c r="M135" s="198"/>
      <c r="N135" s="199">
        <f>IF(S101="Accessory Only","",IF(S101="Boring But Big",10,5))</f>
        <v>10</v>
      </c>
      <c r="O135" s="185"/>
      <c r="P135" s="185"/>
      <c r="Q135" s="187"/>
      <c r="R135" s="27"/>
      <c r="S135" s="27"/>
      <c r="T135" s="27"/>
      <c r="U135" s="27"/>
      <c r="V135" s="27"/>
      <c r="W135" s="27"/>
      <c r="X135" s="27"/>
      <c r="Y135" s="27"/>
      <c r="Z135" s="27"/>
      <c r="AA135" s="27"/>
    </row>
    <row r="136" ht="12.75" customHeight="1">
      <c r="A136" s="188"/>
      <c r="B136" s="189"/>
      <c r="C136" s="190">
        <f>IF(S101="Accessory Only","",IF(S101="Boring But Big",IF(W107="","",MROUND(T107*W107,'Start-Options'!$B$38)),IF(T111=531,MROUND(U117*0.75,'Start-Options'!$B$38),MROUND(U117*0.75,'Start-Options'!$B$38))))</f>
        <v>45</v>
      </c>
      <c r="D136" s="27"/>
      <c r="E136" s="78">
        <f>IF(S101="Accessory Only","",IF(S101="Boring But Big",10,5))</f>
        <v>10</v>
      </c>
      <c r="F136" s="220" t="s">
        <v>218</v>
      </c>
      <c r="G136" s="219" t="s">
        <v>219</v>
      </c>
      <c r="H136" s="238" t="s">
        <v>220</v>
      </c>
      <c r="I136" s="27"/>
      <c r="J136" s="188"/>
      <c r="K136" s="189"/>
      <c r="L136" s="190">
        <f>IF(S101="Accessory Only","",IF(S101="Boring But Big",IF(X107="","",MROUND(T107*X107,'Start-Options'!$B$38)),MROUND(U117*0.5,'Start-Options'!$B$38)))</f>
        <v>45</v>
      </c>
      <c r="M136" s="27"/>
      <c r="N136" s="78">
        <f>IF(S101="Accessory Only","",IF(S101="Boring But Big",10,5))</f>
        <v>10</v>
      </c>
      <c r="O136" s="220"/>
      <c r="P136" s="220"/>
      <c r="Q136" s="222"/>
      <c r="R136" s="27"/>
      <c r="S136" s="27"/>
      <c r="T136" s="27"/>
      <c r="U136" s="27"/>
      <c r="V136" s="27"/>
      <c r="W136" s="27"/>
      <c r="X136" s="27"/>
      <c r="Y136" s="27"/>
      <c r="Z136" s="27"/>
      <c r="AA136" s="27"/>
    </row>
    <row r="137" ht="12.75" customHeight="1">
      <c r="A137" s="188"/>
      <c r="B137" s="189"/>
      <c r="C137" s="190">
        <f>IF(S101="Accessory Only","",IF(S101="Boring But Big",IF(W107="","",MROUND(T107*W107,'Start-Options'!$B$38)),IF(T111=531,MROUND(U117*0.85,'Start-Options'!$B$38),MROUND(U117*0.85,'Start-Options'!$B$38))))</f>
        <v>45</v>
      </c>
      <c r="D137" s="27"/>
      <c r="E137" s="78">
        <f>IF(S101="Accessory Only","",IF(S101="Boring But Big",10,5))</f>
        <v>10</v>
      </c>
      <c r="F137" s="220"/>
      <c r="G137" s="219"/>
      <c r="H137" s="191"/>
      <c r="I137" s="27"/>
      <c r="J137" s="188"/>
      <c r="K137" s="189"/>
      <c r="L137" s="190">
        <f>IF(S101="Accessory Only","",IF(S101="Boring But Big",IF(X107="","",MROUND(T107*X107,'Start-Options'!$B$38)),MROUND(U117*0.6,'Start-Options'!$B$38)))</f>
        <v>45</v>
      </c>
      <c r="M137" s="27"/>
      <c r="N137" s="78">
        <f>IF(S101="Accessory Only","",IF(S101="Boring But Big",10,5))</f>
        <v>10</v>
      </c>
      <c r="O137" s="220"/>
      <c r="P137" s="220"/>
      <c r="Q137" s="222"/>
      <c r="R137" s="27"/>
      <c r="S137" s="27"/>
      <c r="T137" s="27"/>
      <c r="U137" s="27"/>
      <c r="V137" s="27"/>
      <c r="W137" s="27"/>
      <c r="X137" s="27"/>
      <c r="Y137" s="27"/>
      <c r="Z137" s="27"/>
      <c r="AA137" s="27"/>
    </row>
    <row r="138" ht="12.75" customHeight="1">
      <c r="A138" s="188"/>
      <c r="B138" s="189"/>
      <c r="C138" s="27">
        <f>IF(S101="Boring But Big",IF(W107="","",MROUND(T107*W107,'Start-Options'!$B$38)),"")</f>
        <v>45</v>
      </c>
      <c r="D138" s="27"/>
      <c r="E138" s="78">
        <f>IF(S101="Boring But Big",10,"")</f>
        <v>10</v>
      </c>
      <c r="F138" s="220"/>
      <c r="G138" s="219"/>
      <c r="H138" s="207"/>
      <c r="I138" s="27"/>
      <c r="J138" s="188"/>
      <c r="K138" s="189"/>
      <c r="L138" s="27">
        <f>IF(S101="Boring But Big",IF(X107="","",MROUND(T107*X107,'Start-Options'!$B$38)),"")</f>
        <v>45</v>
      </c>
      <c r="M138" s="27"/>
      <c r="N138" s="78">
        <f>IF(S101="Boring But Big",10,"")</f>
        <v>10</v>
      </c>
      <c r="O138" s="219"/>
      <c r="P138" s="219"/>
      <c r="Q138" s="201"/>
      <c r="R138" s="27"/>
      <c r="S138" s="27"/>
      <c r="T138" s="27"/>
      <c r="U138" s="27"/>
      <c r="V138" s="27"/>
      <c r="W138" s="27"/>
      <c r="X138" s="27"/>
      <c r="Y138" s="27"/>
      <c r="Z138" s="27"/>
      <c r="AA138" s="27"/>
    </row>
    <row r="139" ht="12.75" customHeight="1">
      <c r="A139" s="194"/>
      <c r="B139" s="195"/>
      <c r="C139" s="27">
        <f>IF(S101="Boring But Big",IF(W107="","",MROUND(T107*W107,'Start-Options'!$B$38)),"")</f>
        <v>45</v>
      </c>
      <c r="D139" s="27"/>
      <c r="E139" s="78">
        <f>IF(S101="Boring But Big",10,"")</f>
        <v>10</v>
      </c>
      <c r="F139" s="220"/>
      <c r="G139" s="154"/>
      <c r="H139" s="155"/>
      <c r="I139" s="27"/>
      <c r="J139" s="194"/>
      <c r="K139" s="195"/>
      <c r="L139" s="27">
        <f>IF(S101="Boring But Big",IF(X107="","",MROUND(T107*X107,'Start-Options'!$B$38)),"")</f>
        <v>45</v>
      </c>
      <c r="M139" s="27"/>
      <c r="N139" s="78">
        <f>IF(S101="Boring But Big",10,"")</f>
        <v>10</v>
      </c>
      <c r="O139" s="154"/>
      <c r="P139" s="154"/>
      <c r="Q139" s="206"/>
      <c r="R139" s="27"/>
      <c r="S139" s="27"/>
      <c r="T139" s="27"/>
      <c r="U139" s="27"/>
      <c r="V139" s="27"/>
      <c r="W139" s="27"/>
      <c r="X139" s="27"/>
      <c r="Y139" s="27"/>
      <c r="Z139" s="27"/>
      <c r="AA139" s="27"/>
    </row>
    <row r="140" ht="12.75" customHeight="1">
      <c r="A140" s="196" t="s">
        <v>201</v>
      </c>
      <c r="B140" s="197" t="str">
        <f>IF(S101="Accessory Only","",IF(S101="Boring But Big",'Start-Options'!$B$7,T118))</f>
        <v>Squat</v>
      </c>
      <c r="C140" s="198">
        <f>IF(S101="Accessory Only","",IF(S101="Boring But Big",IF(W108="","",MROUND(T108*W108,'Start-Options'!$B$38)),IF(T111=531,MROUND(U118*0.65,'Start-Options'!$B$38),MROUND(U118*0.65,'Start-Options'!$B$38))))</f>
        <v>55</v>
      </c>
      <c r="D140" s="198"/>
      <c r="E140" s="199">
        <f>IF(S101="Accessory Only","",IF(S101="Boring But Big",10,5))</f>
        <v>10</v>
      </c>
      <c r="F140" s="185" t="s">
        <v>193</v>
      </c>
      <c r="G140" s="232">
        <v>42865.0</v>
      </c>
      <c r="H140" s="237">
        <v>45.0</v>
      </c>
      <c r="I140" s="27"/>
      <c r="J140" s="196" t="s">
        <v>201</v>
      </c>
      <c r="K140" s="197" t="str">
        <f>IF(S101="Accessory Only","",IF(S101="Boring But Big",'Start-Options'!$B$7,T118))</f>
        <v>Squat</v>
      </c>
      <c r="L140" s="198">
        <f>IF(S101="Accessory Only","",IF(S101="Boring But Big",IF(X108="","",MROUND(T108*X108,'Start-Options'!$B$38)),MROUND(U118*0.4,'Start-Options'!$B$38)))</f>
        <v>55</v>
      </c>
      <c r="M140" s="198"/>
      <c r="N140" s="199">
        <f>IF(S101="Accessory Only","",IF(S101="Boring But Big",10,5))</f>
        <v>10</v>
      </c>
      <c r="O140" s="185"/>
      <c r="P140" s="185"/>
      <c r="Q140" s="187"/>
      <c r="R140" s="27"/>
      <c r="S140" s="27"/>
      <c r="T140" s="27"/>
      <c r="U140" s="27"/>
      <c r="V140" s="27"/>
      <c r="W140" s="27"/>
      <c r="X140" s="27"/>
      <c r="Y140" s="27"/>
      <c r="Z140" s="27"/>
      <c r="AA140" s="27"/>
    </row>
    <row r="141" ht="12.75" customHeight="1">
      <c r="A141" s="188"/>
      <c r="B141" s="189"/>
      <c r="C141" s="190">
        <f>IF(S101="Accessory Only","",IF(S101="Boring But Big",IF(W108="","",MROUND(T108*W108,'Start-Options'!$B$38)),IF(T111=531,MROUND(U118*0.75,'Start-Options'!$B$38),MROUND(U118*0.75,'Start-Options'!$B$38))))</f>
        <v>55</v>
      </c>
      <c r="D141" s="27"/>
      <c r="E141" s="78">
        <f>IF(S101="Accessory Only","",IF(S101="Boring But Big",10,5))</f>
        <v>10</v>
      </c>
      <c r="F141" s="220" t="s">
        <v>218</v>
      </c>
      <c r="G141" s="219" t="s">
        <v>219</v>
      </c>
      <c r="H141" s="238" t="s">
        <v>227</v>
      </c>
      <c r="I141" s="27"/>
      <c r="J141" s="188"/>
      <c r="K141" s="189"/>
      <c r="L141" s="190">
        <f>IF(S101="Accessory Only","",IF(S101="Boring But Big",IF(X108="","",MROUND(T108*X108,'Start-Options'!$B$38)),MROUND(U118*0.5,'Start-Options'!$B$38)))</f>
        <v>55</v>
      </c>
      <c r="M141" s="27"/>
      <c r="N141" s="78">
        <f>IF(S101="Accessory Only","",IF(S101="Boring But Big",10,5))</f>
        <v>10</v>
      </c>
      <c r="O141" s="220"/>
      <c r="P141" s="220"/>
      <c r="Q141" s="222"/>
      <c r="R141" s="27"/>
      <c r="S141" s="27"/>
      <c r="T141" s="27"/>
      <c r="U141" s="27"/>
      <c r="V141" s="27"/>
      <c r="W141" s="27"/>
      <c r="X141" s="27"/>
      <c r="Y141" s="27"/>
      <c r="Z141" s="27"/>
      <c r="AA141" s="27"/>
    </row>
    <row r="142" ht="12.75" customHeight="1">
      <c r="A142" s="188"/>
      <c r="B142" s="189"/>
      <c r="C142" s="190">
        <f>IF(S101="Accessory Only","",IF(S101="Boring But Big",IF(W108="","",MROUND(T108*W108,'Start-Options'!$B$38)),IF(T111=531,MROUND(U118*0.85,'Start-Options'!$B$38),MROUND(U118*0.85,'Start-Options'!$B$38))))</f>
        <v>55</v>
      </c>
      <c r="D142" s="27"/>
      <c r="E142" s="78">
        <f>IF(S101="Accessory Only","",IF(S101="Boring But Big",10,5))</f>
        <v>10</v>
      </c>
      <c r="F142" s="219"/>
      <c r="G142" s="219"/>
      <c r="H142" s="191"/>
      <c r="I142" s="27"/>
      <c r="J142" s="188"/>
      <c r="K142" s="189"/>
      <c r="L142" s="190">
        <f>IF(S101="Accessory Only","",IF(S101="Boring But Big",IF(X108="","",MROUND(T108*X108,'Start-Options'!$B$38)),MROUND(U118*0.6,'Start-Options'!$B$38)))</f>
        <v>55</v>
      </c>
      <c r="M142" s="27"/>
      <c r="N142" s="78">
        <f>IF(S101="Accessory Only","",IF(S101="Boring But Big",10,5))</f>
        <v>10</v>
      </c>
      <c r="O142" s="220"/>
      <c r="P142" s="220"/>
      <c r="Q142" s="222"/>
      <c r="R142" s="27"/>
      <c r="S142" s="27"/>
      <c r="T142" s="27"/>
      <c r="U142" s="27"/>
      <c r="V142" s="27"/>
      <c r="W142" s="27"/>
      <c r="X142" s="27"/>
      <c r="Y142" s="27"/>
      <c r="Z142" s="27"/>
      <c r="AA142" s="27"/>
    </row>
    <row r="143" ht="12.75" customHeight="1">
      <c r="A143" s="188"/>
      <c r="B143" s="189"/>
      <c r="C143" s="27">
        <f>IF(S101="Boring But Big",IF(W108="","",MROUND(T108*W108,'Start-Options'!$B$38)),"")</f>
        <v>55</v>
      </c>
      <c r="D143" s="27"/>
      <c r="E143" s="78">
        <f>IF(S101="Boring But Big",10,"")</f>
        <v>10</v>
      </c>
      <c r="F143" s="219"/>
      <c r="G143" s="219"/>
      <c r="H143" s="191"/>
      <c r="I143" s="27"/>
      <c r="J143" s="188"/>
      <c r="K143" s="189"/>
      <c r="L143" s="27">
        <f>IF(S101="Boring But Big",IF(X108="","",MROUND(T108*X108,'Start-Options'!$B$38)),"")</f>
        <v>55</v>
      </c>
      <c r="M143" s="27"/>
      <c r="N143" s="78">
        <f>IF(S101="Boring But Big",10,"")</f>
        <v>10</v>
      </c>
      <c r="O143" s="151"/>
      <c r="P143" s="219"/>
      <c r="Q143" s="224"/>
      <c r="R143" s="27"/>
      <c r="S143" s="27"/>
      <c r="T143" s="27"/>
      <c r="U143" s="27"/>
      <c r="V143" s="27"/>
      <c r="W143" s="27"/>
      <c r="X143" s="27"/>
      <c r="Y143" s="27"/>
      <c r="Z143" s="27"/>
      <c r="AA143" s="27"/>
    </row>
    <row r="144" ht="13.5" customHeight="1">
      <c r="A144" s="194"/>
      <c r="B144" s="225"/>
      <c r="C144" s="226">
        <f>IF(S101="Boring But Big",IF(W108="","",MROUND(T108*W108,'Start-Options'!$B$38)),"")</f>
        <v>55</v>
      </c>
      <c r="D144" s="158"/>
      <c r="E144" s="227">
        <f>IF(S101="Boring But Big",10,"")</f>
        <v>10</v>
      </c>
      <c r="F144" s="154"/>
      <c r="G144" s="154"/>
      <c r="H144" s="155"/>
      <c r="I144" s="158"/>
      <c r="J144" s="194"/>
      <c r="K144" s="225"/>
      <c r="L144" s="226">
        <f>IF(S101="Boring But Big",IF(X108="","",MROUND(T108*X108,'Start-Options'!$B$38)),"")</f>
        <v>55</v>
      </c>
      <c r="M144" s="158"/>
      <c r="N144" s="227">
        <f>IF(S101="Boring But Big",10,"")</f>
        <v>10</v>
      </c>
      <c r="O144" s="229"/>
      <c r="P144" s="228"/>
      <c r="Q144" s="230"/>
      <c r="R144" s="27"/>
      <c r="S144" s="27"/>
      <c r="T144" s="27"/>
      <c r="U144" s="27"/>
      <c r="V144" s="27"/>
      <c r="W144" s="27"/>
      <c r="X144" s="27"/>
      <c r="Y144" s="27"/>
      <c r="Z144" s="27"/>
      <c r="AA144" s="27"/>
    </row>
    <row r="145" ht="12.75" customHeight="1">
      <c r="A145" s="240"/>
      <c r="B145" s="235"/>
      <c r="C145" s="27"/>
      <c r="D145" s="27"/>
      <c r="E145" s="27"/>
      <c r="F145" s="27"/>
      <c r="G145" s="27"/>
      <c r="H145" s="27"/>
      <c r="I145" s="27"/>
      <c r="J145" s="240"/>
      <c r="K145" s="235"/>
      <c r="L145" s="27"/>
      <c r="M145" s="27"/>
      <c r="N145" s="27"/>
      <c r="O145" s="27"/>
      <c r="P145" s="27"/>
      <c r="Q145" s="27"/>
      <c r="R145" s="27"/>
      <c r="S145" s="27"/>
      <c r="T145" s="27"/>
      <c r="U145" s="27"/>
      <c r="V145" s="27"/>
      <c r="W145" s="27"/>
      <c r="X145" s="27"/>
      <c r="Y145" s="27"/>
      <c r="Z145" s="27"/>
      <c r="AA145" s="27"/>
    </row>
    <row r="146" ht="21.0" customHeight="1">
      <c r="A146" s="168"/>
      <c r="B146" s="27"/>
      <c r="C146" s="27"/>
      <c r="D146" s="27"/>
      <c r="E146" s="27"/>
      <c r="F146" s="27"/>
      <c r="G146" s="27"/>
      <c r="H146" s="27"/>
      <c r="I146" s="169" t="s">
        <v>112</v>
      </c>
      <c r="J146" s="27"/>
      <c r="K146" s="27"/>
      <c r="L146" s="27"/>
      <c r="M146" s="27"/>
      <c r="N146" s="27"/>
      <c r="O146" s="27"/>
      <c r="P146" s="27"/>
      <c r="Q146" s="27"/>
      <c r="R146" s="27"/>
      <c r="S146" s="27"/>
      <c r="T146" s="27"/>
      <c r="U146" s="27"/>
      <c r="V146" s="27"/>
      <c r="W146" s="27"/>
      <c r="X146" s="27"/>
      <c r="Y146" s="27"/>
      <c r="Z146" s="27"/>
      <c r="AA146" s="27"/>
    </row>
    <row r="147" ht="12.75" customHeight="1">
      <c r="A147" s="170" t="s">
        <v>236</v>
      </c>
      <c r="B147" s="171" t="s">
        <v>177</v>
      </c>
      <c r="C147" s="172"/>
      <c r="D147" s="172"/>
      <c r="E147" s="173"/>
      <c r="F147" s="171" t="s">
        <v>178</v>
      </c>
      <c r="G147" s="172"/>
      <c r="H147" s="173"/>
      <c r="I147" s="91"/>
      <c r="J147" s="174" t="s">
        <v>237</v>
      </c>
      <c r="K147" s="171" t="s">
        <v>177</v>
      </c>
      <c r="L147" s="172"/>
      <c r="M147" s="172"/>
      <c r="N147" s="173"/>
      <c r="O147" s="171" t="s">
        <v>178</v>
      </c>
      <c r="P147" s="172"/>
      <c r="Q147" s="94"/>
      <c r="R147" s="27"/>
      <c r="S147" s="70" t="s">
        <v>180</v>
      </c>
      <c r="T147" s="175"/>
      <c r="U147" s="71"/>
      <c r="V147" s="27"/>
      <c r="W147" s="27"/>
      <c r="X147" s="27"/>
      <c r="Y147" s="27"/>
      <c r="Z147" s="27"/>
      <c r="AA147" s="27"/>
    </row>
    <row r="148" ht="13.5" customHeight="1">
      <c r="A148" s="176"/>
      <c r="B148" s="177" t="s">
        <v>181</v>
      </c>
      <c r="C148" s="178" t="s">
        <v>26</v>
      </c>
      <c r="D148" s="178"/>
      <c r="E148" s="178" t="s">
        <v>27</v>
      </c>
      <c r="F148" s="178" t="s">
        <v>182</v>
      </c>
      <c r="G148" s="178" t="s">
        <v>183</v>
      </c>
      <c r="H148" s="179" t="s">
        <v>26</v>
      </c>
      <c r="I148" s="27"/>
      <c r="J148" s="180"/>
      <c r="K148" s="177" t="s">
        <v>181</v>
      </c>
      <c r="L148" s="178" t="s">
        <v>26</v>
      </c>
      <c r="M148" s="178"/>
      <c r="N148" s="178" t="s">
        <v>27</v>
      </c>
      <c r="O148" s="178" t="s">
        <v>182</v>
      </c>
      <c r="P148" s="179" t="s">
        <v>183</v>
      </c>
      <c r="Q148" s="181" t="s">
        <v>26</v>
      </c>
      <c r="R148" s="27"/>
      <c r="S148" s="236" t="s">
        <v>184</v>
      </c>
      <c r="T148" s="41"/>
      <c r="U148" s="42"/>
      <c r="V148" s="27"/>
      <c r="W148" s="27"/>
      <c r="X148" s="27"/>
      <c r="Y148" s="27"/>
      <c r="Z148" s="27"/>
      <c r="AA148" s="27"/>
    </row>
    <row r="149" ht="12.75" customHeight="1">
      <c r="A149" s="183" t="s">
        <v>185</v>
      </c>
      <c r="B149" s="184" t="str">
        <f>IF(S148="Accessory Only","",IF(S148="Boring But Big",'Start-Options'!$B$4,T162))</f>
        <v>Military</v>
      </c>
      <c r="C149" s="27">
        <f>IF(S148="Accessory Only","",IF(S148="Boring But Big",IF(U152="","",MROUND(T152*U152,'Start-Options'!$B$38)),IF(T158=531,MROUND(U162*0.5,'Start-Options'!$B$38),MROUND(U162*0.6,'Start-Options'!$B$38))))</f>
        <v>35</v>
      </c>
      <c r="D149" s="27"/>
      <c r="E149" s="78">
        <f>IF(S148="Accessory Only","",IF(S148="Boring But Big",10,IF(T158=531,10,8)))</f>
        <v>10</v>
      </c>
      <c r="F149" s="220"/>
      <c r="G149" s="220"/>
      <c r="H149" s="186"/>
      <c r="I149" s="77"/>
      <c r="J149" s="183" t="s">
        <v>185</v>
      </c>
      <c r="K149" s="184" t="str">
        <f>IF(S148="Accessory Only","",IF(S148="Boring But Big",'Start-Options'!$B$4,T162))</f>
        <v>Military</v>
      </c>
      <c r="L149" s="27">
        <f>IF(S148="Accessory Only","",IF(S148="Boring But Big",IF(V152="","",MROUND(T152*V152,'Start-Options'!$B$38)),IF(T158=531,MROUND(U162*0.6,'Start-Options'!$B$38),MROUND(U162*0.5,'Start-Options'!$B$38))))</f>
        <v>35</v>
      </c>
      <c r="M149" s="241"/>
      <c r="N149" s="242">
        <v>8.0</v>
      </c>
      <c r="O149" s="220"/>
      <c r="P149" s="220"/>
      <c r="Q149" s="222"/>
      <c r="R149" s="27"/>
      <c r="S149" s="27"/>
      <c r="T149" s="27"/>
      <c r="U149" s="27"/>
      <c r="V149" s="27"/>
      <c r="W149" s="27"/>
      <c r="X149" s="27"/>
      <c r="Y149" s="27"/>
      <c r="Z149" s="27"/>
      <c r="AA149" s="27"/>
    </row>
    <row r="150" ht="12.75" customHeight="1">
      <c r="A150" s="188"/>
      <c r="B150" s="189"/>
      <c r="C150" s="190">
        <f>IF(S148="Accessory Only","",IF(S148="Boring But Big",IF(U152="","",MROUND(T152*U152,'Start-Options'!$B$38)),IF(T158=531,MROUND(U162*0.6,'Start-Options'!$B$38),MROUND(U162*0.7,'Start-Options'!$B$38))))</f>
        <v>35</v>
      </c>
      <c r="D150" s="27"/>
      <c r="E150" s="78">
        <f>IF(S148="Accessory Only","",IF(S148="Boring But Big",10,IF(T158=531,10,8)))</f>
        <v>10</v>
      </c>
      <c r="F150" s="219"/>
      <c r="G150" s="219"/>
      <c r="H150" s="191"/>
      <c r="I150" s="27"/>
      <c r="J150" s="188"/>
      <c r="K150" s="189"/>
      <c r="L150" s="190">
        <f>IF(S148="Accessory Only","",IF(S148="Boring But Big",IF(V152="","",MROUND(T152*V152,'Start-Options'!$B$38)),IF(T158=531,MROUND(U162*0.7,'Start-Options'!$B$38),MROUND(U162*0.6,'Start-Options'!$B$38))))</f>
        <v>35</v>
      </c>
      <c r="M150" s="241"/>
      <c r="N150" s="242">
        <v>8.0</v>
      </c>
      <c r="O150" s="219"/>
      <c r="P150" s="219"/>
      <c r="Q150" s="201"/>
      <c r="R150" s="27"/>
      <c r="S150" s="70" t="s">
        <v>184</v>
      </c>
      <c r="T150" s="175"/>
      <c r="U150" s="175"/>
      <c r="V150" s="175"/>
      <c r="W150" s="175"/>
      <c r="X150" s="71"/>
      <c r="Y150" s="27"/>
      <c r="Z150" s="27"/>
      <c r="AA150" s="27"/>
    </row>
    <row r="151" ht="12.75" customHeight="1">
      <c r="A151" s="188"/>
      <c r="B151" s="189"/>
      <c r="C151" s="190">
        <f>IF(S148="Accessory Only","",IF(S148="Boring But Big",IF(U152="","",MROUND(T152*U152,'Start-Options'!$B$38)),IF(T158=531,MROUND(U162*0.7,'Start-Options'!$B$38),MROUND(U162*0.8,'Start-Options'!$B$38))))</f>
        <v>35</v>
      </c>
      <c r="D151" s="27"/>
      <c r="E151" s="78">
        <f>IF(S148="Accessory Only","",IF(S148="Boring But Big",10,IF(T158=531,10,6)))</f>
        <v>10</v>
      </c>
      <c r="F151" s="219"/>
      <c r="G151" s="219"/>
      <c r="H151" s="191"/>
      <c r="I151" s="27"/>
      <c r="J151" s="188"/>
      <c r="K151" s="189"/>
      <c r="L151" s="190">
        <f>IF(S148="Accessory Only","",IF(S148="Boring But Big",IF(V152="","",MROUND(T152*V152,'Start-Options'!$B$38)),IF(T158=531,MROUND(U162*0.8,'Start-Options'!$B$38),MROUND(U162*0.7,'Start-Options'!$B$38))))</f>
        <v>35</v>
      </c>
      <c r="M151" s="241"/>
      <c r="N151" s="242">
        <v>8.0</v>
      </c>
      <c r="O151" s="219"/>
      <c r="P151" s="219"/>
      <c r="Q151" s="201"/>
      <c r="R151" s="27"/>
      <c r="S151" s="25" t="s">
        <v>187</v>
      </c>
      <c r="T151" s="25" t="s">
        <v>28</v>
      </c>
      <c r="U151" s="25" t="s">
        <v>188</v>
      </c>
      <c r="V151" s="25" t="s">
        <v>189</v>
      </c>
      <c r="W151" s="192" t="s">
        <v>190</v>
      </c>
      <c r="X151" s="192" t="s">
        <v>191</v>
      </c>
      <c r="Y151" s="27"/>
      <c r="Z151" s="27"/>
      <c r="AA151" s="27"/>
    </row>
    <row r="152" ht="12.75" customHeight="1">
      <c r="A152" s="188"/>
      <c r="B152" s="189"/>
      <c r="C152" s="27">
        <f>IF(S148="Boring But Big",IF(U152="","",MROUND(T152*U152,'Start-Options'!$B$38)),"")</f>
        <v>35</v>
      </c>
      <c r="D152" s="27"/>
      <c r="E152" s="78">
        <f>IF(S148="Boring But Big",10,"")</f>
        <v>10</v>
      </c>
      <c r="F152" s="219"/>
      <c r="G152" s="219"/>
      <c r="H152" s="191"/>
      <c r="I152" s="27"/>
      <c r="J152" s="188"/>
      <c r="K152" s="189"/>
      <c r="L152" s="27">
        <f>IF(S148="Boring But Big",IF(V152="","",MROUND(T152*V152,'Start-Options'!$B$38)),"")</f>
        <v>35</v>
      </c>
      <c r="M152" s="241"/>
      <c r="N152" s="242">
        <v>8.0</v>
      </c>
      <c r="O152" s="219"/>
      <c r="P152" s="219"/>
      <c r="Q152" s="201"/>
      <c r="R152" s="27"/>
      <c r="S152" s="25" t="s">
        <v>30</v>
      </c>
      <c r="T152" s="25">
        <f>'531'!Z61</f>
        <v>57.5</v>
      </c>
      <c r="U152" s="193">
        <v>0.6</v>
      </c>
      <c r="V152" s="193">
        <v>0.6</v>
      </c>
      <c r="W152" s="193">
        <v>0.6</v>
      </c>
      <c r="X152" s="193">
        <v>0.6</v>
      </c>
      <c r="Y152" s="27"/>
      <c r="Z152" s="27"/>
      <c r="AA152" s="27"/>
    </row>
    <row r="153" ht="12.75" customHeight="1">
      <c r="A153" s="194"/>
      <c r="B153" s="195"/>
      <c r="C153" s="27">
        <f>IF(S148="Boring But Big",IF(U152="","",MROUND(T152*U152,'Start-Options'!$B$38)),"")</f>
        <v>35</v>
      </c>
      <c r="D153" s="27"/>
      <c r="E153" s="78">
        <f>IF(S148="Boring But Big",10,"")</f>
        <v>10</v>
      </c>
      <c r="F153" s="154"/>
      <c r="G153" s="154"/>
      <c r="H153" s="155"/>
      <c r="I153" s="27"/>
      <c r="J153" s="194"/>
      <c r="K153" s="195"/>
      <c r="L153" s="27">
        <f>IF(S148="Boring But Big",IF(V152="","",MROUND(T152*V152,'Start-Options'!$B$38)),"")</f>
        <v>35</v>
      </c>
      <c r="M153" s="241"/>
      <c r="N153" s="242">
        <v>8.0</v>
      </c>
      <c r="O153" s="154"/>
      <c r="P153" s="154"/>
      <c r="Q153" s="206"/>
      <c r="R153" s="27"/>
      <c r="S153" s="25" t="s">
        <v>31</v>
      </c>
      <c r="T153" s="25">
        <f>'531'!Z62</f>
        <v>125</v>
      </c>
      <c r="U153" s="193">
        <v>0.6</v>
      </c>
      <c r="V153" s="193">
        <v>0.6</v>
      </c>
      <c r="W153" s="193">
        <v>0.6</v>
      </c>
      <c r="X153" s="193">
        <v>0.6</v>
      </c>
      <c r="Y153" s="27"/>
      <c r="Z153" s="27"/>
      <c r="AA153" s="27"/>
    </row>
    <row r="154" ht="12.75" customHeight="1">
      <c r="A154" s="196" t="s">
        <v>192</v>
      </c>
      <c r="B154" s="197" t="str">
        <f>IF(S148="Accessory Only","",IF(S148="Boring But Big",'Start-Options'!$B$5,T163))</f>
        <v>Deadlift</v>
      </c>
      <c r="C154" s="198">
        <f>IF(S148="Accessory Only","",IF(S148="Boring But Big",IF(U153="","",MROUND(T153*U153,'Start-Options'!$B$38)),IF(T158=531,MROUND(U163*0.5,'Start-Options'!$B$38),MROUND(U163*0.6,'Start-Options'!$B$38))))</f>
        <v>75</v>
      </c>
      <c r="D154" s="198"/>
      <c r="E154" s="199">
        <f>IF(S148="Accessory Only","",IF(S148="Boring But Big",10,IF(T158=531,10,8)))</f>
        <v>10</v>
      </c>
      <c r="F154" s="185"/>
      <c r="G154" s="185"/>
      <c r="H154" s="200"/>
      <c r="I154" s="27"/>
      <c r="J154" s="196" t="s">
        <v>192</v>
      </c>
      <c r="K154" s="197" t="str">
        <f>IF(S148="Accessory Only","",IF(S148="Boring But Big",'Start-Options'!$B$5,T163))</f>
        <v>Deadlift</v>
      </c>
      <c r="L154" s="198">
        <f>IF(S148="Accessory Only","",IF(S148="Boring But Big",IF(V153="","",MROUND(T153*V153,'Start-Options'!$B$38)),IF(T158=531,MROUND(U163*0.6,'Start-Options'!$B$38),MROUND(U163*0.5,'Start-Options'!$B$38))))</f>
        <v>75</v>
      </c>
      <c r="M154" s="243"/>
      <c r="N154" s="244">
        <v>8.0</v>
      </c>
      <c r="O154" s="185"/>
      <c r="P154" s="185"/>
      <c r="Q154" s="187"/>
      <c r="R154" s="27"/>
      <c r="S154" s="25" t="s">
        <v>32</v>
      </c>
      <c r="T154" s="25">
        <f>'531'!Z63</f>
        <v>77.5</v>
      </c>
      <c r="U154" s="193">
        <v>0.6</v>
      </c>
      <c r="V154" s="193">
        <v>0.6</v>
      </c>
      <c r="W154" s="193">
        <v>0.6</v>
      </c>
      <c r="X154" s="193">
        <v>0.6</v>
      </c>
      <c r="Y154" s="27"/>
      <c r="Z154" s="27"/>
      <c r="AA154" s="27"/>
    </row>
    <row r="155" ht="12.75" customHeight="1">
      <c r="A155" s="188"/>
      <c r="B155" s="189"/>
      <c r="C155" s="190">
        <f>IF(S148="Accessory Only","",IF(S148="Boring But Big",IF(U153="","",MROUND(T153*U153,'Start-Options'!$B$38)),IF(T158=531,MROUND(U163*0.6,'Start-Options'!$B$38),MROUND(U163*0.7,'Start-Options'!$B$38))))</f>
        <v>75</v>
      </c>
      <c r="D155" s="27"/>
      <c r="E155" s="78">
        <f>IF(S148="Accessory Only","",IF(S148="Boring But Big",10,IF(T158=531,10,8)))</f>
        <v>10</v>
      </c>
      <c r="F155" s="219"/>
      <c r="G155" s="219"/>
      <c r="H155" s="191"/>
      <c r="I155" s="27"/>
      <c r="J155" s="188"/>
      <c r="K155" s="189"/>
      <c r="L155" s="190">
        <f>IF(S148="Accessory Only","",IF(S148="Boring But Big",IF(V153="","",MROUND(T153*V153,'Start-Options'!$B$38)),IF(T158=531,MROUND(U163*0.7,'Start-Options'!$B$38),MROUND(U163*0.6,'Start-Options'!$B$38))))</f>
        <v>75</v>
      </c>
      <c r="M155" s="241"/>
      <c r="N155" s="242">
        <v>8.0</v>
      </c>
      <c r="O155" s="219"/>
      <c r="P155" s="219"/>
      <c r="Q155" s="201"/>
      <c r="R155" s="27"/>
      <c r="S155" s="25" t="s">
        <v>194</v>
      </c>
      <c r="T155" s="25">
        <f>'531'!Z64</f>
        <v>95</v>
      </c>
      <c r="U155" s="193">
        <v>0.6</v>
      </c>
      <c r="V155" s="193">
        <v>0.6</v>
      </c>
      <c r="W155" s="193">
        <v>0.6</v>
      </c>
      <c r="X155" s="193">
        <v>0.6</v>
      </c>
      <c r="Y155" s="27"/>
      <c r="Z155" s="27"/>
      <c r="AA155" s="27"/>
    </row>
    <row r="156" ht="12.75" customHeight="1">
      <c r="A156" s="188"/>
      <c r="B156" s="189"/>
      <c r="C156" s="190">
        <f>IF(S148="Accessory Only","",IF(S148="Boring But Big",IF(U153="","",MROUND(T153*U153,'Start-Options'!$B$38)),IF(T158=531,MROUND(U163*0.7,'Start-Options'!$B$38),MROUND(U163*0.8,'Start-Options'!$B$38))))</f>
        <v>75</v>
      </c>
      <c r="D156" s="27"/>
      <c r="E156" s="78">
        <f>IF(S148="Accessory Only","",IF(S148="Boring But Big",10,IF(T158=531,10,6)))</f>
        <v>10</v>
      </c>
      <c r="F156" s="219"/>
      <c r="G156" s="219"/>
      <c r="H156" s="191"/>
      <c r="I156" s="27"/>
      <c r="J156" s="188"/>
      <c r="K156" s="189"/>
      <c r="L156" s="190">
        <f>IF(S148="Accessory Only","",IF(S148="Boring But Big",IF(V153="","",MROUND(T153*V153,'Start-Options'!$B$38)),IF(T158=531,MROUND(U163*0.8,'Start-Options'!$B$38),MROUND(U163*0.7,'Start-Options'!$B$38))))</f>
        <v>75</v>
      </c>
      <c r="M156" s="241"/>
      <c r="N156" s="242">
        <v>8.0</v>
      </c>
      <c r="O156" s="219"/>
      <c r="P156" s="219"/>
      <c r="Q156" s="201"/>
      <c r="R156" s="27"/>
      <c r="S156" s="27"/>
      <c r="T156" s="27"/>
      <c r="U156" s="27"/>
      <c r="V156" s="27"/>
      <c r="W156" s="27"/>
      <c r="X156" s="27"/>
      <c r="Y156" s="27"/>
      <c r="Z156" s="27"/>
      <c r="AA156" s="27"/>
    </row>
    <row r="157" ht="12.75" customHeight="1">
      <c r="A157" s="188"/>
      <c r="B157" s="189"/>
      <c r="C157" s="27">
        <f>IF(S148="Boring But Big",IF(U153="","",MROUND(T153*U153,'Start-Options'!$B$38)),"")</f>
        <v>75</v>
      </c>
      <c r="D157" s="27"/>
      <c r="E157" s="78">
        <f>IF(S148="Boring But Big",10,"")</f>
        <v>10</v>
      </c>
      <c r="F157" s="219"/>
      <c r="G157" s="219"/>
      <c r="H157" s="191"/>
      <c r="I157" s="27"/>
      <c r="J157" s="188"/>
      <c r="K157" s="189"/>
      <c r="L157" s="27">
        <f>IF(S148="Boring But Big",IF(V153="","",MROUND(T153*V153,'Start-Options'!$B$38)),"")</f>
        <v>75</v>
      </c>
      <c r="M157" s="241"/>
      <c r="N157" s="242">
        <v>8.0</v>
      </c>
      <c r="O157" s="219"/>
      <c r="P157" s="219"/>
      <c r="Q157" s="201"/>
      <c r="R157" s="27"/>
      <c r="S157" s="70" t="s">
        <v>204</v>
      </c>
      <c r="T157" s="71"/>
      <c r="U157" s="27"/>
      <c r="V157" s="27"/>
      <c r="W157" s="27"/>
      <c r="X157" s="27"/>
      <c r="Y157" s="27"/>
      <c r="Z157" s="27"/>
      <c r="AA157" s="27"/>
    </row>
    <row r="158" ht="12.75" customHeight="1">
      <c r="A158" s="188"/>
      <c r="B158" s="195"/>
      <c r="C158" s="27">
        <f>IF(S148="Boring But Big",IF(U153="","",MROUND(T153*U153,'Start-Options'!$B$38)),"")</f>
        <v>75</v>
      </c>
      <c r="D158" s="27"/>
      <c r="E158" s="78">
        <f>IF(S148="Boring But Big",10,"")</f>
        <v>10</v>
      </c>
      <c r="F158" s="154"/>
      <c r="G158" s="154"/>
      <c r="H158" s="155"/>
      <c r="I158" s="27"/>
      <c r="J158" s="188"/>
      <c r="K158" s="195"/>
      <c r="L158" s="27">
        <f>IF(S148="Boring But Big",IF(V153="","",MROUND(T153*V153,'Start-Options'!$B$38)),"")</f>
        <v>75</v>
      </c>
      <c r="M158" s="241"/>
      <c r="N158" s="242">
        <v>8.0</v>
      </c>
      <c r="O158" s="154"/>
      <c r="P158" s="154"/>
      <c r="Q158" s="206"/>
      <c r="R158" s="27"/>
      <c r="S158" s="25" t="s">
        <v>205</v>
      </c>
      <c r="T158" s="28">
        <v>531.0</v>
      </c>
      <c r="U158" s="27"/>
      <c r="V158" s="27"/>
      <c r="W158" s="27"/>
      <c r="X158" s="27"/>
      <c r="Y158" s="27"/>
      <c r="Z158" s="27"/>
      <c r="AA158" s="27"/>
    </row>
    <row r="159" ht="12.75" customHeight="1">
      <c r="A159" s="196" t="s">
        <v>200</v>
      </c>
      <c r="B159" s="197" t="str">
        <f>IF(S148="Accessory Only","",IF(S148="Boring But Big",'Start-Options'!$B$6,T164))</f>
        <v>Bench</v>
      </c>
      <c r="C159" s="198">
        <f>IF(S148="Accessory Only","",IF(S148="Boring But Big",IF(U154="","",MROUND(T154*U154,'Start-Options'!$B$38)),IF(T158=531,MROUND(U164*0.5,'Start-Options'!$B$38),MROUND(U164*0.6,'Start-Options'!$B$38))))</f>
        <v>47.5</v>
      </c>
      <c r="D159" s="198"/>
      <c r="E159" s="199">
        <f>IF(S148="Accessory Only","",IF(S148="Boring But Big",10,IF(T158=531,10,8)))</f>
        <v>10</v>
      </c>
      <c r="F159" s="185"/>
      <c r="G159" s="185"/>
      <c r="H159" s="200"/>
      <c r="I159" s="27"/>
      <c r="J159" s="196" t="s">
        <v>200</v>
      </c>
      <c r="K159" s="197" t="str">
        <f>IF(S148="Accessory Only","",IF(S148="Boring But Big",'Start-Options'!$B$6,T164))</f>
        <v>Bench</v>
      </c>
      <c r="L159" s="198">
        <f>IF(S148="Accessory Only","",IF(S148="Boring But Big",IF(V154="","",MROUND(T154*V154,'Start-Options'!$B$38)),IF(T158=531,MROUND(U164*0.6,'Start-Options'!$B$38),MROUND(U164*0.5,'Start-Options'!$B$38))))</f>
        <v>47.5</v>
      </c>
      <c r="M159" s="243"/>
      <c r="N159" s="244">
        <v>8.0</v>
      </c>
      <c r="O159" s="185"/>
      <c r="P159" s="185"/>
      <c r="Q159" s="187"/>
      <c r="R159" s="27"/>
      <c r="S159" s="27"/>
      <c r="T159" s="27"/>
      <c r="U159" s="27"/>
      <c r="V159" s="27"/>
      <c r="W159" s="27"/>
      <c r="X159" s="27"/>
      <c r="Y159" s="27"/>
      <c r="Z159" s="27"/>
      <c r="AA159" s="27"/>
    </row>
    <row r="160" ht="12.75" customHeight="1">
      <c r="A160" s="188"/>
      <c r="B160" s="189"/>
      <c r="C160" s="190">
        <f>IF(S148="Accessory Only","",IF(S148="Boring But Big",IF(U154="","",MROUND(T154*U154,'Start-Options'!$B$38)),IF(T158=531,MROUND(U164*0.6,'Start-Options'!$B$38),MROUND(U164*0.7,'Start-Options'!$B$38))))</f>
        <v>47.5</v>
      </c>
      <c r="D160" s="27"/>
      <c r="E160" s="78">
        <f>IF(S148="Accessory Only","",IF(S148="Boring But Big",10,IF(T158=531,10,8)))</f>
        <v>10</v>
      </c>
      <c r="F160" s="219"/>
      <c r="G160" s="219"/>
      <c r="H160" s="191"/>
      <c r="I160" s="27"/>
      <c r="J160" s="188"/>
      <c r="K160" s="189"/>
      <c r="L160" s="190">
        <f>IF(S148="Accessory Only","",IF(S148="Boring But Big",IF(V154="","",MROUND(T154*V154,'Start-Options'!$B$38)),IF(T158=531,MROUND(U164*0.7,'Start-Options'!$B$38),MROUND(U164*0.6,'Start-Options'!$B$38))))</f>
        <v>47.5</v>
      </c>
      <c r="M160" s="241"/>
      <c r="N160" s="242">
        <v>8.0</v>
      </c>
      <c r="O160" s="219"/>
      <c r="P160" s="219"/>
      <c r="Q160" s="201"/>
      <c r="R160" s="27"/>
      <c r="S160" s="70" t="s">
        <v>204</v>
      </c>
      <c r="T160" s="175"/>
      <c r="U160" s="71"/>
      <c r="V160" s="27"/>
      <c r="W160" s="27"/>
      <c r="X160" s="27"/>
      <c r="Y160" s="27"/>
      <c r="Z160" s="27"/>
      <c r="AA160" s="27"/>
    </row>
    <row r="161" ht="12.75" customHeight="1">
      <c r="A161" s="188"/>
      <c r="B161" s="189"/>
      <c r="C161" s="190">
        <f>IF(S148="Accessory Only","",IF(S148="Boring But Big",IF(U154="","",MROUND(T154*U154,'Start-Options'!$B$38)),IF(T158=531,MROUND(U164*0.7,'Start-Options'!$B$38),MROUND(U164*0.8,'Start-Options'!$B$38))))</f>
        <v>47.5</v>
      </c>
      <c r="D161" s="27"/>
      <c r="E161" s="78">
        <f>IF(S148="Accessory Only","",IF(S148="Boring But Big",10,IF(T158=531,10,6)))</f>
        <v>10</v>
      </c>
      <c r="F161" s="219"/>
      <c r="G161" s="219"/>
      <c r="H161" s="191"/>
      <c r="I161" s="27"/>
      <c r="J161" s="188"/>
      <c r="K161" s="189"/>
      <c r="L161" s="190">
        <f>IF(S148="Accessory Only","",IF(S148="Boring But Big",IF(V154="","",MROUND(T154*V154,'Start-Options'!$B$38)),IF(T158=531,MROUND(U164*0.8,'Start-Options'!$B$38),MROUND(U164*0.7,'Start-Options'!$B$38))))</f>
        <v>47.5</v>
      </c>
      <c r="M161" s="241"/>
      <c r="N161" s="242">
        <v>8.0</v>
      </c>
      <c r="O161" s="219"/>
      <c r="P161" s="219"/>
      <c r="Q161" s="201"/>
      <c r="R161" s="27"/>
      <c r="S161" s="25"/>
      <c r="T161" s="223" t="s">
        <v>182</v>
      </c>
      <c r="U161" s="223" t="s">
        <v>28</v>
      </c>
      <c r="V161" s="27"/>
      <c r="W161" s="27"/>
      <c r="X161" s="27"/>
      <c r="Y161" s="27"/>
      <c r="Z161" s="27"/>
      <c r="AA161" s="27"/>
    </row>
    <row r="162" ht="12.75" customHeight="1">
      <c r="A162" s="188"/>
      <c r="B162" s="189"/>
      <c r="C162" s="27">
        <f>IF(S148="Boring But Big",IF(U154="","",MROUND(T154*U154,'Start-Options'!$B$38)),"")</f>
        <v>47.5</v>
      </c>
      <c r="D162" s="27"/>
      <c r="E162" s="27">
        <f>IF(S148="Boring But Big",10,"")</f>
        <v>10</v>
      </c>
      <c r="F162" s="219"/>
      <c r="G162" s="219"/>
      <c r="H162" s="207"/>
      <c r="I162" s="77"/>
      <c r="J162" s="188"/>
      <c r="K162" s="189"/>
      <c r="L162" s="27">
        <f>IF(S148="Boring But Big",IF(V154="","",MROUND(T154*V154,'Start-Options'!$B$38)),"")</f>
        <v>47.5</v>
      </c>
      <c r="M162" s="241"/>
      <c r="N162" s="242">
        <v>8.0</v>
      </c>
      <c r="O162" s="219"/>
      <c r="P162" s="219"/>
      <c r="Q162" s="201"/>
      <c r="R162" s="27"/>
      <c r="S162" s="77" t="s">
        <v>36</v>
      </c>
      <c r="T162" s="147" t="s">
        <v>208</v>
      </c>
      <c r="U162" s="147">
        <v>100.0</v>
      </c>
      <c r="V162" s="27"/>
      <c r="W162" s="27"/>
      <c r="X162" s="27"/>
      <c r="Y162" s="27"/>
      <c r="Z162" s="27"/>
      <c r="AA162" s="27"/>
    </row>
    <row r="163" ht="12.75" customHeight="1">
      <c r="A163" s="194"/>
      <c r="B163" s="195"/>
      <c r="C163" s="27">
        <f>IF(S148="Boring But Big",IF(U154="","",MROUND(T154*U154,'Start-Options'!$B$38)),"")</f>
        <v>47.5</v>
      </c>
      <c r="D163" s="27"/>
      <c r="E163" s="78">
        <f>IF(S148="Boring But Big",10,"")</f>
        <v>10</v>
      </c>
      <c r="F163" s="154"/>
      <c r="G163" s="154"/>
      <c r="H163" s="155"/>
      <c r="I163" s="27"/>
      <c r="J163" s="194"/>
      <c r="K163" s="195"/>
      <c r="L163" s="27">
        <f>IF(S148="Boring But Big",IF(V154="","",MROUND(T154*V154,'Start-Options'!$B$38)),"")</f>
        <v>47.5</v>
      </c>
      <c r="M163" s="241"/>
      <c r="N163" s="242">
        <v>8.0</v>
      </c>
      <c r="O163" s="154"/>
      <c r="P163" s="154"/>
      <c r="Q163" s="206"/>
      <c r="R163" s="27"/>
      <c r="S163" s="25" t="s">
        <v>44</v>
      </c>
      <c r="T163" s="162" t="s">
        <v>210</v>
      </c>
      <c r="U163" s="162">
        <v>100.0</v>
      </c>
      <c r="V163" s="27"/>
      <c r="W163" s="27"/>
      <c r="X163" s="27"/>
      <c r="Y163" s="27"/>
      <c r="Z163" s="27"/>
      <c r="AA163" s="27"/>
    </row>
    <row r="164" ht="12.75" customHeight="1">
      <c r="A164" s="196" t="s">
        <v>201</v>
      </c>
      <c r="B164" s="197" t="str">
        <f>IF(S148="Accessory Only","",IF(S148="Boring But Big",'Start-Options'!$B$7,T165))</f>
        <v>Squat</v>
      </c>
      <c r="C164" s="198">
        <f>IF(S148="Accessory Only","",IF(S148="Boring But Big",IF(U155="","",MROUND(T155*U155,'Start-Options'!$B$38)),IF(T158=531,MROUND(U165*0.5,'Start-Options'!$B$38),MROUND(U165*0.6,'Start-Options'!$B$38))))</f>
        <v>57.5</v>
      </c>
      <c r="D164" s="198"/>
      <c r="E164" s="199">
        <f>IF(S148="Accessory Only","",IF(S148="Boring But Big",10,IF(T158=531,10,8)))</f>
        <v>10</v>
      </c>
      <c r="F164" s="185"/>
      <c r="G164" s="185"/>
      <c r="H164" s="200"/>
      <c r="I164" s="27"/>
      <c r="J164" s="196" t="s">
        <v>201</v>
      </c>
      <c r="K164" s="197" t="str">
        <f>IF(S148="Accessory Only","",IF(S148="Boring But Big",'Start-Options'!$B$7,T165))</f>
        <v>Squat</v>
      </c>
      <c r="L164" s="198">
        <f>IF(S148="Accessory Only","",IF(S148="Boring But Big",IF(V155="","",MROUND(T155*V155,'Start-Options'!$B$38)),IF(T158=531,MROUND(U165*0.6,'Start-Options'!$B$38),MROUND(U165*0.5,'Start-Options'!$B$38))))</f>
        <v>57.5</v>
      </c>
      <c r="M164" s="243"/>
      <c r="N164" s="244">
        <v>8.0</v>
      </c>
      <c r="O164" s="185"/>
      <c r="P164" s="185"/>
      <c r="Q164" s="187"/>
      <c r="R164" s="27"/>
      <c r="S164" s="25" t="s">
        <v>48</v>
      </c>
      <c r="T164" s="162" t="s">
        <v>212</v>
      </c>
      <c r="U164" s="162">
        <v>100.0</v>
      </c>
      <c r="V164" s="27"/>
      <c r="W164" s="27"/>
      <c r="X164" s="27"/>
      <c r="Y164" s="27"/>
      <c r="Z164" s="27"/>
      <c r="AA164" s="27"/>
    </row>
    <row r="165" ht="12.75" customHeight="1">
      <c r="A165" s="188"/>
      <c r="B165" s="189"/>
      <c r="C165" s="190">
        <f>IF(S148="Accessory Only","",IF(S148="Boring But Big",IF(U155="","",MROUND(T155*U155,'Start-Options'!$B$38)),IF(T158=531,MROUND(U165*0.6,'Start-Options'!$B$38),MROUND(U165*0.7,'Start-Options'!$B$38))))</f>
        <v>57.5</v>
      </c>
      <c r="D165" s="27"/>
      <c r="E165" s="78">
        <f>IF(S148="Accessory Only","",IF(S148="Boring But Big",10,IF(T158=531,10,8)))</f>
        <v>10</v>
      </c>
      <c r="F165" s="219"/>
      <c r="G165" s="219"/>
      <c r="H165" s="191"/>
      <c r="I165" s="27"/>
      <c r="J165" s="188"/>
      <c r="K165" s="189"/>
      <c r="L165" s="190">
        <f>IF(S148="Accessory Only","",IF(S148="Boring But Big",IF(V155="","",MROUND(T155*V155,'Start-Options'!$B$38)),IF(T158=531,MROUND(U165*0.7,'Start-Options'!$B$38),MROUND(U165*0.6,'Start-Options'!$B$38))))</f>
        <v>57.5</v>
      </c>
      <c r="M165" s="241"/>
      <c r="N165" s="242">
        <v>8.0</v>
      </c>
      <c r="O165" s="219"/>
      <c r="P165" s="219"/>
      <c r="Q165" s="201"/>
      <c r="R165" s="27"/>
      <c r="S165" s="82" t="s">
        <v>53</v>
      </c>
      <c r="T165" s="155" t="s">
        <v>224</v>
      </c>
      <c r="U165" s="155">
        <v>100.0</v>
      </c>
      <c r="V165" s="27"/>
      <c r="W165" s="27"/>
      <c r="X165" s="27"/>
      <c r="Y165" s="27"/>
      <c r="Z165" s="27"/>
      <c r="AA165" s="27"/>
    </row>
    <row r="166" ht="12.75" customHeight="1">
      <c r="A166" s="188"/>
      <c r="B166" s="189"/>
      <c r="C166" s="190">
        <f>IF(S148="Accessory Only","",IF(S148="Boring But Big",IF(U155="","",MROUND(T155*U155,'Start-Options'!$B$38)),IF(T158=531,MROUND(U165*0.7,'Start-Options'!$B$38),MROUND(U165*0.8,'Start-Options'!$B$38))))</f>
        <v>57.5</v>
      </c>
      <c r="D166" s="27"/>
      <c r="E166" s="78">
        <f>IF(S148="Accessory Only","",IF(S148="Boring But Big",10,IF(T158=531,10,6)))</f>
        <v>10</v>
      </c>
      <c r="F166" s="219"/>
      <c r="G166" s="219"/>
      <c r="H166" s="191"/>
      <c r="I166" s="27"/>
      <c r="J166" s="188"/>
      <c r="K166" s="189"/>
      <c r="L166" s="190">
        <f>IF(S148="Accessory Only","",IF(S148="Boring But Big",IF(V155="","",MROUND(T155*V155,'Start-Options'!$B$38)),IF(T158=531,MROUND(U165*0.8,'Start-Options'!$B$38),MROUND(U165*0.7,'Start-Options'!$B$38))))</f>
        <v>57.5</v>
      </c>
      <c r="M166" s="241"/>
      <c r="N166" s="242">
        <v>8.0</v>
      </c>
      <c r="O166" s="219"/>
      <c r="P166" s="219"/>
      <c r="Q166" s="201"/>
      <c r="R166" s="27"/>
      <c r="S166" s="27"/>
      <c r="T166" s="27"/>
      <c r="U166" s="27"/>
      <c r="V166" s="27"/>
      <c r="W166" s="27"/>
      <c r="X166" s="27"/>
      <c r="Y166" s="27"/>
      <c r="Z166" s="27"/>
      <c r="AA166" s="27"/>
    </row>
    <row r="167" ht="12.75" customHeight="1">
      <c r="A167" s="188"/>
      <c r="B167" s="189"/>
      <c r="C167" s="27">
        <f>IF(S148="Boring But Big",IF(U155="","",MROUND(T155*U155,'Start-Options'!$B$38)),"")</f>
        <v>57.5</v>
      </c>
      <c r="D167" s="27"/>
      <c r="E167" s="78">
        <f>IF(S148="Boring But Big",10,"")</f>
        <v>10</v>
      </c>
      <c r="F167" s="219"/>
      <c r="G167" s="219"/>
      <c r="H167" s="191"/>
      <c r="I167" s="27"/>
      <c r="J167" s="188"/>
      <c r="K167" s="189"/>
      <c r="L167" s="27">
        <f>IF(S148="Boring But Big",IF(V155="","",MROUND(T155*V155,'Start-Options'!$B$38)),"")</f>
        <v>57.5</v>
      </c>
      <c r="M167" s="241"/>
      <c r="N167" s="242">
        <v>8.0</v>
      </c>
      <c r="O167" s="219"/>
      <c r="P167" s="219"/>
      <c r="Q167" s="201"/>
      <c r="R167" s="27"/>
      <c r="S167" s="27"/>
      <c r="T167" s="27"/>
      <c r="U167" s="27"/>
      <c r="V167" s="27"/>
      <c r="W167" s="27"/>
      <c r="X167" s="27"/>
      <c r="Y167" s="27"/>
      <c r="Z167" s="27"/>
      <c r="AA167" s="27"/>
    </row>
    <row r="168" ht="12.75" customHeight="1">
      <c r="A168" s="194"/>
      <c r="B168" s="195"/>
      <c r="C168" s="208">
        <f>IF(S148="Boring But Big",IF(U155="","",MROUND(T155*U155,'Start-Options'!$B$38)),"")</f>
        <v>57.5</v>
      </c>
      <c r="D168" s="49"/>
      <c r="E168" s="83">
        <f>IF(S148="Boring But Big",10,"")</f>
        <v>10</v>
      </c>
      <c r="F168" s="154"/>
      <c r="G168" s="154"/>
      <c r="H168" s="155"/>
      <c r="I168" s="27"/>
      <c r="J168" s="194"/>
      <c r="K168" s="195"/>
      <c r="L168" s="208">
        <f>IF(S148="Boring But Big",IF(V155="","",MROUND(T155*V155,'Start-Options'!$B$38)),"")</f>
        <v>57.5</v>
      </c>
      <c r="M168" s="245"/>
      <c r="N168" s="246">
        <v>8.0</v>
      </c>
      <c r="O168" s="154"/>
      <c r="P168" s="154"/>
      <c r="Q168" s="206"/>
      <c r="R168" s="27"/>
      <c r="S168" s="27"/>
      <c r="T168" s="27"/>
      <c r="U168" s="27"/>
      <c r="V168" s="27"/>
      <c r="W168" s="27"/>
      <c r="X168" s="27"/>
      <c r="Y168" s="27"/>
      <c r="Z168" s="27"/>
      <c r="AA168" s="27"/>
    </row>
    <row r="169" ht="12.75" customHeight="1">
      <c r="A169" s="168"/>
      <c r="B169" s="27"/>
      <c r="C169" s="27"/>
      <c r="D169" s="27"/>
      <c r="E169" s="27"/>
      <c r="F169" s="27"/>
      <c r="G169" s="27"/>
      <c r="H169" s="27"/>
      <c r="I169" s="27"/>
      <c r="J169" s="27"/>
      <c r="K169" s="27"/>
      <c r="L169" s="27"/>
      <c r="M169" s="27"/>
      <c r="N169" s="27"/>
      <c r="O169" s="27"/>
      <c r="P169" s="27"/>
      <c r="Q169" s="209"/>
      <c r="R169" s="27"/>
      <c r="S169" s="27"/>
      <c r="T169" s="27"/>
      <c r="U169" s="27"/>
      <c r="V169" s="27"/>
      <c r="W169" s="27"/>
      <c r="X169" s="27"/>
      <c r="Y169" s="27"/>
      <c r="Z169" s="27"/>
      <c r="AA169" s="27"/>
    </row>
    <row r="170" ht="12.75" customHeight="1">
      <c r="A170" s="210" t="s">
        <v>238</v>
      </c>
      <c r="B170" s="211" t="s">
        <v>177</v>
      </c>
      <c r="C170" s="41"/>
      <c r="D170" s="41"/>
      <c r="E170" s="42"/>
      <c r="F170" s="211" t="s">
        <v>178</v>
      </c>
      <c r="G170" s="41"/>
      <c r="H170" s="42"/>
      <c r="I170" s="27"/>
      <c r="J170" s="212" t="s">
        <v>239</v>
      </c>
      <c r="K170" s="211" t="s">
        <v>177</v>
      </c>
      <c r="L170" s="41"/>
      <c r="M170" s="41"/>
      <c r="N170" s="42"/>
      <c r="O170" s="211" t="s">
        <v>178</v>
      </c>
      <c r="P170" s="41"/>
      <c r="Q170" s="213"/>
      <c r="R170" s="27"/>
      <c r="S170" s="70" t="s">
        <v>93</v>
      </c>
      <c r="T170" s="71"/>
      <c r="U170" s="27"/>
      <c r="V170" s="27"/>
      <c r="W170" s="27"/>
      <c r="X170" s="27"/>
      <c r="Y170" s="27"/>
      <c r="Z170" s="27"/>
      <c r="AA170" s="27"/>
    </row>
    <row r="171" ht="12.75" customHeight="1">
      <c r="A171" s="194"/>
      <c r="B171" s="214" t="s">
        <v>181</v>
      </c>
      <c r="C171" s="215" t="s">
        <v>26</v>
      </c>
      <c r="D171" s="215"/>
      <c r="E171" s="215" t="s">
        <v>27</v>
      </c>
      <c r="F171" s="215" t="s">
        <v>182</v>
      </c>
      <c r="G171" s="216" t="s">
        <v>183</v>
      </c>
      <c r="H171" s="215" t="s">
        <v>26</v>
      </c>
      <c r="I171" s="27"/>
      <c r="J171" s="217"/>
      <c r="K171" s="214" t="s">
        <v>181</v>
      </c>
      <c r="L171" s="215" t="s">
        <v>26</v>
      </c>
      <c r="M171" s="215"/>
      <c r="N171" s="215" t="s">
        <v>27</v>
      </c>
      <c r="O171" s="215" t="s">
        <v>182</v>
      </c>
      <c r="P171" s="216" t="s">
        <v>183</v>
      </c>
      <c r="Q171" s="218" t="s">
        <v>26</v>
      </c>
      <c r="R171" s="27"/>
      <c r="S171" s="25" t="s">
        <v>94</v>
      </c>
      <c r="T171" s="162"/>
      <c r="U171" s="27"/>
      <c r="V171" s="27"/>
      <c r="W171" s="27"/>
      <c r="X171" s="27"/>
      <c r="Y171" s="27"/>
      <c r="Z171" s="27"/>
      <c r="AA171" s="27"/>
    </row>
    <row r="172" ht="12.75" customHeight="1">
      <c r="A172" s="183" t="s">
        <v>185</v>
      </c>
      <c r="B172" s="197" t="str">
        <f>IF(S148="Accessory Only","",IF(S148="Boring But Big",'Start-Options'!$B$4,T162))</f>
        <v>Military</v>
      </c>
      <c r="C172" s="198">
        <f>IF(S148="Accessory Only","",IF(S148="Boring But Big",IF(W152="","",MROUND(T152*W152,'Start-Options'!$B$38)),IF(T158=531,MROUND(U162*0.65,'Start-Options'!$B$38),MROUND(U162*0.65,'Start-Options'!$B$38))))</f>
        <v>35</v>
      </c>
      <c r="D172" s="243"/>
      <c r="E172" s="244">
        <v>5.0</v>
      </c>
      <c r="F172" s="185"/>
      <c r="G172" s="185"/>
      <c r="H172" s="200"/>
      <c r="I172" s="27"/>
      <c r="J172" s="183" t="s">
        <v>185</v>
      </c>
      <c r="K172" s="197" t="str">
        <f>IF(S148="Accessory Only","",IF(S148="Boring But Big",'Start-Options'!$B$4,T162))</f>
        <v>Military</v>
      </c>
      <c r="L172" s="198">
        <f>IF(S148="Accessory Only","",IF(S148="Boring But Big",IF(X152="","",MROUND(T152*X152,'Start-Options'!$B$38)),MROUND(U162*0.4,'Start-Options'!$B$38)))</f>
        <v>35</v>
      </c>
      <c r="M172" s="198"/>
      <c r="N172" s="199">
        <f>IF(S148="Accessory Only","",IF(S148="Boring But Big",10,5))</f>
        <v>10</v>
      </c>
      <c r="O172" s="185"/>
      <c r="P172" s="185"/>
      <c r="Q172" s="187"/>
      <c r="R172" s="27"/>
      <c r="S172" s="77" t="s">
        <v>95</v>
      </c>
      <c r="T172" s="78" t="str">
        <f>IF(T171="","",MROUND(T171*0.4,'Start-Options'!$B$38))</f>
        <v/>
      </c>
      <c r="U172" s="27"/>
      <c r="V172" s="27"/>
      <c r="W172" s="27"/>
      <c r="X172" s="27"/>
      <c r="Y172" s="27"/>
      <c r="Z172" s="27"/>
      <c r="AA172" s="27"/>
    </row>
    <row r="173" ht="12.75" customHeight="1">
      <c r="A173" s="188"/>
      <c r="B173" s="189"/>
      <c r="C173" s="190">
        <f>IF(S148="Accessory Only","",IF(S148="Boring But Big",IF(W152="","",MROUND(T152*W152,'Start-Options'!$B$38)),IF(T158=531,MROUND(U162*0.75,'Start-Options'!$B$38),MROUND(U162*0.75,'Start-Options'!$B$38))))</f>
        <v>35</v>
      </c>
      <c r="D173" s="241"/>
      <c r="E173" s="242">
        <v>5.0</v>
      </c>
      <c r="F173" s="219"/>
      <c r="G173" s="219"/>
      <c r="H173" s="191"/>
      <c r="I173" s="27"/>
      <c r="J173" s="188"/>
      <c r="K173" s="189"/>
      <c r="L173" s="190">
        <f>IF(S148="Accessory Only","",IF(S148="Boring But Big",IF(X152="","",MROUND(T152*X152,'Start-Options'!$B$38)),MROUND(U162*0.5,'Start-Options'!$B$38)))</f>
        <v>35</v>
      </c>
      <c r="M173" s="27"/>
      <c r="N173" s="78">
        <f>IF(S148="Accessory Only","",IF(S148="Boring But Big",10,5))</f>
        <v>10</v>
      </c>
      <c r="O173" s="220"/>
      <c r="P173" s="220"/>
      <c r="Q173" s="221"/>
      <c r="R173" s="27"/>
      <c r="S173" s="77" t="s">
        <v>96</v>
      </c>
      <c r="T173" s="78" t="str">
        <f>IF(T171="","",MROUND(T171*0.5,'Start-Options'!$B$38))</f>
        <v/>
      </c>
      <c r="U173" s="27"/>
      <c r="V173" s="27"/>
      <c r="W173" s="27"/>
      <c r="X173" s="27"/>
      <c r="Y173" s="27"/>
      <c r="Z173" s="27"/>
      <c r="AA173" s="27"/>
    </row>
    <row r="174" ht="12.75" customHeight="1">
      <c r="A174" s="188"/>
      <c r="B174" s="189"/>
      <c r="C174" s="190">
        <f>IF(S148="Accessory Only","",IF(S148="Boring But Big",IF(W152="","",MROUND(T152*W152,'Start-Options'!$B$38)),IF(T158=531,MROUND(U162*0.85,'Start-Options'!$B$38),MROUND(U162*0.85,'Start-Options'!$B$38))))</f>
        <v>35</v>
      </c>
      <c r="D174" s="241"/>
      <c r="E174" s="242">
        <v>5.0</v>
      </c>
      <c r="F174" s="219"/>
      <c r="G174" s="219"/>
      <c r="H174" s="191"/>
      <c r="I174" s="27"/>
      <c r="J174" s="188"/>
      <c r="K174" s="189"/>
      <c r="L174" s="190">
        <f>IF(S148="Accessory Only","",IF(S148="Boring But Big",IF(X152="","",MROUND(T152*X152,'Start-Options'!$B$38)),MROUND(U162*0.6,'Start-Options'!$B$38)))</f>
        <v>35</v>
      </c>
      <c r="M174" s="27"/>
      <c r="N174" s="78">
        <f>IF(S148="Accessory Only","",IF(S148="Boring But Big",10,5))</f>
        <v>10</v>
      </c>
      <c r="O174" s="220"/>
      <c r="P174" s="220"/>
      <c r="Q174" s="222"/>
      <c r="R174" s="27"/>
      <c r="S174" s="82" t="s">
        <v>97</v>
      </c>
      <c r="T174" s="83" t="str">
        <f>IF(T171="","",MROUND(T171*0.6,'Start-Options'!$B$38))</f>
        <v/>
      </c>
      <c r="U174" s="27"/>
      <c r="V174" s="27"/>
      <c r="W174" s="27"/>
      <c r="X174" s="27"/>
      <c r="Y174" s="231"/>
      <c r="Z174" s="231"/>
      <c r="AA174" s="27"/>
    </row>
    <row r="175" ht="12.75" customHeight="1">
      <c r="A175" s="188"/>
      <c r="B175" s="189"/>
      <c r="C175" s="27">
        <f>IF(S148="Boring But Big",IF(W152="","",MROUND(T152*W152,'Start-Options'!$B$38)),"")</f>
        <v>35</v>
      </c>
      <c r="D175" s="241"/>
      <c r="E175" s="242">
        <v>5.0</v>
      </c>
      <c r="F175" s="219"/>
      <c r="G175" s="219"/>
      <c r="H175" s="191"/>
      <c r="I175" s="27"/>
      <c r="J175" s="188"/>
      <c r="K175" s="189"/>
      <c r="L175" s="27">
        <f>IF(S148="Boring But Big",IF(X152="","",MROUND(T152*X152,'Start-Options'!$B$38)),"")</f>
        <v>35</v>
      </c>
      <c r="M175" s="27"/>
      <c r="N175" s="78">
        <f>IF(S148="Boring But Big",10,"")</f>
        <v>10</v>
      </c>
      <c r="O175" s="219"/>
      <c r="P175" s="219"/>
      <c r="Q175" s="201"/>
      <c r="R175" s="27"/>
      <c r="S175" s="27"/>
      <c r="T175" s="27"/>
      <c r="U175" s="27"/>
      <c r="V175" s="27"/>
      <c r="W175" s="27"/>
      <c r="X175" s="27"/>
      <c r="Y175" s="27"/>
      <c r="Z175" s="27"/>
      <c r="AA175" s="27"/>
    </row>
    <row r="176" ht="12.75" customHeight="1">
      <c r="A176" s="194"/>
      <c r="B176" s="195"/>
      <c r="C176" s="27">
        <f>IF(S148="Boring But Big",IF(W152="","",MROUND(T152*W152,'Start-Options'!$B$38)),"")</f>
        <v>35</v>
      </c>
      <c r="D176" s="241"/>
      <c r="E176" s="242">
        <v>5.0</v>
      </c>
      <c r="F176" s="154"/>
      <c r="G176" s="154"/>
      <c r="H176" s="155"/>
      <c r="I176" s="27"/>
      <c r="J176" s="194"/>
      <c r="K176" s="195"/>
      <c r="L176" s="27">
        <f>IF(S148="Boring But Big",IF(X152="","",MROUND(T152*X152,'Start-Options'!$B$38)),"")</f>
        <v>35</v>
      </c>
      <c r="M176" s="27"/>
      <c r="N176" s="78">
        <f>IF(S148="Boring But Big",10,"")</f>
        <v>10</v>
      </c>
      <c r="O176" s="154"/>
      <c r="P176" s="154"/>
      <c r="Q176" s="206"/>
      <c r="R176" s="27"/>
      <c r="S176" s="27"/>
      <c r="T176" s="27"/>
      <c r="U176" s="27"/>
      <c r="V176" s="27"/>
      <c r="W176" s="27"/>
      <c r="X176" s="27"/>
      <c r="Y176" s="27"/>
      <c r="Z176" s="27"/>
      <c r="AA176" s="27"/>
    </row>
    <row r="177" ht="12.75" customHeight="1">
      <c r="A177" s="196" t="s">
        <v>192</v>
      </c>
      <c r="B177" s="197" t="str">
        <f>IF(S148="Accessory Only","",IF(S148="Boring But Big",'Start-Options'!$B$5,T163))</f>
        <v>Deadlift</v>
      </c>
      <c r="C177" s="198">
        <f>IF(S148="Accessory Only","",IF(S148="Boring But Big",IF(W153="","",MROUND(T153*W153,'Start-Options'!$B$38)),IF(T158=531,MROUND(U163*0.65,'Start-Options'!$B$38),MROUND(U163*0.65,'Start-Options'!$B$38))))</f>
        <v>75</v>
      </c>
      <c r="D177" s="243"/>
      <c r="E177" s="244">
        <v>5.0</v>
      </c>
      <c r="F177" s="185"/>
      <c r="G177" s="185"/>
      <c r="H177" s="200"/>
      <c r="I177" s="27"/>
      <c r="J177" s="196" t="s">
        <v>192</v>
      </c>
      <c r="K177" s="197" t="str">
        <f>IF(S148="Accessory Only","",IF(S148="Boring But Big",'Start-Options'!$B$5,T163))</f>
        <v>Deadlift</v>
      </c>
      <c r="L177" s="198">
        <f>IF(S148="Accessory Only","",IF(S148="Boring But Big",IF(X153="","",MROUND(T153*X153,'Start-Options'!$B$38)),MROUND(U163*0.4,'Start-Options'!$B$38)))</f>
        <v>75</v>
      </c>
      <c r="M177" s="198"/>
      <c r="N177" s="199">
        <f>IF(S148="Accessory Only","",IF(S148="Boring But Big",10,5))</f>
        <v>10</v>
      </c>
      <c r="O177" s="185"/>
      <c r="P177" s="185"/>
      <c r="Q177" s="187"/>
      <c r="R177" s="27"/>
      <c r="S177" s="27"/>
      <c r="T177" s="27"/>
      <c r="U177" s="27"/>
      <c r="V177" s="27"/>
      <c r="W177" s="27"/>
      <c r="X177" s="27"/>
      <c r="Y177" s="27"/>
      <c r="Z177" s="27"/>
      <c r="AA177" s="27"/>
    </row>
    <row r="178" ht="12.75" customHeight="1">
      <c r="A178" s="188"/>
      <c r="B178" s="189"/>
      <c r="C178" s="190">
        <f>IF(S148="Accessory Only","",IF(S148="Boring But Big",IF(W153="","",MROUND(T153*W153,'Start-Options'!$B$38)),IF(T158=531,MROUND(U163*0.75,'Start-Options'!$B$38),MROUND(U163*0.75,'Start-Options'!$B$38))))</f>
        <v>75</v>
      </c>
      <c r="D178" s="241"/>
      <c r="E178" s="242">
        <v>5.0</v>
      </c>
      <c r="F178" s="219"/>
      <c r="G178" s="219"/>
      <c r="H178" s="191"/>
      <c r="I178" s="27"/>
      <c r="J178" s="188"/>
      <c r="K178" s="189"/>
      <c r="L178" s="190">
        <f>IF(S148="Accessory Only","",IF(S148="Boring But Big",IF(X153="","",MROUND(T153*X153,'Start-Options'!$B$38)),MROUND(U163*0.5,'Start-Options'!$B$38)))</f>
        <v>75</v>
      </c>
      <c r="M178" s="27"/>
      <c r="N178" s="78">
        <f>IF(S148="Accessory Only","",IF(S148="Boring But Big",10,5))</f>
        <v>10</v>
      </c>
      <c r="O178" s="220"/>
      <c r="P178" s="220"/>
      <c r="Q178" s="222"/>
      <c r="R178" s="27"/>
      <c r="S178" s="27"/>
      <c r="T178" s="27"/>
      <c r="U178" s="27"/>
      <c r="V178" s="27"/>
      <c r="W178" s="27"/>
      <c r="X178" s="27"/>
      <c r="Y178" s="27"/>
      <c r="Z178" s="27"/>
      <c r="AA178" s="27"/>
    </row>
    <row r="179" ht="12.75" customHeight="1">
      <c r="A179" s="188"/>
      <c r="B179" s="189"/>
      <c r="C179" s="190">
        <f>IF(S148="Accessory Only","",IF(S148="Boring But Big",IF(W153="","",MROUND(T153*W153,'Start-Options'!$B$38)),IF(T158=531,MROUND(U163*0.85,'Start-Options'!$B$38),MROUND(U163*0.85,'Start-Options'!$B$38))))</f>
        <v>75</v>
      </c>
      <c r="D179" s="241"/>
      <c r="E179" s="242">
        <v>5.0</v>
      </c>
      <c r="F179" s="219"/>
      <c r="G179" s="219"/>
      <c r="H179" s="191"/>
      <c r="I179" s="27"/>
      <c r="J179" s="188"/>
      <c r="K179" s="189"/>
      <c r="L179" s="190">
        <f>IF(S148="Accessory Only","",IF(S148="Boring But Big",IF(X153="","",MROUND(T153*X153,'Start-Options'!$B$38)),MROUND(U163*0.6,'Start-Options'!$B$38)))</f>
        <v>75</v>
      </c>
      <c r="M179" s="27"/>
      <c r="N179" s="78">
        <f>IF(S148="Accessory Only","",IF(S148="Boring But Big",10,5))</f>
        <v>10</v>
      </c>
      <c r="O179" s="220"/>
      <c r="P179" s="220"/>
      <c r="Q179" s="222"/>
      <c r="R179" s="27"/>
      <c r="S179" s="27"/>
      <c r="T179" s="27"/>
      <c r="U179" s="27"/>
      <c r="V179" s="27"/>
      <c r="W179" s="27"/>
      <c r="X179" s="27"/>
      <c r="Y179" s="27"/>
      <c r="Z179" s="27"/>
      <c r="AA179" s="27"/>
    </row>
    <row r="180" ht="12.75" customHeight="1">
      <c r="A180" s="188"/>
      <c r="B180" s="189"/>
      <c r="C180" s="27">
        <f>IF(S148="Boring But Big",IF(W153="","",MROUND(T153*W153,'Start-Options'!$B$38)),"")</f>
        <v>75</v>
      </c>
      <c r="D180" s="241"/>
      <c r="E180" s="242">
        <v>5.0</v>
      </c>
      <c r="F180" s="219"/>
      <c r="G180" s="219"/>
      <c r="H180" s="191"/>
      <c r="I180" s="27"/>
      <c r="J180" s="188"/>
      <c r="K180" s="189"/>
      <c r="L180" s="27">
        <f>IF(S148="Boring But Big",IF(X153="","",MROUND(T153*X153,'Start-Options'!$B$38)),"")</f>
        <v>75</v>
      </c>
      <c r="M180" s="27"/>
      <c r="N180" s="78">
        <f>IF(S148="Boring But Big",10,"")</f>
        <v>10</v>
      </c>
      <c r="O180" s="219"/>
      <c r="P180" s="219"/>
      <c r="Q180" s="201"/>
      <c r="R180" s="27"/>
      <c r="S180" s="27"/>
      <c r="T180" s="27"/>
      <c r="U180" s="27"/>
      <c r="V180" s="27"/>
      <c r="W180" s="27"/>
      <c r="X180" s="27"/>
      <c r="Y180" s="27"/>
      <c r="Z180" s="27"/>
      <c r="AA180" s="27"/>
    </row>
    <row r="181" ht="12.75" customHeight="1">
      <c r="A181" s="188"/>
      <c r="B181" s="195"/>
      <c r="C181" s="27">
        <f>IF(S148="Boring But Big",IF(W153="","",MROUND(T153*W153,'Start-Options'!$B$38)),"")</f>
        <v>75</v>
      </c>
      <c r="D181" s="241"/>
      <c r="E181" s="242">
        <v>5.0</v>
      </c>
      <c r="F181" s="154"/>
      <c r="G181" s="154"/>
      <c r="H181" s="155"/>
      <c r="I181" s="27"/>
      <c r="J181" s="188"/>
      <c r="K181" s="195"/>
      <c r="L181" s="27">
        <f>IF(S148="Boring But Big",IF(X153="","",MROUND(T153*X153,'Start-Options'!$B$38)),"")</f>
        <v>75</v>
      </c>
      <c r="M181" s="27"/>
      <c r="N181" s="78">
        <f>IF(S148="Boring But Big",10,"")</f>
        <v>10</v>
      </c>
      <c r="O181" s="154"/>
      <c r="P181" s="154"/>
      <c r="Q181" s="206"/>
      <c r="R181" s="27"/>
      <c r="S181" s="27"/>
      <c r="T181" s="27"/>
      <c r="U181" s="27"/>
      <c r="V181" s="27"/>
      <c r="W181" s="27"/>
      <c r="X181" s="27"/>
      <c r="Y181" s="27"/>
      <c r="Z181" s="27"/>
      <c r="AA181" s="27"/>
    </row>
    <row r="182" ht="12.75" customHeight="1">
      <c r="A182" s="196" t="s">
        <v>200</v>
      </c>
      <c r="B182" s="197" t="str">
        <f>IF(S148="Accessory Only","",IF(S148="Boring But Big",'Start-Options'!$B$6,T164))</f>
        <v>Bench</v>
      </c>
      <c r="C182" s="198">
        <f>IF(S148="Accessory Only","",IF(S148="Boring But Big",IF(W154="","",MROUND(T154*W154,'Start-Options'!$B$38)),IF(T158=531,MROUND(U164*0.65,'Start-Options'!$B$38),MROUND(U164*0.65,'Start-Options'!$B$38))))</f>
        <v>47.5</v>
      </c>
      <c r="D182" s="243"/>
      <c r="E182" s="244">
        <v>5.0</v>
      </c>
      <c r="F182" s="185"/>
      <c r="G182" s="185"/>
      <c r="H182" s="200"/>
      <c r="I182" s="27"/>
      <c r="J182" s="196" t="s">
        <v>200</v>
      </c>
      <c r="K182" s="197" t="str">
        <f>IF(S148="Accessory Only","",IF(S148="Boring But Big",'Start-Options'!$B$6,T164))</f>
        <v>Bench</v>
      </c>
      <c r="L182" s="198">
        <f>IF(S148="Accessory Only","",IF(S148="Boring But Big",IF(X154="","",MROUND(T154*X154,'Start-Options'!$B$38)),MROUND(U164*0.4,'Start-Options'!$B$38)))</f>
        <v>47.5</v>
      </c>
      <c r="M182" s="198"/>
      <c r="N182" s="199">
        <f>IF(S148="Accessory Only","",IF(S148="Boring But Big",10,5))</f>
        <v>10</v>
      </c>
      <c r="O182" s="185"/>
      <c r="P182" s="185"/>
      <c r="Q182" s="187"/>
      <c r="R182" s="27"/>
      <c r="S182" s="27"/>
      <c r="T182" s="27"/>
      <c r="U182" s="27"/>
      <c r="V182" s="27"/>
      <c r="W182" s="27"/>
      <c r="X182" s="27"/>
      <c r="Y182" s="27"/>
      <c r="Z182" s="27"/>
      <c r="AA182" s="27"/>
    </row>
    <row r="183" ht="12.75" customHeight="1">
      <c r="A183" s="188"/>
      <c r="B183" s="189"/>
      <c r="C183" s="190">
        <f>IF(S148="Accessory Only","",IF(S148="Boring But Big",IF(W154="","",MROUND(T154*W154,'Start-Options'!$B$38)),IF(T158=531,MROUND(U164*0.75,'Start-Options'!$B$38),MROUND(U164*0.75,'Start-Options'!$B$38))))</f>
        <v>47.5</v>
      </c>
      <c r="D183" s="241"/>
      <c r="E183" s="242">
        <v>5.0</v>
      </c>
      <c r="F183" s="219"/>
      <c r="G183" s="219"/>
      <c r="H183" s="191"/>
      <c r="I183" s="27"/>
      <c r="J183" s="188"/>
      <c r="K183" s="189"/>
      <c r="L183" s="190">
        <f>IF(S148="Accessory Only","",IF(S148="Boring But Big",IF(X154="","",MROUND(T154*X154,'Start-Options'!$B$38)),MROUND(U164*0.5,'Start-Options'!$B$38)))</f>
        <v>47.5</v>
      </c>
      <c r="M183" s="27"/>
      <c r="N183" s="78">
        <f>IF(S148="Accessory Only","",IF(S148="Boring But Big",10,5))</f>
        <v>10</v>
      </c>
      <c r="O183" s="220"/>
      <c r="P183" s="220"/>
      <c r="Q183" s="222"/>
      <c r="R183" s="27"/>
      <c r="S183" s="27"/>
      <c r="T183" s="27"/>
      <c r="U183" s="27"/>
      <c r="V183" s="27"/>
      <c r="W183" s="27"/>
      <c r="X183" s="27"/>
      <c r="Y183" s="27"/>
      <c r="Z183" s="27"/>
      <c r="AA183" s="27"/>
    </row>
    <row r="184" ht="12.75" customHeight="1">
      <c r="A184" s="188"/>
      <c r="B184" s="189"/>
      <c r="C184" s="190">
        <f>IF(S148="Accessory Only","",IF(S148="Boring But Big",IF(W154="","",MROUND(T154*W154,'Start-Options'!$B$38)),IF(T158=531,MROUND(U164*0.85,'Start-Options'!$B$38),MROUND(U164*0.85,'Start-Options'!$B$38))))</f>
        <v>47.5</v>
      </c>
      <c r="D184" s="241"/>
      <c r="E184" s="242">
        <v>5.0</v>
      </c>
      <c r="F184" s="219"/>
      <c r="G184" s="219"/>
      <c r="H184" s="191"/>
      <c r="I184" s="27"/>
      <c r="J184" s="188"/>
      <c r="K184" s="189"/>
      <c r="L184" s="190">
        <f>IF(S148="Accessory Only","",IF(S148="Boring But Big",IF(X154="","",MROUND(T154*X154,'Start-Options'!$B$38)),MROUND(U164*0.6,'Start-Options'!$B$38)))</f>
        <v>47.5</v>
      </c>
      <c r="M184" s="27"/>
      <c r="N184" s="78">
        <f>IF(S148="Accessory Only","",IF(S148="Boring But Big",10,5))</f>
        <v>10</v>
      </c>
      <c r="O184" s="220"/>
      <c r="P184" s="220"/>
      <c r="Q184" s="222"/>
      <c r="R184" s="27"/>
      <c r="S184" s="27"/>
      <c r="T184" s="27"/>
      <c r="U184" s="27"/>
      <c r="V184" s="27"/>
      <c r="W184" s="27"/>
      <c r="X184" s="27"/>
      <c r="Y184" s="27"/>
      <c r="Z184" s="27"/>
      <c r="AA184" s="27"/>
    </row>
    <row r="185" ht="12.75" customHeight="1">
      <c r="A185" s="188"/>
      <c r="B185" s="189"/>
      <c r="C185" s="27">
        <f>IF(S148="Boring But Big",IF(W154="","",MROUND(T154*W154,'Start-Options'!$B$38)),"")</f>
        <v>47.5</v>
      </c>
      <c r="D185" s="241"/>
      <c r="E185" s="242">
        <v>5.0</v>
      </c>
      <c r="F185" s="219"/>
      <c r="G185" s="219"/>
      <c r="H185" s="191"/>
      <c r="I185" s="27"/>
      <c r="J185" s="188"/>
      <c r="K185" s="189"/>
      <c r="L185" s="27">
        <f>IF(S148="Boring But Big",IF(X154="","",MROUND(T154*X154,'Start-Options'!$B$38)),"")</f>
        <v>47.5</v>
      </c>
      <c r="M185" s="27"/>
      <c r="N185" s="78">
        <f>IF(S148="Boring But Big",10,"")</f>
        <v>10</v>
      </c>
      <c r="O185" s="219"/>
      <c r="P185" s="219"/>
      <c r="Q185" s="201"/>
      <c r="R185" s="27"/>
      <c r="S185" s="27"/>
      <c r="T185" s="27"/>
      <c r="U185" s="27"/>
      <c r="V185" s="27"/>
      <c r="W185" s="27"/>
      <c r="X185" s="27"/>
      <c r="Y185" s="27"/>
      <c r="Z185" s="27"/>
      <c r="AA185" s="27"/>
    </row>
    <row r="186" ht="12.75" customHeight="1">
      <c r="A186" s="194"/>
      <c r="B186" s="195"/>
      <c r="C186" s="27">
        <f>IF(S148="Boring But Big",IF(W154="","",MROUND(T154*W154,'Start-Options'!$B$38)),"")</f>
        <v>47.5</v>
      </c>
      <c r="D186" s="241"/>
      <c r="E186" s="242">
        <v>5.0</v>
      </c>
      <c r="F186" s="154"/>
      <c r="G186" s="154"/>
      <c r="H186" s="155"/>
      <c r="I186" s="27"/>
      <c r="J186" s="194"/>
      <c r="K186" s="195"/>
      <c r="L186" s="27">
        <f>IF(S148="Boring But Big",IF(X154="","",MROUND(T154*X154,'Start-Options'!$B$38)),"")</f>
        <v>47.5</v>
      </c>
      <c r="M186" s="27"/>
      <c r="N186" s="78">
        <f>IF(S148="Boring But Big",10,"")</f>
        <v>10</v>
      </c>
      <c r="O186" s="154"/>
      <c r="P186" s="154"/>
      <c r="Q186" s="206"/>
      <c r="R186" s="27"/>
      <c r="S186" s="27"/>
      <c r="T186" s="27"/>
      <c r="U186" s="27"/>
      <c r="V186" s="27"/>
      <c r="W186" s="27"/>
      <c r="X186" s="27"/>
      <c r="Y186" s="27"/>
      <c r="Z186" s="27"/>
      <c r="AA186" s="27"/>
    </row>
    <row r="187" ht="12.75" customHeight="1">
      <c r="A187" s="196" t="s">
        <v>201</v>
      </c>
      <c r="B187" s="197" t="str">
        <f>IF(S148="Accessory Only","",IF(S148="Boring But Big",'Start-Options'!$B$7,T165))</f>
        <v>Squat</v>
      </c>
      <c r="C187" s="198">
        <f>IF(S148="Accessory Only","",IF(S148="Boring But Big",IF(W155="","",MROUND(T155*W155,'Start-Options'!$B$38)),IF(T158=531,MROUND(U165*0.65,'Start-Options'!$B$38),MROUND(U165*0.65,'Start-Options'!$B$38))))</f>
        <v>57.5</v>
      </c>
      <c r="D187" s="243"/>
      <c r="E187" s="244">
        <v>5.0</v>
      </c>
      <c r="F187" s="185"/>
      <c r="G187" s="185"/>
      <c r="H187" s="200"/>
      <c r="I187" s="27"/>
      <c r="J187" s="196" t="s">
        <v>201</v>
      </c>
      <c r="K187" s="197" t="str">
        <f>IF(S148="Accessory Only","",IF(S148="Boring But Big",'Start-Options'!$B$7,T165))</f>
        <v>Squat</v>
      </c>
      <c r="L187" s="198">
        <f>IF(S148="Accessory Only","",IF(S148="Boring But Big",IF(X155="","",MROUND(T155*X155,'Start-Options'!$B$38)),MROUND(U165*0.4,'Start-Options'!$B$38)))</f>
        <v>57.5</v>
      </c>
      <c r="M187" s="198"/>
      <c r="N187" s="199">
        <f>IF(S148="Accessory Only","",IF(S148="Boring But Big",10,5))</f>
        <v>10</v>
      </c>
      <c r="O187" s="185"/>
      <c r="P187" s="185"/>
      <c r="Q187" s="187"/>
      <c r="R187" s="27"/>
      <c r="S187" s="27"/>
      <c r="T187" s="27"/>
      <c r="U187" s="27"/>
      <c r="V187" s="27"/>
      <c r="W187" s="27"/>
      <c r="X187" s="27"/>
      <c r="Y187" s="27"/>
      <c r="Z187" s="27"/>
      <c r="AA187" s="27"/>
    </row>
    <row r="188" ht="12.75" customHeight="1">
      <c r="A188" s="188"/>
      <c r="B188" s="189"/>
      <c r="C188" s="190">
        <f>IF(S148="Accessory Only","",IF(S148="Boring But Big",IF(W155="","",MROUND(T155*W155,'Start-Options'!$B$38)),IF(T158=531,MROUND(U165*0.75,'Start-Options'!$B$38),MROUND(U165*0.75,'Start-Options'!$B$38))))</f>
        <v>57.5</v>
      </c>
      <c r="D188" s="241"/>
      <c r="E188" s="242">
        <v>5.0</v>
      </c>
      <c r="F188" s="219"/>
      <c r="G188" s="219"/>
      <c r="H188" s="191"/>
      <c r="I188" s="27"/>
      <c r="J188" s="188"/>
      <c r="K188" s="189"/>
      <c r="L188" s="190">
        <f>IF(S148="Accessory Only","",IF(S148="Boring But Big",IF(X155="","",MROUND(T155*X155,'Start-Options'!$B$38)),MROUND(U165*0.5,'Start-Options'!$B$38)))</f>
        <v>57.5</v>
      </c>
      <c r="M188" s="27"/>
      <c r="N188" s="78">
        <f>IF(S148="Accessory Only","",IF(S148="Boring But Big",10,5))</f>
        <v>10</v>
      </c>
      <c r="O188" s="220"/>
      <c r="P188" s="220"/>
      <c r="Q188" s="222"/>
      <c r="R188" s="27"/>
      <c r="S188" s="27"/>
      <c r="T188" s="27"/>
      <c r="U188" s="27"/>
      <c r="V188" s="27"/>
      <c r="W188" s="27"/>
      <c r="X188" s="27"/>
      <c r="Y188" s="27"/>
      <c r="Z188" s="27"/>
      <c r="AA188" s="27"/>
    </row>
    <row r="189" ht="12.75" customHeight="1">
      <c r="A189" s="188"/>
      <c r="B189" s="189"/>
      <c r="C189" s="190">
        <f>IF(S148="Accessory Only","",IF(S148="Boring But Big",IF(W155="","",MROUND(T155*W155,'Start-Options'!$B$38)),IF(T158=531,MROUND(U165*0.85,'Start-Options'!$B$38),MROUND(U165*0.85,'Start-Options'!$B$38))))</f>
        <v>57.5</v>
      </c>
      <c r="D189" s="241"/>
      <c r="E189" s="242">
        <v>5.0</v>
      </c>
      <c r="F189" s="219"/>
      <c r="G189" s="219"/>
      <c r="H189" s="191"/>
      <c r="I189" s="27"/>
      <c r="J189" s="188"/>
      <c r="K189" s="189"/>
      <c r="L189" s="190">
        <f>IF(S148="Accessory Only","",IF(S148="Boring But Big",IF(X155="","",MROUND(T155*X155,'Start-Options'!$B$38)),MROUND(U165*0.6,'Start-Options'!$B$38)))</f>
        <v>57.5</v>
      </c>
      <c r="M189" s="27"/>
      <c r="N189" s="78">
        <f>IF(S148="Accessory Only","",IF(S148="Boring But Big",10,5))</f>
        <v>10</v>
      </c>
      <c r="O189" s="220"/>
      <c r="P189" s="220"/>
      <c r="Q189" s="222"/>
      <c r="R189" s="27"/>
      <c r="S189" s="27"/>
      <c r="T189" s="27"/>
      <c r="U189" s="27"/>
      <c r="V189" s="27"/>
      <c r="W189" s="27"/>
      <c r="X189" s="27"/>
      <c r="Y189" s="27"/>
      <c r="Z189" s="27"/>
      <c r="AA189" s="27"/>
    </row>
    <row r="190" ht="12.75" customHeight="1">
      <c r="A190" s="188"/>
      <c r="B190" s="189"/>
      <c r="C190" s="27">
        <f>IF(S148="Boring But Big",IF(W155="","",MROUND(T155*W155,'Start-Options'!$B$38)),"")</f>
        <v>57.5</v>
      </c>
      <c r="D190" s="241"/>
      <c r="E190" s="242">
        <v>5.0</v>
      </c>
      <c r="F190" s="219"/>
      <c r="G190" s="219"/>
      <c r="H190" s="147"/>
      <c r="I190" s="27"/>
      <c r="J190" s="188"/>
      <c r="K190" s="189"/>
      <c r="L190" s="27">
        <f>IF(S148="Boring But Big",IF(X155="","",MROUND(T155*X155,'Start-Options'!$B$38)),"")</f>
        <v>57.5</v>
      </c>
      <c r="M190" s="27"/>
      <c r="N190" s="78">
        <f>IF(S148="Boring But Big",10,"")</f>
        <v>10</v>
      </c>
      <c r="O190" s="151"/>
      <c r="P190" s="219"/>
      <c r="Q190" s="224"/>
      <c r="R190" s="27"/>
      <c r="S190" s="27"/>
      <c r="T190" s="27"/>
      <c r="U190" s="27"/>
      <c r="V190" s="27"/>
      <c r="W190" s="27"/>
      <c r="X190" s="27"/>
      <c r="Y190" s="27"/>
      <c r="Z190" s="27"/>
      <c r="AA190" s="27"/>
    </row>
    <row r="191" ht="13.5" customHeight="1">
      <c r="A191" s="194"/>
      <c r="B191" s="225"/>
      <c r="C191" s="226">
        <f>IF(S148="Boring But Big",IF(W155="","",MROUND(T155*W155,'Start-Options'!$B$38)),"")</f>
        <v>57.5</v>
      </c>
      <c r="D191" s="247"/>
      <c r="E191" s="248">
        <v>5.0</v>
      </c>
      <c r="F191" s="228"/>
      <c r="G191" s="228"/>
      <c r="H191" s="229"/>
      <c r="I191" s="158"/>
      <c r="J191" s="194"/>
      <c r="K191" s="225"/>
      <c r="L191" s="226">
        <f>IF(S148="Boring But Big",IF(X155="","",MROUND(T155*X155,'Start-Options'!$B$38)),"")</f>
        <v>57.5</v>
      </c>
      <c r="M191" s="158"/>
      <c r="N191" s="227">
        <f>IF(S148="Boring But Big",10,"")</f>
        <v>10</v>
      </c>
      <c r="O191" s="229"/>
      <c r="P191" s="228"/>
      <c r="Q191" s="230"/>
      <c r="R191" s="27"/>
      <c r="S191" s="27"/>
      <c r="T191" s="27"/>
      <c r="U191" s="27"/>
      <c r="V191" s="27"/>
      <c r="W191" s="27"/>
      <c r="X191" s="27"/>
      <c r="Y191" s="27"/>
      <c r="Z191" s="27"/>
      <c r="AA191" s="27"/>
    </row>
    <row r="192" ht="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ht="21.0" customHeight="1">
      <c r="A193" s="168"/>
      <c r="B193" s="27"/>
      <c r="C193" s="27"/>
      <c r="D193" s="27"/>
      <c r="E193" s="27"/>
      <c r="F193" s="27"/>
      <c r="G193" s="27"/>
      <c r="H193" s="27"/>
      <c r="I193" s="169" t="s">
        <v>118</v>
      </c>
      <c r="J193" s="27"/>
      <c r="K193" s="27"/>
      <c r="L193" s="27"/>
      <c r="M193" s="27"/>
      <c r="N193" s="27"/>
      <c r="O193" s="27"/>
      <c r="P193" s="27"/>
      <c r="Q193" s="27"/>
      <c r="R193" s="27"/>
      <c r="S193" s="27"/>
      <c r="T193" s="27"/>
      <c r="U193" s="27"/>
      <c r="V193" s="27"/>
      <c r="W193" s="27"/>
      <c r="X193" s="27"/>
      <c r="Y193" s="27"/>
      <c r="Z193" s="27"/>
      <c r="AA193" s="27"/>
    </row>
    <row r="194" ht="12.75" customHeight="1">
      <c r="A194" s="170" t="s">
        <v>240</v>
      </c>
      <c r="B194" s="171" t="s">
        <v>177</v>
      </c>
      <c r="C194" s="172"/>
      <c r="D194" s="172"/>
      <c r="E194" s="173"/>
      <c r="F194" s="171" t="s">
        <v>178</v>
      </c>
      <c r="G194" s="172"/>
      <c r="H194" s="173"/>
      <c r="I194" s="91"/>
      <c r="J194" s="174" t="s">
        <v>241</v>
      </c>
      <c r="K194" s="171" t="s">
        <v>177</v>
      </c>
      <c r="L194" s="172"/>
      <c r="M194" s="172"/>
      <c r="N194" s="173"/>
      <c r="O194" s="171" t="s">
        <v>178</v>
      </c>
      <c r="P194" s="172"/>
      <c r="Q194" s="94"/>
      <c r="R194" s="27"/>
      <c r="S194" s="70" t="s">
        <v>180</v>
      </c>
      <c r="T194" s="175"/>
      <c r="U194" s="71"/>
      <c r="V194" s="27"/>
      <c r="W194" s="27"/>
      <c r="X194" s="27"/>
      <c r="Y194" s="27"/>
      <c r="Z194" s="27"/>
      <c r="AA194" s="27"/>
    </row>
    <row r="195" ht="13.5" customHeight="1">
      <c r="A195" s="176"/>
      <c r="B195" s="177" t="s">
        <v>181</v>
      </c>
      <c r="C195" s="178" t="s">
        <v>26</v>
      </c>
      <c r="D195" s="178"/>
      <c r="E195" s="178" t="s">
        <v>27</v>
      </c>
      <c r="F195" s="178" t="s">
        <v>182</v>
      </c>
      <c r="G195" s="178" t="s">
        <v>183</v>
      </c>
      <c r="H195" s="179" t="s">
        <v>26</v>
      </c>
      <c r="I195" s="27"/>
      <c r="J195" s="180"/>
      <c r="K195" s="177" t="s">
        <v>181</v>
      </c>
      <c r="L195" s="178" t="s">
        <v>26</v>
      </c>
      <c r="M195" s="178"/>
      <c r="N195" s="178" t="s">
        <v>27</v>
      </c>
      <c r="O195" s="178" t="s">
        <v>182</v>
      </c>
      <c r="P195" s="179" t="s">
        <v>183</v>
      </c>
      <c r="Q195" s="181" t="s">
        <v>26</v>
      </c>
      <c r="R195" s="27"/>
      <c r="S195" s="236" t="s">
        <v>242</v>
      </c>
      <c r="T195" s="41"/>
      <c r="U195" s="42"/>
      <c r="V195" s="27"/>
      <c r="W195" s="27"/>
      <c r="X195" s="27"/>
      <c r="Y195" s="27"/>
      <c r="Z195" s="27"/>
      <c r="AA195" s="27"/>
    </row>
    <row r="196" ht="12.75" customHeight="1">
      <c r="A196" s="183" t="s">
        <v>48</v>
      </c>
      <c r="B196" s="184" t="str">
        <f>IF(S195="Accessory Only","",IF(S195="Boring But Big",'Start-Options'!$B$4,T209))</f>
        <v/>
      </c>
      <c r="C196" s="27" t="str">
        <f>IF(S195="Accessory Only","",IF(S195="Boring But Big",IF(U199="","",MROUND(T199*U199,'Start-Options'!$B$38)),IF(T205=531,MROUND(U209*0.5,'Start-Options'!$B$38),MROUND(U209*0.6,'Start-Options'!$B$38))))</f>
        <v/>
      </c>
      <c r="D196" s="27"/>
      <c r="E196" s="78" t="str">
        <f>IF(S195="Accessory Only","",IF(S195="Boring But Big",10,IF(T205=531,10,8)))</f>
        <v/>
      </c>
      <c r="F196" s="220"/>
      <c r="G196" s="220"/>
      <c r="H196" s="186"/>
      <c r="I196" s="77"/>
      <c r="J196" s="249" t="s">
        <v>36</v>
      </c>
      <c r="K196" s="184" t="str">
        <f>IF(S195="Accessory Only","",IF(S195="Boring But Big",'Start-Options'!$B$4,T209))</f>
        <v/>
      </c>
      <c r="L196" s="27" t="str">
        <f>IF(S195="Accessory Only","",IF(S195="Boring But Big",IF(V199="","",MROUND(T199*V199,'Start-Options'!$B$38)),IF(T205=531,MROUND(U209*0.6,'Start-Options'!$B$38),MROUND(U209*0.5,'Start-Options'!$B$38))))</f>
        <v/>
      </c>
      <c r="M196" s="241"/>
      <c r="N196" s="242">
        <v>8.0</v>
      </c>
      <c r="O196" s="220"/>
      <c r="P196" s="220"/>
      <c r="Q196" s="222"/>
      <c r="R196" s="27"/>
      <c r="S196" s="27"/>
      <c r="T196" s="27"/>
      <c r="U196" s="27"/>
      <c r="V196" s="27"/>
      <c r="W196" s="27"/>
      <c r="X196" s="27"/>
      <c r="Y196" s="27"/>
      <c r="Z196" s="27"/>
      <c r="AA196" s="27"/>
    </row>
    <row r="197" ht="12.75" customHeight="1">
      <c r="A197" s="188"/>
      <c r="B197" s="189"/>
      <c r="C197" s="190" t="str">
        <f>IF(S195="Accessory Only","",IF(S195="Boring But Big",IF(U199="","",MROUND(T199*U199,'Start-Options'!$B$38)),IF(T205=531,MROUND(U209*0.6,'Start-Options'!$B$38),MROUND(U209*0.7,'Start-Options'!$B$38))))</f>
        <v/>
      </c>
      <c r="D197" s="27"/>
      <c r="E197" s="78" t="str">
        <f>IF(S195="Accessory Only","",IF(S195="Boring But Big",10,IF(T205=531,10,8)))</f>
        <v/>
      </c>
      <c r="F197" s="219"/>
      <c r="G197" s="219"/>
      <c r="H197" s="191"/>
      <c r="I197" s="27"/>
      <c r="J197" s="189"/>
      <c r="K197" s="189"/>
      <c r="L197" s="190" t="str">
        <f>IF(S195="Accessory Only","",IF(S195="Boring But Big",IF(V199="","",MROUND(T199*V199,'Start-Options'!$B$38)),IF(T205=531,MROUND(U209*0.7,'Start-Options'!$B$38),MROUND(U209*0.6,'Start-Options'!$B$38))))</f>
        <v/>
      </c>
      <c r="M197" s="241"/>
      <c r="N197" s="242">
        <v>8.0</v>
      </c>
      <c r="O197" s="219"/>
      <c r="P197" s="219"/>
      <c r="Q197" s="201"/>
      <c r="R197" s="27"/>
      <c r="S197" s="70" t="s">
        <v>184</v>
      </c>
      <c r="T197" s="175"/>
      <c r="U197" s="175"/>
      <c r="V197" s="175"/>
      <c r="W197" s="175"/>
      <c r="X197" s="71"/>
      <c r="Y197" s="27"/>
      <c r="Z197" s="27"/>
      <c r="AA197" s="27"/>
    </row>
    <row r="198" ht="12.75" customHeight="1">
      <c r="A198" s="188"/>
      <c r="B198" s="189"/>
      <c r="C198" s="190" t="str">
        <f>IF(S195="Accessory Only","",IF(S195="Boring But Big",IF(U199="","",MROUND(T199*U199,'Start-Options'!$B$38)),IF(T205=531,MROUND(U209*0.7,'Start-Options'!$B$38),MROUND(U209*0.8,'Start-Options'!$B$38))))</f>
        <v/>
      </c>
      <c r="D198" s="27"/>
      <c r="E198" s="78" t="str">
        <f>IF(S195="Accessory Only","",IF(S195="Boring But Big",10,IF(T205=531,10,6)))</f>
        <v/>
      </c>
      <c r="F198" s="219"/>
      <c r="G198" s="219"/>
      <c r="H198" s="191"/>
      <c r="I198" s="27"/>
      <c r="J198" s="189"/>
      <c r="K198" s="189"/>
      <c r="L198" s="190" t="str">
        <f>IF(S195="Accessory Only","",IF(S195="Boring But Big",IF(V199="","",MROUND(T199*V199,'Start-Options'!$B$38)),IF(T205=531,MROUND(U209*0.8,'Start-Options'!$B$38),MROUND(U209*0.7,'Start-Options'!$B$38))))</f>
        <v/>
      </c>
      <c r="M198" s="241"/>
      <c r="N198" s="242">
        <v>8.0</v>
      </c>
      <c r="O198" s="219"/>
      <c r="P198" s="219"/>
      <c r="Q198" s="201"/>
      <c r="R198" s="27"/>
      <c r="S198" s="25" t="s">
        <v>187</v>
      </c>
      <c r="T198" s="25" t="s">
        <v>28</v>
      </c>
      <c r="U198" s="25" t="s">
        <v>188</v>
      </c>
      <c r="V198" s="25" t="s">
        <v>189</v>
      </c>
      <c r="W198" s="192" t="s">
        <v>190</v>
      </c>
      <c r="X198" s="192" t="s">
        <v>191</v>
      </c>
      <c r="Y198" s="27"/>
      <c r="Z198" s="27"/>
      <c r="AA198" s="27"/>
    </row>
    <row r="199" ht="12.75" customHeight="1">
      <c r="A199" s="188"/>
      <c r="B199" s="189"/>
      <c r="C199" s="27" t="str">
        <f>IF(S195="Boring But Big",IF(U199="","",MROUND(T199*U199,'Start-Options'!$B$38)),"")</f>
        <v/>
      </c>
      <c r="D199" s="27"/>
      <c r="E199" s="78" t="str">
        <f>IF(S195="Boring But Big",10,"")</f>
        <v/>
      </c>
      <c r="F199" s="219"/>
      <c r="G199" s="219"/>
      <c r="H199" s="191"/>
      <c r="I199" s="27"/>
      <c r="J199" s="189"/>
      <c r="K199" s="189"/>
      <c r="L199" s="27" t="str">
        <f>IF(S195="Boring But Big",IF(V199="","",MROUND(T199*V199,'Start-Options'!$B$38)),"")</f>
        <v/>
      </c>
      <c r="M199" s="241"/>
      <c r="N199" s="242">
        <v>8.0</v>
      </c>
      <c r="O199" s="219"/>
      <c r="P199" s="219"/>
      <c r="Q199" s="201"/>
      <c r="R199" s="27"/>
      <c r="S199" s="25" t="s">
        <v>30</v>
      </c>
      <c r="T199" s="25">
        <f>'531'!Z77</f>
        <v>60</v>
      </c>
      <c r="U199" s="250">
        <v>0.65</v>
      </c>
      <c r="V199" s="250">
        <v>0.7</v>
      </c>
      <c r="W199" s="251">
        <v>0.75</v>
      </c>
      <c r="X199" s="251">
        <v>0.5</v>
      </c>
      <c r="Y199" s="27"/>
      <c r="Z199" s="27"/>
      <c r="AA199" s="27"/>
    </row>
    <row r="200" ht="12.75" customHeight="1">
      <c r="A200" s="194"/>
      <c r="B200" s="195"/>
      <c r="C200" s="27" t="str">
        <f>IF(S195="Boring But Big",IF(U199="","",MROUND(T199*U199,'Start-Options'!$B$38)),"")</f>
        <v/>
      </c>
      <c r="D200" s="27"/>
      <c r="E200" s="78" t="str">
        <f>IF(S195="Boring But Big",10,"")</f>
        <v/>
      </c>
      <c r="F200" s="154"/>
      <c r="G200" s="154"/>
      <c r="H200" s="155"/>
      <c r="I200" s="27"/>
      <c r="J200" s="195"/>
      <c r="K200" s="195"/>
      <c r="L200" s="27" t="str">
        <f>IF(S195="Boring But Big",IF(V199="","",MROUND(T199*V199,'Start-Options'!$B$38)),"")</f>
        <v/>
      </c>
      <c r="M200" s="241"/>
      <c r="N200" s="242">
        <v>8.0</v>
      </c>
      <c r="O200" s="154"/>
      <c r="P200" s="154"/>
      <c r="Q200" s="206"/>
      <c r="R200" s="27"/>
      <c r="S200" s="25" t="s">
        <v>31</v>
      </c>
      <c r="T200" s="25">
        <f>'531'!Z78</f>
        <v>130</v>
      </c>
      <c r="U200" s="250">
        <v>0.65</v>
      </c>
      <c r="V200" s="250">
        <v>0.7</v>
      </c>
      <c r="W200" s="251">
        <v>0.75</v>
      </c>
      <c r="X200" s="250">
        <v>0.5</v>
      </c>
      <c r="Y200" s="27"/>
      <c r="Z200" s="27"/>
      <c r="AA200" s="27"/>
    </row>
    <row r="201" ht="12.75" customHeight="1">
      <c r="A201" s="196" t="s">
        <v>53</v>
      </c>
      <c r="B201" s="197" t="str">
        <f>IF(S195="Accessory Only","",IF(S195="Boring But Big",'Start-Options'!$B$5,T210))</f>
        <v/>
      </c>
      <c r="C201" s="198" t="str">
        <f>IF(S195="Accessory Only","",IF(S195="Boring But Big",IF(U200="","",MROUND(T200*U200,'Start-Options'!$B$38)),IF(T205=531,MROUND(U210*0.5,'Start-Options'!$B$38),MROUND(U210*0.6,'Start-Options'!$B$38))))</f>
        <v/>
      </c>
      <c r="D201" s="198"/>
      <c r="E201" s="199" t="str">
        <f>IF(S195="Accessory Only","",IF(S195="Boring But Big",10,IF(T205=531,10,8)))</f>
        <v/>
      </c>
      <c r="F201" s="185"/>
      <c r="G201" s="185"/>
      <c r="H201" s="200"/>
      <c r="I201" s="27"/>
      <c r="J201" s="252" t="s">
        <v>44</v>
      </c>
      <c r="K201" s="197" t="str">
        <f>IF(S195="Accessory Only","",IF(S195="Boring But Big",'Start-Options'!$B$5,T210))</f>
        <v/>
      </c>
      <c r="L201" s="198" t="str">
        <f>IF(S195="Accessory Only","",IF(S195="Boring But Big",IF(V200="","",MROUND(T200*V200,'Start-Options'!$B$38)),IF(T205=531,MROUND(U210*0.6,'Start-Options'!$B$38),MROUND(U210*0.5,'Start-Options'!$B$38))))</f>
        <v/>
      </c>
      <c r="M201" s="243"/>
      <c r="N201" s="244">
        <v>8.0</v>
      </c>
      <c r="O201" s="185"/>
      <c r="P201" s="185"/>
      <c r="Q201" s="187"/>
      <c r="R201" s="27"/>
      <c r="S201" s="25" t="s">
        <v>32</v>
      </c>
      <c r="T201" s="25">
        <f>'531'!Z79</f>
        <v>80</v>
      </c>
      <c r="U201" s="250">
        <v>0.65</v>
      </c>
      <c r="V201" s="250">
        <v>0.7</v>
      </c>
      <c r="W201" s="251">
        <v>0.75</v>
      </c>
      <c r="X201" s="193">
        <v>0.5</v>
      </c>
      <c r="Y201" s="27"/>
      <c r="Z201" s="27"/>
      <c r="AA201" s="27"/>
    </row>
    <row r="202" ht="12.75" customHeight="1">
      <c r="A202" s="188"/>
      <c r="B202" s="189"/>
      <c r="C202" s="190" t="str">
        <f>IF(S195="Accessory Only","",IF(S195="Boring But Big",IF(U200="","",MROUND(T200*U200,'Start-Options'!$B$38)),IF(T205=531,MROUND(U210*0.6,'Start-Options'!$B$38),MROUND(U210*0.7,'Start-Options'!$B$38))))</f>
        <v/>
      </c>
      <c r="D202" s="27"/>
      <c r="E202" s="78" t="str">
        <f>IF(S195="Accessory Only","",IF(S195="Boring But Big",10,IF(T205=531,10,8)))</f>
        <v/>
      </c>
      <c r="F202" s="219"/>
      <c r="G202" s="219"/>
      <c r="H202" s="191"/>
      <c r="I202" s="27"/>
      <c r="J202" s="189"/>
      <c r="K202" s="189"/>
      <c r="L202" s="190" t="str">
        <f>IF(S195="Accessory Only","",IF(S195="Boring But Big",IF(V200="","",MROUND(T200*V200,'Start-Options'!$B$38)),IF(T205=531,MROUND(U210*0.7,'Start-Options'!$B$38),MROUND(U210*0.6,'Start-Options'!$B$38))))</f>
        <v/>
      </c>
      <c r="M202" s="241"/>
      <c r="N202" s="242">
        <v>8.0</v>
      </c>
      <c r="O202" s="219"/>
      <c r="P202" s="219"/>
      <c r="Q202" s="201"/>
      <c r="R202" s="27"/>
      <c r="S202" s="25" t="s">
        <v>194</v>
      </c>
      <c r="T202" s="25">
        <f>'531'!Z80</f>
        <v>100</v>
      </c>
      <c r="U202" s="250">
        <v>0.65</v>
      </c>
      <c r="V202" s="250">
        <v>0.7</v>
      </c>
      <c r="W202" s="251">
        <v>0.75</v>
      </c>
      <c r="X202" s="253">
        <v>0.5</v>
      </c>
      <c r="Y202" s="27"/>
      <c r="Z202" s="27"/>
      <c r="AA202" s="27"/>
    </row>
    <row r="203" ht="12.75" customHeight="1">
      <c r="A203" s="188"/>
      <c r="B203" s="189"/>
      <c r="C203" s="190" t="str">
        <f>IF(S195="Accessory Only","",IF(S195="Boring But Big",IF(U200="","",MROUND(T200*U200,'Start-Options'!$B$38)),IF(T205=531,MROUND(U210*0.7,'Start-Options'!$B$38),MROUND(U210*0.8,'Start-Options'!$B$38))))</f>
        <v/>
      </c>
      <c r="D203" s="27"/>
      <c r="E203" s="78" t="str">
        <f>IF(S195="Accessory Only","",IF(S195="Boring But Big",10,IF(T205=531,10,6)))</f>
        <v/>
      </c>
      <c r="F203" s="219"/>
      <c r="G203" s="219"/>
      <c r="H203" s="191"/>
      <c r="I203" s="27"/>
      <c r="J203" s="189"/>
      <c r="K203" s="189"/>
      <c r="L203" s="190" t="str">
        <f>IF(S195="Accessory Only","",IF(S195="Boring But Big",IF(V200="","",MROUND(T200*V200,'Start-Options'!$B$38)),IF(T205=531,MROUND(U210*0.8,'Start-Options'!$B$38),MROUND(U210*0.7,'Start-Options'!$B$38))))</f>
        <v/>
      </c>
      <c r="M203" s="241"/>
      <c r="N203" s="242">
        <v>8.0</v>
      </c>
      <c r="O203" s="219"/>
      <c r="P203" s="219"/>
      <c r="Q203" s="201"/>
      <c r="R203" s="27"/>
      <c r="S203" s="27"/>
      <c r="T203" s="27"/>
      <c r="U203" s="27"/>
      <c r="V203" s="27"/>
      <c r="W203" s="27"/>
      <c r="X203" s="27"/>
      <c r="Y203" s="27"/>
      <c r="Z203" s="27"/>
      <c r="AA203" s="27"/>
    </row>
    <row r="204" ht="12.75" customHeight="1">
      <c r="A204" s="188"/>
      <c r="B204" s="189"/>
      <c r="C204" s="27" t="str">
        <f>IF(S195="Boring But Big",IF(U200="","",MROUND(T200*U200,'Start-Options'!$B$38)),"")</f>
        <v/>
      </c>
      <c r="D204" s="27"/>
      <c r="E204" s="78" t="str">
        <f>IF(S195="Boring But Big",10,"")</f>
        <v/>
      </c>
      <c r="F204" s="219"/>
      <c r="G204" s="219"/>
      <c r="H204" s="191"/>
      <c r="I204" s="27"/>
      <c r="J204" s="189"/>
      <c r="K204" s="189"/>
      <c r="L204" s="27" t="str">
        <f>IF(S195="Boring But Big",IF(V200="","",MROUND(T200*V200,'Start-Options'!$B$38)),"")</f>
        <v/>
      </c>
      <c r="M204" s="241"/>
      <c r="N204" s="242">
        <v>8.0</v>
      </c>
      <c r="O204" s="219"/>
      <c r="P204" s="219"/>
      <c r="Q204" s="201"/>
      <c r="R204" s="27"/>
      <c r="S204" s="70" t="s">
        <v>204</v>
      </c>
      <c r="T204" s="71"/>
      <c r="U204" s="27"/>
      <c r="V204" s="27"/>
      <c r="W204" s="27"/>
      <c r="X204" s="27"/>
      <c r="Y204" s="27"/>
      <c r="Z204" s="27"/>
      <c r="AA204" s="27"/>
    </row>
    <row r="205" ht="12.75" customHeight="1">
      <c r="A205" s="188"/>
      <c r="B205" s="195"/>
      <c r="C205" s="27" t="str">
        <f>IF(S195="Boring But Big",IF(U200="","",MROUND(T200*U200,'Start-Options'!$B$38)),"")</f>
        <v/>
      </c>
      <c r="D205" s="27"/>
      <c r="E205" s="78" t="str">
        <f>IF(S195="Boring But Big",10,"")</f>
        <v/>
      </c>
      <c r="F205" s="154"/>
      <c r="G205" s="154"/>
      <c r="H205" s="155"/>
      <c r="I205" s="27"/>
      <c r="J205" s="189"/>
      <c r="K205" s="195"/>
      <c r="L205" s="27" t="str">
        <f>IF(S195="Boring But Big",IF(V200="","",MROUND(T200*V200,'Start-Options'!$B$38)),"")</f>
        <v/>
      </c>
      <c r="M205" s="241"/>
      <c r="N205" s="242">
        <v>8.0</v>
      </c>
      <c r="O205" s="154"/>
      <c r="P205" s="154"/>
      <c r="Q205" s="206"/>
      <c r="R205" s="27"/>
      <c r="S205" s="25" t="s">
        <v>205</v>
      </c>
      <c r="T205" s="28">
        <v>531.0</v>
      </c>
      <c r="U205" s="27"/>
      <c r="V205" s="27"/>
      <c r="W205" s="27"/>
      <c r="X205" s="27"/>
      <c r="Y205" s="27"/>
      <c r="Z205" s="27"/>
      <c r="AA205" s="27"/>
    </row>
    <row r="206" ht="12.75" customHeight="1">
      <c r="A206" s="196" t="s">
        <v>243</v>
      </c>
      <c r="B206" s="197" t="str">
        <f>IF(S195="Accessory Only","",IF(S195="Boring But Big",'Start-Options'!$B$6,T211))</f>
        <v/>
      </c>
      <c r="C206" s="198" t="str">
        <f>IF(S195="Accessory Only","",IF(S195="Boring But Big",IF(U201="","",MROUND(T201*U201,'Start-Options'!$B$38)),IF(T205=531,MROUND(U211*0.5,'Start-Options'!$B$38),MROUND(U211*0.6,'Start-Options'!$B$38))))</f>
        <v/>
      </c>
      <c r="D206" s="198"/>
      <c r="E206" s="199" t="str">
        <f>IF(S195="Accessory Only","",IF(S195="Boring But Big",10,IF(T205=531,10,8)))</f>
        <v/>
      </c>
      <c r="F206" s="185"/>
      <c r="G206" s="185"/>
      <c r="H206" s="200"/>
      <c r="I206" s="27"/>
      <c r="J206" s="252" t="s">
        <v>48</v>
      </c>
      <c r="K206" s="197" t="str">
        <f>IF(S195="Accessory Only","",IF(S195="Boring But Big",'Start-Options'!$B$6,T211))</f>
        <v/>
      </c>
      <c r="L206" s="198" t="str">
        <f>IF(S195="Accessory Only","",IF(S195="Boring But Big",IF(V201="","",MROUND(T201*V201,'Start-Options'!$B$38)),IF(T205=531,MROUND(U211*0.6,'Start-Options'!$B$38),MROUND(U211*0.5,'Start-Options'!$B$38))))</f>
        <v/>
      </c>
      <c r="M206" s="243"/>
      <c r="N206" s="244">
        <v>8.0</v>
      </c>
      <c r="O206" s="185"/>
      <c r="P206" s="185"/>
      <c r="Q206" s="187"/>
      <c r="R206" s="27"/>
      <c r="S206" s="27"/>
      <c r="T206" s="27"/>
      <c r="U206" s="27"/>
      <c r="V206" s="27"/>
      <c r="W206" s="27"/>
      <c r="X206" s="27"/>
      <c r="Y206" s="27"/>
      <c r="Z206" s="27"/>
      <c r="AA206" s="27"/>
    </row>
    <row r="207" ht="12.75" customHeight="1">
      <c r="A207" s="188"/>
      <c r="B207" s="189"/>
      <c r="C207" s="190" t="str">
        <f>IF(S195="Accessory Only","",IF(S195="Boring But Big",IF(U201="","",MROUND(T201*U201,'Start-Options'!$B$38)),IF(T205=531,MROUND(U211*0.6,'Start-Options'!$B$38),MROUND(U211*0.7,'Start-Options'!$B$38))))</f>
        <v/>
      </c>
      <c r="D207" s="27"/>
      <c r="E207" s="78" t="str">
        <f>IF(S195="Accessory Only","",IF(S195="Boring But Big",10,IF(T205=531,10,8)))</f>
        <v/>
      </c>
      <c r="F207" s="219"/>
      <c r="G207" s="219"/>
      <c r="H207" s="191"/>
      <c r="I207" s="27"/>
      <c r="J207" s="189"/>
      <c r="K207" s="189"/>
      <c r="L207" s="190" t="str">
        <f>IF(S195="Accessory Only","",IF(S195="Boring But Big",IF(V201="","",MROUND(T201*V201,'Start-Options'!$B$38)),IF(T205=531,MROUND(U211*0.7,'Start-Options'!$B$38),MROUND(U211*0.6,'Start-Options'!$B$38))))</f>
        <v/>
      </c>
      <c r="M207" s="241"/>
      <c r="N207" s="242">
        <v>8.0</v>
      </c>
      <c r="O207" s="219"/>
      <c r="P207" s="219"/>
      <c r="Q207" s="201"/>
      <c r="R207" s="27"/>
      <c r="S207" s="70" t="s">
        <v>204</v>
      </c>
      <c r="T207" s="175"/>
      <c r="U207" s="71"/>
      <c r="V207" s="27"/>
      <c r="W207" s="27"/>
      <c r="X207" s="27"/>
      <c r="Y207" s="27"/>
      <c r="Z207" s="27"/>
      <c r="AA207" s="27"/>
    </row>
    <row r="208" ht="12.75" customHeight="1">
      <c r="A208" s="188"/>
      <c r="B208" s="189"/>
      <c r="C208" s="190" t="str">
        <f>IF(S195="Accessory Only","",IF(S195="Boring But Big",IF(U201="","",MROUND(T201*U201,'Start-Options'!$B$38)),IF(T205=531,MROUND(U211*0.7,'Start-Options'!$B$38),MROUND(U211*0.8,'Start-Options'!$B$38))))</f>
        <v/>
      </c>
      <c r="D208" s="27"/>
      <c r="E208" s="78" t="str">
        <f>IF(S195="Accessory Only","",IF(S195="Boring But Big",10,IF(T205=531,10,6)))</f>
        <v/>
      </c>
      <c r="F208" s="219"/>
      <c r="G208" s="219"/>
      <c r="H208" s="191"/>
      <c r="I208" s="27"/>
      <c r="J208" s="189"/>
      <c r="K208" s="189"/>
      <c r="L208" s="190" t="str">
        <f>IF(S195="Accessory Only","",IF(S195="Boring But Big",IF(V201="","",MROUND(T201*V201,'Start-Options'!$B$38)),IF(T205=531,MROUND(U211*0.8,'Start-Options'!$B$38),MROUND(U211*0.7,'Start-Options'!$B$38))))</f>
        <v/>
      </c>
      <c r="M208" s="241"/>
      <c r="N208" s="242">
        <v>8.0</v>
      </c>
      <c r="O208" s="219"/>
      <c r="P208" s="219"/>
      <c r="Q208" s="201"/>
      <c r="R208" s="27"/>
      <c r="S208" s="25"/>
      <c r="T208" s="223" t="s">
        <v>182</v>
      </c>
      <c r="U208" s="223" t="s">
        <v>28</v>
      </c>
      <c r="V208" s="27"/>
      <c r="W208" s="27"/>
      <c r="X208" s="27"/>
      <c r="Y208" s="27"/>
      <c r="Z208" s="27"/>
      <c r="AA208" s="27"/>
    </row>
    <row r="209" ht="12.75" customHeight="1">
      <c r="A209" s="188"/>
      <c r="B209" s="189"/>
      <c r="C209" s="27" t="str">
        <f>IF(S195="Boring But Big",IF(U201="","",MROUND(T201*U201,'Start-Options'!$B$38)),"")</f>
        <v/>
      </c>
      <c r="D209" s="27"/>
      <c r="E209" s="27" t="str">
        <f>IF(S195="Boring But Big",10,"")</f>
        <v/>
      </c>
      <c r="F209" s="219"/>
      <c r="G209" s="219"/>
      <c r="H209" s="207"/>
      <c r="I209" s="77"/>
      <c r="J209" s="189"/>
      <c r="K209" s="189"/>
      <c r="L209" s="27" t="str">
        <f>IF(S195="Boring But Big",IF(V201="","",MROUND(T201*V201,'Start-Options'!$B$38)),"")</f>
        <v/>
      </c>
      <c r="M209" s="241"/>
      <c r="N209" s="242">
        <v>8.0</v>
      </c>
      <c r="O209" s="219"/>
      <c r="P209" s="219"/>
      <c r="Q209" s="201"/>
      <c r="R209" s="27"/>
      <c r="S209" s="77" t="s">
        <v>36</v>
      </c>
      <c r="T209" s="147" t="s">
        <v>208</v>
      </c>
      <c r="U209" s="147">
        <v>100.0</v>
      </c>
      <c r="V209" s="27"/>
      <c r="W209" s="27"/>
      <c r="X209" s="27"/>
      <c r="Y209" s="27"/>
      <c r="Z209" s="27"/>
      <c r="AA209" s="27"/>
    </row>
    <row r="210" ht="12.75" customHeight="1">
      <c r="A210" s="194"/>
      <c r="B210" s="195"/>
      <c r="C210" s="27" t="str">
        <f>IF(S195="Boring But Big",IF(U201="","",MROUND(T201*U201,'Start-Options'!$B$38)),"")</f>
        <v/>
      </c>
      <c r="D210" s="27"/>
      <c r="E210" s="78" t="str">
        <f>IF(S195="Boring But Big",10,"")</f>
        <v/>
      </c>
      <c r="F210" s="154"/>
      <c r="G210" s="154"/>
      <c r="H210" s="155"/>
      <c r="I210" s="27"/>
      <c r="J210" s="195"/>
      <c r="K210" s="195"/>
      <c r="L210" s="27" t="str">
        <f>IF(S195="Boring But Big",IF(V201="","",MROUND(T201*V201,'Start-Options'!$B$38)),"")</f>
        <v/>
      </c>
      <c r="M210" s="241"/>
      <c r="N210" s="242">
        <v>8.0</v>
      </c>
      <c r="O210" s="154"/>
      <c r="P210" s="154"/>
      <c r="Q210" s="206"/>
      <c r="R210" s="27"/>
      <c r="S210" s="25" t="s">
        <v>44</v>
      </c>
      <c r="T210" s="162" t="s">
        <v>210</v>
      </c>
      <c r="U210" s="162">
        <v>100.0</v>
      </c>
      <c r="V210" s="27"/>
      <c r="W210" s="27"/>
      <c r="X210" s="27"/>
      <c r="Y210" s="27"/>
      <c r="Z210" s="27"/>
      <c r="AA210" s="27"/>
    </row>
    <row r="211" ht="12.75" customHeight="1">
      <c r="A211" s="196" t="s">
        <v>44</v>
      </c>
      <c r="B211" s="197" t="str">
        <f>IF(S195="Accessory Only","",IF(S195="Boring But Big",'Start-Options'!$B$7,T212))</f>
        <v/>
      </c>
      <c r="C211" s="198" t="str">
        <f>IF(S195="Accessory Only","",IF(S195="Boring But Big",IF(U202="","",MROUND(T202*U202,'Start-Options'!$B$38)),IF(T205=531,MROUND(U212*0.5,'Start-Options'!$B$38),MROUND(U212*0.6,'Start-Options'!$B$38))))</f>
        <v/>
      </c>
      <c r="D211" s="198"/>
      <c r="E211" s="199" t="str">
        <f>IF(S195="Accessory Only","",IF(S195="Boring But Big",10,IF(T205=531,10,8)))</f>
        <v/>
      </c>
      <c r="F211" s="185"/>
      <c r="G211" s="185"/>
      <c r="H211" s="200"/>
      <c r="I211" s="27"/>
      <c r="J211" s="252" t="s">
        <v>53</v>
      </c>
      <c r="K211" s="197" t="str">
        <f>IF(S195="Accessory Only","",IF(S195="Boring But Big",'Start-Options'!$B$7,T212))</f>
        <v/>
      </c>
      <c r="L211" s="198" t="str">
        <f>IF(S195="Accessory Only","",IF(S195="Boring But Big",IF(V202="","",MROUND(T202*V202,'Start-Options'!$B$38)),IF(T205=531,MROUND(U212*0.6,'Start-Options'!$B$38),MROUND(U212*0.5,'Start-Options'!$B$38))))</f>
        <v/>
      </c>
      <c r="M211" s="243"/>
      <c r="N211" s="244">
        <v>8.0</v>
      </c>
      <c r="O211" s="185"/>
      <c r="P211" s="185"/>
      <c r="Q211" s="187"/>
      <c r="R211" s="27"/>
      <c r="S211" s="25" t="s">
        <v>48</v>
      </c>
      <c r="T211" s="162" t="s">
        <v>212</v>
      </c>
      <c r="U211" s="162">
        <v>100.0</v>
      </c>
      <c r="V211" s="27"/>
      <c r="W211" s="27"/>
      <c r="X211" s="27"/>
      <c r="Y211" s="27"/>
      <c r="Z211" s="27"/>
      <c r="AA211" s="27"/>
    </row>
    <row r="212" ht="12.75" customHeight="1">
      <c r="A212" s="188"/>
      <c r="B212" s="189"/>
      <c r="C212" s="190" t="str">
        <f>IF(S195="Accessory Only","",IF(S195="Boring But Big",IF(U202="","",MROUND(T202*U202,'Start-Options'!$B$38)),IF(T205=531,MROUND(U212*0.6,'Start-Options'!$B$38),MROUND(U212*0.7,'Start-Options'!$B$38))))</f>
        <v/>
      </c>
      <c r="D212" s="27"/>
      <c r="E212" s="78" t="str">
        <f>IF(S195="Accessory Only","",IF(S195="Boring But Big",10,IF(T205=531,10,8)))</f>
        <v/>
      </c>
      <c r="F212" s="219"/>
      <c r="G212" s="219"/>
      <c r="H212" s="191"/>
      <c r="I212" s="27"/>
      <c r="J212" s="189"/>
      <c r="K212" s="189"/>
      <c r="L212" s="190" t="str">
        <f>IF(S195="Accessory Only","",IF(S195="Boring But Big",IF(V202="","",MROUND(T202*V202,'Start-Options'!$B$38)),IF(T205=531,MROUND(U212*0.7,'Start-Options'!$B$38),MROUND(U212*0.6,'Start-Options'!$B$38))))</f>
        <v/>
      </c>
      <c r="M212" s="241"/>
      <c r="N212" s="242">
        <v>8.0</v>
      </c>
      <c r="O212" s="219"/>
      <c r="P212" s="219"/>
      <c r="Q212" s="201"/>
      <c r="R212" s="27"/>
      <c r="S212" s="82" t="s">
        <v>53</v>
      </c>
      <c r="T212" s="155" t="s">
        <v>224</v>
      </c>
      <c r="U212" s="155">
        <v>100.0</v>
      </c>
      <c r="V212" s="27"/>
      <c r="W212" s="27"/>
      <c r="X212" s="27"/>
      <c r="Y212" s="27"/>
      <c r="Z212" s="27"/>
      <c r="AA212" s="27"/>
    </row>
    <row r="213" ht="7.5" customHeight="1">
      <c r="A213" s="188"/>
      <c r="B213" s="189"/>
      <c r="C213" s="190" t="str">
        <f>IF(S195="Accessory Only","",IF(S195="Boring But Big",IF(U202="","",MROUND(T202*U202,'Start-Options'!$B$38)),IF(T205=531,MROUND(U212*0.7,'Start-Options'!$B$38),MROUND(U212*0.8,'Start-Options'!$B$38))))</f>
        <v/>
      </c>
      <c r="D213" s="27"/>
      <c r="E213" s="78" t="str">
        <f>IF(S195="Accessory Only","",IF(S195="Boring But Big",10,IF(T205=531,10,6)))</f>
        <v/>
      </c>
      <c r="F213" s="219"/>
      <c r="G213" s="219"/>
      <c r="H213" s="191"/>
      <c r="I213" s="27"/>
      <c r="J213" s="189"/>
      <c r="K213" s="189"/>
      <c r="L213" s="190" t="str">
        <f>IF(S195="Accessory Only","",IF(S195="Boring But Big",IF(V202="","",MROUND(T202*V202,'Start-Options'!$B$38)),IF(T205=531,MROUND(U212*0.8,'Start-Options'!$B$38),MROUND(U212*0.7,'Start-Options'!$B$38))))</f>
        <v/>
      </c>
      <c r="M213" s="241"/>
      <c r="N213" s="242">
        <v>8.0</v>
      </c>
      <c r="O213" s="219"/>
      <c r="P213" s="219"/>
      <c r="Q213" s="201"/>
      <c r="R213" s="27"/>
      <c r="S213" s="27"/>
      <c r="T213" s="27"/>
      <c r="U213" s="27"/>
      <c r="V213" s="27"/>
      <c r="W213" s="27"/>
      <c r="X213" s="27"/>
      <c r="Y213" s="27"/>
      <c r="Z213" s="27"/>
      <c r="AA213" s="27"/>
    </row>
    <row r="214" ht="12.75" customHeight="1">
      <c r="A214" s="188"/>
      <c r="B214" s="189"/>
      <c r="C214" s="27" t="str">
        <f>IF(S195="Boring But Big",IF(U202="","",MROUND(T202*U202,'Start-Options'!$B$38)),"")</f>
        <v/>
      </c>
      <c r="D214" s="27"/>
      <c r="E214" s="78" t="str">
        <f>IF(S195="Boring But Big",10,"")</f>
        <v/>
      </c>
      <c r="F214" s="219"/>
      <c r="G214" s="219"/>
      <c r="H214" s="191"/>
      <c r="I214" s="27"/>
      <c r="J214" s="189"/>
      <c r="K214" s="189"/>
      <c r="L214" s="27" t="str">
        <f>IF(S195="Boring But Big",IF(V202="","",MROUND(T202*V202,'Start-Options'!$B$38)),"")</f>
        <v/>
      </c>
      <c r="M214" s="241"/>
      <c r="N214" s="242">
        <v>8.0</v>
      </c>
      <c r="O214" s="219"/>
      <c r="P214" s="219"/>
      <c r="Q214" s="201"/>
      <c r="R214" s="27"/>
      <c r="S214" s="27"/>
      <c r="T214" s="27"/>
      <c r="U214" s="27"/>
      <c r="V214" s="27"/>
      <c r="W214" s="27"/>
      <c r="X214" s="27"/>
      <c r="Y214" s="231"/>
      <c r="Z214" s="231"/>
      <c r="AA214" s="27"/>
    </row>
    <row r="215" ht="12.75" customHeight="1">
      <c r="A215" s="194"/>
      <c r="B215" s="195"/>
      <c r="C215" s="208" t="str">
        <f>IF(S195="Boring But Big",IF(U202="","",MROUND(T202*U202,'Start-Options'!$B$38)),"")</f>
        <v/>
      </c>
      <c r="D215" s="49"/>
      <c r="E215" s="83" t="str">
        <f>IF(S195="Boring But Big",10,"")</f>
        <v/>
      </c>
      <c r="F215" s="154"/>
      <c r="G215" s="154"/>
      <c r="H215" s="155"/>
      <c r="I215" s="27"/>
      <c r="J215" s="195"/>
      <c r="K215" s="195"/>
      <c r="L215" s="208" t="str">
        <f>IF(S195="Boring But Big",IF(V202="","",MROUND(T202*V202,'Start-Options'!$B$38)),"")</f>
        <v/>
      </c>
      <c r="M215" s="245"/>
      <c r="N215" s="246">
        <v>8.0</v>
      </c>
      <c r="O215" s="154"/>
      <c r="P215" s="154"/>
      <c r="Q215" s="206"/>
      <c r="R215" s="27"/>
      <c r="S215" s="27"/>
      <c r="T215" s="27"/>
      <c r="U215" s="27"/>
      <c r="V215" s="27"/>
      <c r="W215" s="27"/>
      <c r="X215" s="27"/>
      <c r="Y215" s="27"/>
      <c r="Z215" s="27"/>
      <c r="AA215" s="27"/>
    </row>
    <row r="216" ht="12.75" customHeight="1">
      <c r="A216" s="168"/>
      <c r="B216" s="27"/>
      <c r="C216" s="27"/>
      <c r="D216" s="27"/>
      <c r="E216" s="27"/>
      <c r="F216" s="27"/>
      <c r="G216" s="27"/>
      <c r="H216" s="27"/>
      <c r="I216" s="27"/>
      <c r="J216" s="27"/>
      <c r="K216" s="27"/>
      <c r="L216" s="27"/>
      <c r="M216" s="27"/>
      <c r="N216" s="27"/>
      <c r="O216" s="27"/>
      <c r="P216" s="27"/>
      <c r="Q216" s="209"/>
      <c r="R216" s="27"/>
      <c r="S216" s="27"/>
      <c r="T216" s="27"/>
      <c r="U216" s="27"/>
      <c r="V216" s="27"/>
      <c r="W216" s="27"/>
      <c r="X216" s="27"/>
      <c r="Y216" s="27"/>
      <c r="Z216" s="27"/>
      <c r="AA216" s="27"/>
    </row>
    <row r="217" ht="12.75" customHeight="1">
      <c r="A217" s="210" t="s">
        <v>244</v>
      </c>
      <c r="B217" s="211" t="s">
        <v>177</v>
      </c>
      <c r="C217" s="41"/>
      <c r="D217" s="41"/>
      <c r="E217" s="42"/>
      <c r="F217" s="211" t="s">
        <v>178</v>
      </c>
      <c r="G217" s="41"/>
      <c r="H217" s="42"/>
      <c r="I217" s="27"/>
      <c r="J217" s="212" t="s">
        <v>245</v>
      </c>
      <c r="K217" s="211" t="s">
        <v>177</v>
      </c>
      <c r="L217" s="41"/>
      <c r="M217" s="41"/>
      <c r="N217" s="42"/>
      <c r="O217" s="211" t="s">
        <v>178</v>
      </c>
      <c r="P217" s="41"/>
      <c r="Q217" s="213"/>
      <c r="R217" s="27"/>
      <c r="S217" s="70" t="s">
        <v>93</v>
      </c>
      <c r="T217" s="71"/>
      <c r="U217" s="27"/>
      <c r="V217" s="27"/>
      <c r="W217" s="27"/>
      <c r="X217" s="27"/>
      <c r="Y217" s="27"/>
      <c r="Z217" s="27"/>
      <c r="AA217" s="27"/>
    </row>
    <row r="218" ht="12.75" customHeight="1">
      <c r="A218" s="194"/>
      <c r="B218" s="214" t="s">
        <v>181</v>
      </c>
      <c r="C218" s="215" t="s">
        <v>26</v>
      </c>
      <c r="D218" s="215"/>
      <c r="E218" s="215" t="s">
        <v>27</v>
      </c>
      <c r="F218" s="215" t="s">
        <v>182</v>
      </c>
      <c r="G218" s="216" t="s">
        <v>183</v>
      </c>
      <c r="H218" s="215" t="s">
        <v>26</v>
      </c>
      <c r="I218" s="27"/>
      <c r="J218" s="217"/>
      <c r="K218" s="214" t="s">
        <v>181</v>
      </c>
      <c r="L218" s="215" t="s">
        <v>26</v>
      </c>
      <c r="M218" s="215"/>
      <c r="N218" s="215" t="s">
        <v>27</v>
      </c>
      <c r="O218" s="215" t="s">
        <v>182</v>
      </c>
      <c r="P218" s="216" t="s">
        <v>183</v>
      </c>
      <c r="Q218" s="218" t="s">
        <v>26</v>
      </c>
      <c r="R218" s="27"/>
      <c r="S218" s="25" t="s">
        <v>94</v>
      </c>
      <c r="T218" s="162"/>
      <c r="U218" s="27"/>
      <c r="V218" s="27"/>
      <c r="W218" s="27"/>
      <c r="X218" s="27"/>
      <c r="Y218" s="27"/>
      <c r="Z218" s="27"/>
      <c r="AA218" s="27"/>
    </row>
    <row r="219" ht="12.75" customHeight="1">
      <c r="A219" s="234" t="s">
        <v>36</v>
      </c>
      <c r="B219" s="254" t="s">
        <v>246</v>
      </c>
      <c r="C219" s="198" t="str">
        <f>IF(S195="Accessory Only","",IF(S195="Boring But Big",IF(W199="","",MROUND(T199*W199,'Start-Options'!$B$38)),IF(T205=531,MROUND(U209*0.65,'Start-Options'!$B$38),MROUND(U209*0.65,'Start-Options'!$B$38))))</f>
        <v/>
      </c>
      <c r="D219" s="243"/>
      <c r="E219" s="244">
        <v>5.0</v>
      </c>
      <c r="F219" s="239" t="s">
        <v>247</v>
      </c>
      <c r="G219" s="185"/>
      <c r="H219" s="237">
        <v>33.0</v>
      </c>
      <c r="I219" s="27"/>
      <c r="J219" s="252" t="s">
        <v>36</v>
      </c>
      <c r="K219" s="197" t="str">
        <f>IF(S195="Accessory Only","",IF(S195="Boring But Big",'Start-Options'!$B$4,T209))</f>
        <v/>
      </c>
      <c r="L219" s="198" t="str">
        <f>IF(S195="Accessory Only","",IF(S195="Boring But Big",IF(X199="","",MROUND(T199*X199,'Start-Options'!$B$38)),MROUND(U209*0.4,'Start-Options'!$B$38)))</f>
        <v/>
      </c>
      <c r="M219" s="198"/>
      <c r="N219" s="199" t="str">
        <f>IF(S195="Accessory Only","",IF(S195="Boring But Big",10,5))</f>
        <v/>
      </c>
      <c r="O219" s="185"/>
      <c r="P219" s="185"/>
      <c r="Q219" s="187"/>
      <c r="R219" s="27"/>
      <c r="S219" s="77" t="s">
        <v>95</v>
      </c>
      <c r="T219" s="78" t="str">
        <f>IF(T218="","",MROUND(T218*0.4,'Start-Options'!$B$38))</f>
        <v/>
      </c>
      <c r="U219" s="27"/>
      <c r="V219" s="27"/>
      <c r="W219" s="27"/>
      <c r="X219" s="27"/>
      <c r="Y219" s="27"/>
      <c r="Z219" s="27"/>
      <c r="AA219" s="27"/>
    </row>
    <row r="220" ht="12.75" customHeight="1">
      <c r="A220" s="188"/>
      <c r="B220" s="189"/>
      <c r="C220" s="190" t="str">
        <f>IF(S195="Accessory Only","",IF(S195="Boring But Big",IF(W199="","",MROUND(T199*W199,'Start-Options'!$B$38)),IF(T205=531,MROUND(U209*0.75,'Start-Options'!$B$38),MROUND(U209*0.75,'Start-Options'!$B$38))))</f>
        <v/>
      </c>
      <c r="D220" s="241"/>
      <c r="E220" s="242">
        <v>5.0</v>
      </c>
      <c r="F220" s="239" t="s">
        <v>248</v>
      </c>
      <c r="G220" s="219"/>
      <c r="H220" s="238">
        <v>40.0</v>
      </c>
      <c r="I220" s="27"/>
      <c r="J220" s="189"/>
      <c r="K220" s="189"/>
      <c r="L220" s="190" t="str">
        <f>IF(S195="Accessory Only","",IF(S195="Boring But Big",IF(X199="","",MROUND(T199*X199,'Start-Options'!$B$38)),MROUND(U209*0.5,'Start-Options'!$B$38)))</f>
        <v/>
      </c>
      <c r="M220" s="27"/>
      <c r="N220" s="78" t="str">
        <f>IF(S195="Accessory Only","",IF(S195="Boring But Big",10,5))</f>
        <v/>
      </c>
      <c r="O220" s="220"/>
      <c r="P220" s="220"/>
      <c r="Q220" s="221"/>
      <c r="R220" s="27"/>
      <c r="S220" s="77" t="s">
        <v>96</v>
      </c>
      <c r="T220" s="78" t="str">
        <f>IF(T218="","",MROUND(T218*0.5,'Start-Options'!$B$38))</f>
        <v/>
      </c>
      <c r="U220" s="27"/>
      <c r="V220" s="27"/>
      <c r="W220" s="27"/>
      <c r="X220" s="27"/>
      <c r="Y220" s="27"/>
      <c r="Z220" s="27"/>
      <c r="AA220" s="27"/>
    </row>
    <row r="221" ht="12.75" customHeight="1">
      <c r="A221" s="188"/>
      <c r="B221" s="189"/>
      <c r="C221" s="190" t="str">
        <f>IF(S195="Accessory Only","",IF(S195="Boring But Big",IF(W199="","",MROUND(T199*W199,'Start-Options'!$B$38)),IF(T205=531,MROUND(U209*0.85,'Start-Options'!$B$38),MROUND(U209*0.85,'Start-Options'!$B$38))))</f>
        <v/>
      </c>
      <c r="D221" s="241"/>
      <c r="E221" s="242">
        <v>5.0</v>
      </c>
      <c r="F221" s="239" t="s">
        <v>249</v>
      </c>
      <c r="G221" s="219"/>
      <c r="H221" s="238">
        <v>45.0</v>
      </c>
      <c r="I221" s="27"/>
      <c r="J221" s="189"/>
      <c r="K221" s="189"/>
      <c r="L221" s="190" t="str">
        <f>IF(S195="Accessory Only","",IF(S195="Boring But Big",IF(X199="","",MROUND(T199*X199,'Start-Options'!$B$38)),MROUND(U209*0.6,'Start-Options'!$B$38)))</f>
        <v/>
      </c>
      <c r="M221" s="27"/>
      <c r="N221" s="78" t="str">
        <f>IF(S195="Accessory Only","",IF(S195="Boring But Big",10,5))</f>
        <v/>
      </c>
      <c r="O221" s="220"/>
      <c r="P221" s="220"/>
      <c r="Q221" s="222"/>
      <c r="R221" s="27"/>
      <c r="S221" s="82" t="s">
        <v>97</v>
      </c>
      <c r="T221" s="83" t="str">
        <f>IF(T218="","",MROUND(T218*0.6,'Start-Options'!$B$38))</f>
        <v/>
      </c>
      <c r="U221" s="27"/>
      <c r="V221" s="27"/>
      <c r="W221" s="27"/>
      <c r="X221" s="27"/>
      <c r="Y221" s="27"/>
      <c r="Z221" s="27"/>
      <c r="AA221" s="27"/>
    </row>
    <row r="222" ht="12.75" customHeight="1">
      <c r="A222" s="188"/>
      <c r="B222" s="189"/>
      <c r="C222" s="27" t="str">
        <f>IF(S195="Boring But Big",IF(W199="","",MROUND(T199*W199,'Start-Options'!$B$38)),"")</f>
        <v/>
      </c>
      <c r="D222" s="241"/>
      <c r="E222" s="242">
        <v>5.0</v>
      </c>
      <c r="F222" s="219"/>
      <c r="G222" s="219"/>
      <c r="H222" s="191"/>
      <c r="I222" s="27"/>
      <c r="J222" s="189"/>
      <c r="K222" s="189"/>
      <c r="L222" s="27" t="str">
        <f>IF(S195="Boring But Big",IF(X199="","",MROUND(T199*X199,'Start-Options'!$B$38)),"")</f>
        <v/>
      </c>
      <c r="M222" s="27"/>
      <c r="N222" s="78" t="str">
        <f>IF(S195="Boring But Big",10,"")</f>
        <v/>
      </c>
      <c r="O222" s="219"/>
      <c r="P222" s="219"/>
      <c r="Q222" s="201"/>
      <c r="R222" s="27"/>
      <c r="S222" s="27"/>
      <c r="T222" s="27"/>
      <c r="U222" s="27"/>
      <c r="V222" s="27"/>
      <c r="W222" s="27"/>
      <c r="X222" s="27"/>
      <c r="Y222" s="27"/>
      <c r="Z222" s="27"/>
      <c r="AA222" s="27"/>
    </row>
    <row r="223" ht="12.75" customHeight="1">
      <c r="A223" s="194"/>
      <c r="B223" s="195"/>
      <c r="C223" s="27" t="str">
        <f>IF(S195="Boring But Big",IF(W199="","",MROUND(T199*W199,'Start-Options'!$B$38)),"")</f>
        <v/>
      </c>
      <c r="D223" s="241"/>
      <c r="E223" s="242">
        <v>5.0</v>
      </c>
      <c r="F223" s="154"/>
      <c r="G223" s="154"/>
      <c r="H223" s="155"/>
      <c r="I223" s="27"/>
      <c r="J223" s="195"/>
      <c r="K223" s="195"/>
      <c r="L223" s="27" t="str">
        <f>IF(S195="Boring But Big",IF(X199="","",MROUND(T199*X199,'Start-Options'!$B$38)),"")</f>
        <v/>
      </c>
      <c r="M223" s="27"/>
      <c r="N223" s="78" t="str">
        <f>IF(S195="Boring But Big",10,"")</f>
        <v/>
      </c>
      <c r="O223" s="154"/>
      <c r="P223" s="154"/>
      <c r="Q223" s="206"/>
      <c r="R223" s="27"/>
      <c r="S223" s="27"/>
      <c r="T223" s="27"/>
      <c r="U223" s="27"/>
      <c r="V223" s="27"/>
      <c r="W223" s="27"/>
      <c r="X223" s="27"/>
      <c r="Y223" s="27"/>
      <c r="Z223" s="27"/>
      <c r="AA223" s="27"/>
    </row>
    <row r="224" ht="12.75" customHeight="1">
      <c r="A224" s="234" t="s">
        <v>44</v>
      </c>
      <c r="B224" s="197" t="str">
        <f>IF(S195="Accessory Only","",IF(S195="Boring But Big",'Start-Options'!$B$5,T210))</f>
        <v/>
      </c>
      <c r="C224" s="198" t="str">
        <f>IF(S195="Accessory Only","",IF(S195="Boring But Big",IF(W200="","",MROUND(T200*W200,'Start-Options'!$B$38)),IF(T205=531,MROUND(U210*0.65,'Start-Options'!$B$38),MROUND(U210*0.65,'Start-Options'!$B$38))))</f>
        <v/>
      </c>
      <c r="D224" s="243"/>
      <c r="E224" s="244">
        <v>5.0</v>
      </c>
      <c r="F224" s="239" t="s">
        <v>250</v>
      </c>
      <c r="G224" s="185"/>
      <c r="H224" s="237">
        <v>15.0</v>
      </c>
      <c r="I224" s="27"/>
      <c r="J224" s="252" t="s">
        <v>44</v>
      </c>
      <c r="K224" s="197" t="str">
        <f>IF(S195="Accessory Only","",IF(S195="Boring But Big",'Start-Options'!$B$5,T210))</f>
        <v/>
      </c>
      <c r="L224" s="198" t="str">
        <f>IF(S195="Accessory Only","",IF(S195="Boring But Big",IF(X200="","",MROUND(T200*X200,'Start-Options'!$B$38)),MROUND(U210*0.4,'Start-Options'!$B$38)))</f>
        <v/>
      </c>
      <c r="M224" s="198"/>
      <c r="N224" s="199" t="str">
        <f>IF(S195="Accessory Only","",IF(S195="Boring But Big",10,5))</f>
        <v/>
      </c>
      <c r="O224" s="185"/>
      <c r="P224" s="185"/>
      <c r="Q224" s="187"/>
      <c r="R224" s="27"/>
      <c r="S224" s="255"/>
      <c r="T224" s="256"/>
      <c r="U224" s="256"/>
      <c r="V224" s="256"/>
      <c r="W224" s="256"/>
      <c r="X224" s="256"/>
      <c r="Y224" s="256"/>
      <c r="Z224" s="256"/>
      <c r="AA224" s="256"/>
      <c r="AB224" s="257"/>
      <c r="AC224" s="257"/>
    </row>
    <row r="225" ht="12.75" customHeight="1">
      <c r="A225" s="188"/>
      <c r="B225" s="189"/>
      <c r="C225" s="190" t="str">
        <f>IF(S195="Accessory Only","",IF(S195="Boring But Big",IF(W200="","",MROUND(T200*W200,'Start-Options'!$B$38)),IF(T205=531,MROUND(U210*0.75,'Start-Options'!$B$38),MROUND(U210*0.75,'Start-Options'!$B$38))))</f>
        <v/>
      </c>
      <c r="D225" s="241"/>
      <c r="E225" s="242">
        <v>5.0</v>
      </c>
      <c r="F225" s="258" t="s">
        <v>251</v>
      </c>
      <c r="G225" s="219"/>
      <c r="H225" s="238">
        <v>6.0</v>
      </c>
      <c r="I225" s="27"/>
      <c r="J225" s="189"/>
      <c r="K225" s="189"/>
      <c r="L225" s="190" t="str">
        <f>IF(S195="Accessory Only","",IF(S195="Boring But Big",IF(X200="","",MROUND(T200*X200,'Start-Options'!$B$38)),MROUND(U210*0.5,'Start-Options'!$B$38)))</f>
        <v/>
      </c>
      <c r="M225" s="27"/>
      <c r="N225" s="78" t="str">
        <f>IF(S195="Accessory Only","",IF(S195="Boring But Big",10,5))</f>
        <v/>
      </c>
      <c r="O225" s="220"/>
      <c r="P225" s="220"/>
      <c r="Q225" s="222"/>
      <c r="R225" s="27"/>
      <c r="S225" s="259" t="s">
        <v>252</v>
      </c>
      <c r="T225" s="256"/>
      <c r="U225" s="256"/>
      <c r="V225" s="260" t="s">
        <v>253</v>
      </c>
      <c r="W225" s="256"/>
      <c r="X225" s="256"/>
      <c r="Y225" s="256"/>
      <c r="Z225" s="256"/>
      <c r="AA225" s="256"/>
      <c r="AB225" s="257"/>
      <c r="AC225" s="257"/>
    </row>
    <row r="226" ht="12.75" customHeight="1">
      <c r="A226" s="188"/>
      <c r="B226" s="189"/>
      <c r="C226" s="190" t="str">
        <f>IF(S195="Accessory Only","",IF(S195="Boring But Big",IF(W200="","",MROUND(T200*W200,'Start-Options'!$B$38)),IF(T205=531,MROUND(U210*0.85,'Start-Options'!$B$38),MROUND(U210*0.85,'Start-Options'!$B$38))))</f>
        <v/>
      </c>
      <c r="D226" s="241"/>
      <c r="E226" s="242">
        <v>5.0</v>
      </c>
      <c r="F226" s="219"/>
      <c r="G226" s="219"/>
      <c r="H226" s="191"/>
      <c r="I226" s="27"/>
      <c r="J226" s="189"/>
      <c r="K226" s="189"/>
      <c r="L226" s="190" t="str">
        <f>IF(S195="Accessory Only","",IF(S195="Boring But Big",IF(X200="","",MROUND(T200*X200,'Start-Options'!$B$38)),MROUND(U210*0.6,'Start-Options'!$B$38)))</f>
        <v/>
      </c>
      <c r="M226" s="27"/>
      <c r="N226" s="78" t="str">
        <f>IF(S195="Accessory Only","",IF(S195="Boring But Big",10,5))</f>
        <v/>
      </c>
      <c r="O226" s="220"/>
      <c r="P226" s="220"/>
      <c r="Q226" s="222"/>
      <c r="R226" s="27"/>
      <c r="S226" s="47" t="s">
        <v>254</v>
      </c>
      <c r="T226" s="256"/>
      <c r="U226" s="256"/>
      <c r="V226" s="256"/>
      <c r="W226" s="256"/>
      <c r="X226" s="256"/>
      <c r="Y226" s="256"/>
      <c r="Z226" s="256"/>
      <c r="AA226" s="256"/>
      <c r="AB226" s="257"/>
      <c r="AC226" s="257"/>
    </row>
    <row r="227" ht="12.75" customHeight="1">
      <c r="A227" s="188"/>
      <c r="B227" s="189"/>
      <c r="C227" s="27" t="str">
        <f>IF(S195="Boring But Big",IF(W200="","",MROUND(T200*W200,'Start-Options'!$B$38)),"")</f>
        <v/>
      </c>
      <c r="D227" s="241"/>
      <c r="E227" s="242">
        <v>5.0</v>
      </c>
      <c r="F227" s="219"/>
      <c r="G227" s="219"/>
      <c r="H227" s="191"/>
      <c r="I227" s="27"/>
      <c r="J227" s="189"/>
      <c r="K227" s="189"/>
      <c r="L227" s="27" t="str">
        <f>IF(S195="Boring But Big",IF(X200="","",MROUND(T200*X200,'Start-Options'!$B$38)),"")</f>
        <v/>
      </c>
      <c r="M227" s="27"/>
      <c r="N227" s="78" t="str">
        <f>IF(S195="Boring But Big",10,"")</f>
        <v/>
      </c>
      <c r="O227" s="219"/>
      <c r="P227" s="219"/>
      <c r="Q227" s="201"/>
      <c r="R227" s="27"/>
      <c r="S227" s="261" t="s">
        <v>255</v>
      </c>
      <c r="T227" s="256"/>
      <c r="U227" s="256"/>
      <c r="V227" s="256"/>
      <c r="W227" s="256"/>
      <c r="X227" s="256"/>
      <c r="Y227" s="256"/>
      <c r="Z227" s="256"/>
      <c r="AA227" s="256"/>
      <c r="AB227" s="257"/>
      <c r="AC227" s="257"/>
    </row>
    <row r="228" ht="12.75" customHeight="1">
      <c r="A228" s="188"/>
      <c r="B228" s="195"/>
      <c r="C228" s="27" t="str">
        <f>IF(S195="Boring But Big",IF(W200="","",MROUND(T200*W200,'Start-Options'!$B$38)),"")</f>
        <v/>
      </c>
      <c r="D228" s="241"/>
      <c r="E228" s="242">
        <v>5.0</v>
      </c>
      <c r="F228" s="154"/>
      <c r="G228" s="154"/>
      <c r="H228" s="155"/>
      <c r="I228" s="27"/>
      <c r="J228" s="189"/>
      <c r="K228" s="195"/>
      <c r="L228" s="27" t="str">
        <f>IF(S195="Boring But Big",IF(X200="","",MROUND(T200*X200,'Start-Options'!$B$38)),"")</f>
        <v/>
      </c>
      <c r="M228" s="27"/>
      <c r="N228" s="78" t="str">
        <f>IF(S195="Boring But Big",10,"")</f>
        <v/>
      </c>
      <c r="O228" s="154"/>
      <c r="P228" s="154"/>
      <c r="Q228" s="206"/>
      <c r="R228" s="27"/>
      <c r="S228" s="261" t="s">
        <v>256</v>
      </c>
      <c r="T228" s="256"/>
      <c r="U228" s="256"/>
      <c r="V228" s="256"/>
      <c r="W228" s="256"/>
      <c r="X228" s="256"/>
      <c r="Y228" s="256"/>
      <c r="Z228" s="256"/>
      <c r="AA228" s="256"/>
      <c r="AB228" s="257"/>
      <c r="AC228" s="257"/>
    </row>
    <row r="229" ht="12.75" customHeight="1">
      <c r="A229" s="234" t="s">
        <v>48</v>
      </c>
      <c r="B229" s="254" t="s">
        <v>246</v>
      </c>
      <c r="C229" s="198" t="str">
        <f>IF(S195="Accessory Only","",IF(S195="Boring But Big",IF(W201="","",MROUND(T201*W201,'Start-Options'!$B$38)),IF(T205=531,MROUND(U211*0.65,'Start-Options'!$B$38),MROUND(U211*0.65,'Start-Options'!$B$38))))</f>
        <v/>
      </c>
      <c r="D229" s="243"/>
      <c r="E229" s="244">
        <v>5.0</v>
      </c>
      <c r="F229" s="239" t="s">
        <v>247</v>
      </c>
      <c r="G229" s="185"/>
      <c r="H229" s="200"/>
      <c r="I229" s="27"/>
      <c r="J229" s="252" t="s">
        <v>48</v>
      </c>
      <c r="K229" s="197" t="str">
        <f>IF(S195="Accessory Only","",IF(S195="Boring But Big",'Start-Options'!$B$6,T211))</f>
        <v/>
      </c>
      <c r="L229" s="198" t="str">
        <f>IF(S195="Accessory Only","",IF(S195="Boring But Big",IF(X201="","",MROUND(T201*X201,'Start-Options'!$B$38)),MROUND(U211*0.4,'Start-Options'!$B$38)))</f>
        <v/>
      </c>
      <c r="M229" s="198"/>
      <c r="N229" s="199" t="str">
        <f>IF(S195="Accessory Only","",IF(S195="Boring But Big",10,5))</f>
        <v/>
      </c>
      <c r="O229" s="185"/>
      <c r="P229" s="185"/>
      <c r="Q229" s="187"/>
      <c r="R229" s="27"/>
      <c r="S229" s="261" t="s">
        <v>257</v>
      </c>
      <c r="T229" s="256"/>
      <c r="U229" s="256"/>
      <c r="V229" s="256"/>
      <c r="W229" s="256"/>
      <c r="X229" s="256"/>
      <c r="Y229" s="256"/>
      <c r="Z229" s="256"/>
      <c r="AA229" s="256"/>
      <c r="AB229" s="257"/>
      <c r="AC229" s="257"/>
    </row>
    <row r="230" ht="12.75" customHeight="1">
      <c r="A230" s="188"/>
      <c r="B230" s="189"/>
      <c r="C230" s="190" t="str">
        <f>IF(S195="Accessory Only","",IF(S195="Boring But Big",IF(W201="","",MROUND(T201*W201,'Start-Options'!$B$38)),IF(T205=531,MROUND(U211*0.75,'Start-Options'!$B$38),MROUND(U211*0.75,'Start-Options'!$B$38))))</f>
        <v/>
      </c>
      <c r="D230" s="241"/>
      <c r="E230" s="242">
        <v>5.0</v>
      </c>
      <c r="F230" s="239" t="s">
        <v>248</v>
      </c>
      <c r="G230" s="219"/>
      <c r="H230" s="191"/>
      <c r="I230" s="27"/>
      <c r="J230" s="189"/>
      <c r="K230" s="189"/>
      <c r="L230" s="190" t="str">
        <f>IF(S195="Accessory Only","",IF(S195="Boring But Big",IF(X201="","",MROUND(T201*X201,'Start-Options'!$B$38)),MROUND(U211*0.5,'Start-Options'!$B$38)))</f>
        <v/>
      </c>
      <c r="M230" s="27"/>
      <c r="N230" s="78" t="str">
        <f>IF(S195="Accessory Only","",IF(S195="Boring But Big",10,5))</f>
        <v/>
      </c>
      <c r="O230" s="220"/>
      <c r="P230" s="220"/>
      <c r="Q230" s="222"/>
      <c r="R230" s="27"/>
      <c r="S230" s="261" t="s">
        <v>258</v>
      </c>
      <c r="T230" s="256"/>
      <c r="U230" s="256"/>
      <c r="V230" s="256"/>
      <c r="W230" s="256"/>
      <c r="X230" s="256"/>
      <c r="Y230" s="256"/>
      <c r="Z230" s="256"/>
      <c r="AA230" s="256"/>
      <c r="AB230" s="257"/>
      <c r="AC230" s="257"/>
    </row>
    <row r="231" ht="12.75" customHeight="1">
      <c r="A231" s="188"/>
      <c r="B231" s="189"/>
      <c r="C231" s="190" t="str">
        <f>IF(S195="Accessory Only","",IF(S195="Boring But Big",IF(W201="","",MROUND(T201*W201,'Start-Options'!$B$38)),IF(T205=531,MROUND(U211*0.85,'Start-Options'!$B$38),MROUND(U211*0.85,'Start-Options'!$B$38))))</f>
        <v/>
      </c>
      <c r="D231" s="241"/>
      <c r="E231" s="242">
        <v>5.0</v>
      </c>
      <c r="F231" s="239" t="s">
        <v>249</v>
      </c>
      <c r="G231" s="219"/>
      <c r="H231" s="191"/>
      <c r="I231" s="27"/>
      <c r="J231" s="189"/>
      <c r="K231" s="189"/>
      <c r="L231" s="190" t="str">
        <f>IF(S195="Accessory Only","",IF(S195="Boring But Big",IF(X201="","",MROUND(T201*X201,'Start-Options'!$B$38)),MROUND(U211*0.6,'Start-Options'!$B$38)))</f>
        <v/>
      </c>
      <c r="M231" s="27"/>
      <c r="N231" s="78" t="str">
        <f>IF(S195="Accessory Only","",IF(S195="Boring But Big",10,5))</f>
        <v/>
      </c>
      <c r="O231" s="220"/>
      <c r="P231" s="220"/>
      <c r="Q231" s="222"/>
      <c r="R231" s="27"/>
      <c r="S231" s="261" t="s">
        <v>259</v>
      </c>
      <c r="T231" s="256"/>
      <c r="U231" s="256"/>
      <c r="V231" s="256"/>
      <c r="W231" s="256"/>
      <c r="X231" s="256"/>
      <c r="Y231" s="256"/>
      <c r="Z231" s="256"/>
      <c r="AA231" s="256"/>
      <c r="AB231" s="257"/>
      <c r="AC231" s="257"/>
    </row>
    <row r="232" ht="12.75" customHeight="1">
      <c r="A232" s="188"/>
      <c r="B232" s="189"/>
      <c r="C232" s="27" t="str">
        <f>IF(S195="Boring But Big",IF(W201="","",MROUND(T201*W201,'Start-Options'!$B$38)),"")</f>
        <v/>
      </c>
      <c r="D232" s="241"/>
      <c r="E232" s="242">
        <v>5.0</v>
      </c>
      <c r="F232" s="219"/>
      <c r="G232" s="219"/>
      <c r="H232" s="191"/>
      <c r="I232" s="27"/>
      <c r="J232" s="189"/>
      <c r="K232" s="189"/>
      <c r="L232" s="27" t="str">
        <f>IF(S195="Boring But Big",IF(X201="","",MROUND(T201*X201,'Start-Options'!$B$38)),"")</f>
        <v/>
      </c>
      <c r="M232" s="27"/>
      <c r="N232" s="78" t="str">
        <f>IF(S195="Boring But Big",10,"")</f>
        <v/>
      </c>
      <c r="O232" s="219"/>
      <c r="P232" s="219"/>
      <c r="Q232" s="201"/>
      <c r="R232" s="27"/>
      <c r="S232" s="27"/>
      <c r="T232" s="27"/>
      <c r="U232" s="27"/>
      <c r="V232" s="27"/>
      <c r="W232" s="27"/>
      <c r="X232" s="27"/>
      <c r="Y232" s="27"/>
      <c r="Z232" s="27"/>
      <c r="AA232" s="27"/>
    </row>
    <row r="233" ht="12.75" customHeight="1">
      <c r="A233" s="194"/>
      <c r="B233" s="195"/>
      <c r="C233" s="27" t="str">
        <f>IF(S195="Boring But Big",IF(W201="","",MROUND(T201*W201,'Start-Options'!$B$38)),"")</f>
        <v/>
      </c>
      <c r="D233" s="241"/>
      <c r="E233" s="242">
        <v>5.0</v>
      </c>
      <c r="F233" s="154"/>
      <c r="G233" s="154"/>
      <c r="H233" s="155"/>
      <c r="I233" s="27"/>
      <c r="J233" s="195"/>
      <c r="K233" s="195"/>
      <c r="L233" s="27" t="str">
        <f>IF(S195="Boring But Big",IF(X201="","",MROUND(T201*X201,'Start-Options'!$B$38)),"")</f>
        <v/>
      </c>
      <c r="M233" s="27"/>
      <c r="N233" s="78" t="str">
        <f>IF(S195="Boring But Big",10,"")</f>
        <v/>
      </c>
      <c r="O233" s="154"/>
      <c r="P233" s="154"/>
      <c r="Q233" s="206"/>
      <c r="R233" s="27"/>
      <c r="S233" s="27"/>
      <c r="T233" s="27"/>
      <c r="U233" s="27"/>
      <c r="V233" s="27"/>
      <c r="W233" s="27"/>
      <c r="X233" s="27"/>
      <c r="Y233" s="27"/>
      <c r="Z233" s="27"/>
      <c r="AA233" s="27"/>
    </row>
    <row r="234" ht="12.75" customHeight="1">
      <c r="A234" s="234" t="s">
        <v>53</v>
      </c>
      <c r="B234" s="197" t="str">
        <f>IF(S195="Accessory Only","",IF(S195="Boring But Big",'Start-Options'!$B$7,T212))</f>
        <v/>
      </c>
      <c r="C234" s="198" t="str">
        <f>IF(S195="Accessory Only","",IF(S195="Boring But Big",IF(W202="","",MROUND(T202*W202,'Start-Options'!$B$38)),IF(T205=531,MROUND(U212*0.65,'Start-Options'!$B$38),MROUND(U212*0.65,'Start-Options'!$B$38))))</f>
        <v/>
      </c>
      <c r="D234" s="243"/>
      <c r="E234" s="244">
        <v>5.0</v>
      </c>
      <c r="F234" s="239" t="s">
        <v>250</v>
      </c>
      <c r="G234" s="185"/>
      <c r="H234" s="200"/>
      <c r="I234" s="27"/>
      <c r="J234" s="252" t="s">
        <v>53</v>
      </c>
      <c r="K234" s="197" t="str">
        <f>IF(S195="Accessory Only","",IF(S195="Boring But Big",'Start-Options'!$B$7,T212))</f>
        <v/>
      </c>
      <c r="L234" s="198" t="str">
        <f>IF(S195="Accessory Only","",IF(S195="Boring But Big",IF(X202="","",MROUND(T202*X202,'Start-Options'!$B$38)),MROUND(U212*0.4,'Start-Options'!$B$38)))</f>
        <v/>
      </c>
      <c r="M234" s="198"/>
      <c r="N234" s="199" t="str">
        <f>IF(S195="Accessory Only","",IF(S195="Boring But Big",10,5))</f>
        <v/>
      </c>
      <c r="O234" s="185"/>
      <c r="P234" s="185"/>
      <c r="Q234" s="187"/>
      <c r="R234" s="27"/>
      <c r="S234" s="27"/>
      <c r="T234" s="27"/>
      <c r="U234" s="27"/>
      <c r="V234" s="27"/>
      <c r="W234" s="27"/>
      <c r="X234" s="27"/>
      <c r="Y234" s="27"/>
      <c r="Z234" s="27"/>
      <c r="AA234" s="27"/>
    </row>
    <row r="235" ht="12.75" customHeight="1">
      <c r="A235" s="188"/>
      <c r="B235" s="189"/>
      <c r="C235" s="190" t="str">
        <f>IF(S195="Accessory Only","",IF(S195="Boring But Big",IF(W202="","",MROUND(T202*W202,'Start-Options'!$B$38)),IF(T205=531,MROUND(U212*0.75,'Start-Options'!$B$38),MROUND(U212*0.75,'Start-Options'!$B$38))))</f>
        <v/>
      </c>
      <c r="D235" s="241"/>
      <c r="E235" s="242">
        <v>5.0</v>
      </c>
      <c r="F235" s="258" t="s">
        <v>251</v>
      </c>
      <c r="G235" s="219"/>
      <c r="H235" s="191"/>
      <c r="I235" s="27"/>
      <c r="J235" s="189"/>
      <c r="K235" s="189"/>
      <c r="L235" s="190" t="str">
        <f>IF(S195="Accessory Only","",IF(S195="Boring But Big",IF(X202="","",MROUND(T202*X202,'Start-Options'!$B$38)),MROUND(U212*0.5,'Start-Options'!$B$38)))</f>
        <v/>
      </c>
      <c r="M235" s="27"/>
      <c r="N235" s="78" t="str">
        <f>IF(S195="Accessory Only","",IF(S195="Boring But Big",10,5))</f>
        <v/>
      </c>
      <c r="O235" s="220"/>
      <c r="P235" s="220"/>
      <c r="Q235" s="222"/>
      <c r="R235" s="27"/>
      <c r="S235" s="27"/>
      <c r="T235" s="27"/>
      <c r="U235" s="27"/>
      <c r="V235" s="27"/>
      <c r="W235" s="27"/>
      <c r="X235" s="27"/>
      <c r="Y235" s="27"/>
      <c r="Z235" s="27"/>
      <c r="AA235" s="27"/>
    </row>
    <row r="236" ht="12.75" customHeight="1">
      <c r="A236" s="188"/>
      <c r="B236" s="189"/>
      <c r="C236" s="190" t="str">
        <f>IF(S195="Accessory Only","",IF(S195="Boring But Big",IF(W202="","",MROUND(T202*W202,'Start-Options'!$B$38)),IF(T205=531,MROUND(U212*0.85,'Start-Options'!$B$38),MROUND(U212*0.85,'Start-Options'!$B$38))))</f>
        <v/>
      </c>
      <c r="D236" s="241"/>
      <c r="E236" s="242">
        <v>5.0</v>
      </c>
      <c r="F236" s="219"/>
      <c r="G236" s="219"/>
      <c r="H236" s="191"/>
      <c r="I236" s="27"/>
      <c r="J236" s="189"/>
      <c r="K236" s="189"/>
      <c r="L236" s="190" t="str">
        <f>IF(S195="Accessory Only","",IF(S195="Boring But Big",IF(X202="","",MROUND(T202*X202,'Start-Options'!$B$38)),MROUND(U212*0.6,'Start-Options'!$B$38)))</f>
        <v/>
      </c>
      <c r="M236" s="27"/>
      <c r="N236" s="78" t="str">
        <f>IF(S195="Accessory Only","",IF(S195="Boring But Big",10,5))</f>
        <v/>
      </c>
      <c r="O236" s="220"/>
      <c r="P236" s="220"/>
      <c r="Q236" s="222"/>
      <c r="R236" s="27"/>
      <c r="S236" s="27"/>
      <c r="T236" s="27"/>
      <c r="U236" s="27"/>
      <c r="V236" s="27"/>
      <c r="W236" s="27"/>
      <c r="X236" s="27"/>
      <c r="Y236" s="27"/>
      <c r="Z236" s="27"/>
      <c r="AA236" s="27"/>
    </row>
    <row r="237" ht="12.75" customHeight="1">
      <c r="A237" s="188"/>
      <c r="B237" s="189"/>
      <c r="C237" s="27" t="str">
        <f>IF(S195="Boring But Big",IF(W202="","",MROUND(T202*W202,'Start-Options'!$B$38)),"")</f>
        <v/>
      </c>
      <c r="D237" s="241"/>
      <c r="E237" s="242">
        <v>5.0</v>
      </c>
      <c r="F237" s="219"/>
      <c r="G237" s="219"/>
      <c r="H237" s="147"/>
      <c r="I237" s="27"/>
      <c r="J237" s="189"/>
      <c r="K237" s="189"/>
      <c r="L237" s="27" t="str">
        <f>IF(S195="Boring But Big",IF(X202="","",MROUND(T202*X202,'Start-Options'!$B$38)),"")</f>
        <v/>
      </c>
      <c r="M237" s="27"/>
      <c r="N237" s="78" t="str">
        <f>IF(S195="Boring But Big",10,"")</f>
        <v/>
      </c>
      <c r="O237" s="151"/>
      <c r="P237" s="219"/>
      <c r="Q237" s="224"/>
      <c r="R237" s="27"/>
      <c r="S237" s="27"/>
      <c r="T237" s="27"/>
      <c r="U237" s="27"/>
      <c r="V237" s="27"/>
      <c r="W237" s="27"/>
      <c r="X237" s="27"/>
      <c r="Y237" s="27"/>
      <c r="Z237" s="27"/>
      <c r="AA237" s="27"/>
    </row>
    <row r="238" ht="13.5" customHeight="1">
      <c r="A238" s="176"/>
      <c r="B238" s="225"/>
      <c r="C238" s="226" t="str">
        <f>IF(S195="Boring But Big",IF(W202="","",MROUND(T202*W202,'Start-Options'!$B$38)),"")</f>
        <v/>
      </c>
      <c r="D238" s="247"/>
      <c r="E238" s="248">
        <v>5.0</v>
      </c>
      <c r="F238" s="228"/>
      <c r="G238" s="228"/>
      <c r="H238" s="229"/>
      <c r="I238" s="158"/>
      <c r="J238" s="225"/>
      <c r="K238" s="225"/>
      <c r="L238" s="226" t="str">
        <f>IF(S195="Boring But Big",IF(X202="","",MROUND(T202*X202,'Start-Options'!$B$38)),"")</f>
        <v/>
      </c>
      <c r="M238" s="158"/>
      <c r="N238" s="227" t="str">
        <f>IF(S195="Boring But Big",10,"")</f>
        <v/>
      </c>
      <c r="O238" s="229"/>
      <c r="P238" s="228"/>
      <c r="Q238" s="230"/>
      <c r="R238" s="27"/>
      <c r="S238" s="27"/>
      <c r="T238" s="27"/>
      <c r="U238" s="27"/>
      <c r="V238" s="27"/>
      <c r="W238" s="27"/>
      <c r="X238" s="27"/>
      <c r="Y238" s="27"/>
      <c r="Z238" s="27"/>
      <c r="AA238" s="27"/>
    </row>
    <row r="239" ht="12.75" customHeight="1">
      <c r="A239" s="240"/>
      <c r="B239" s="235"/>
      <c r="C239" s="27"/>
      <c r="D239" s="27"/>
      <c r="E239" s="27"/>
      <c r="F239" s="27"/>
      <c r="G239" s="27"/>
      <c r="H239" s="27"/>
      <c r="I239" s="27"/>
      <c r="J239" s="240"/>
      <c r="K239" s="235"/>
      <c r="L239" s="27"/>
      <c r="M239" s="27"/>
      <c r="N239" s="27"/>
      <c r="O239" s="27"/>
      <c r="P239" s="27"/>
      <c r="Q239" s="27"/>
      <c r="R239" s="27"/>
      <c r="S239" s="27"/>
      <c r="T239" s="27"/>
      <c r="U239" s="27"/>
      <c r="V239" s="27"/>
      <c r="W239" s="27"/>
      <c r="X239" s="27"/>
      <c r="Y239" s="27"/>
      <c r="Z239" s="27"/>
      <c r="AA239" s="27"/>
    </row>
    <row r="240" ht="21.0" customHeight="1">
      <c r="A240" s="168"/>
      <c r="B240" s="27"/>
      <c r="C240" s="27"/>
      <c r="D240" s="27"/>
      <c r="E240" s="27"/>
      <c r="F240" s="27"/>
      <c r="G240" s="27"/>
      <c r="H240" s="27"/>
      <c r="I240" s="169" t="s">
        <v>124</v>
      </c>
      <c r="J240" s="27"/>
      <c r="K240" s="27"/>
      <c r="L240" s="27"/>
      <c r="M240" s="27"/>
      <c r="N240" s="27"/>
      <c r="O240" s="27"/>
      <c r="P240" s="27"/>
      <c r="Q240" s="27"/>
      <c r="R240" s="27"/>
      <c r="S240" s="27"/>
      <c r="T240" s="27"/>
      <c r="U240" s="27"/>
      <c r="V240" s="27"/>
      <c r="W240" s="27"/>
      <c r="X240" s="27"/>
      <c r="Y240" s="27"/>
      <c r="Z240" s="27"/>
      <c r="AA240" s="27"/>
    </row>
    <row r="241" ht="12.75" customHeight="1">
      <c r="A241" s="170" t="s">
        <v>260</v>
      </c>
      <c r="B241" s="171" t="s">
        <v>177</v>
      </c>
      <c r="C241" s="172"/>
      <c r="D241" s="172"/>
      <c r="E241" s="173"/>
      <c r="F241" s="171" t="s">
        <v>178</v>
      </c>
      <c r="G241" s="172"/>
      <c r="H241" s="173"/>
      <c r="I241" s="91"/>
      <c r="J241" s="174" t="s">
        <v>261</v>
      </c>
      <c r="K241" s="171" t="s">
        <v>177</v>
      </c>
      <c r="L241" s="172"/>
      <c r="M241" s="172"/>
      <c r="N241" s="173"/>
      <c r="O241" s="171" t="s">
        <v>178</v>
      </c>
      <c r="P241" s="172"/>
      <c r="Q241" s="94"/>
      <c r="R241" s="27"/>
      <c r="S241" s="70" t="s">
        <v>180</v>
      </c>
      <c r="T241" s="175"/>
      <c r="U241" s="71"/>
      <c r="V241" s="27"/>
      <c r="W241" s="27"/>
      <c r="X241" s="27"/>
      <c r="Y241" s="27"/>
      <c r="Z241" s="27"/>
      <c r="AA241" s="27"/>
    </row>
    <row r="242" ht="13.5" customHeight="1">
      <c r="A242" s="176"/>
      <c r="B242" s="177" t="s">
        <v>181</v>
      </c>
      <c r="C242" s="178" t="s">
        <v>26</v>
      </c>
      <c r="D242" s="178"/>
      <c r="E242" s="178" t="s">
        <v>27</v>
      </c>
      <c r="F242" s="178" t="s">
        <v>182</v>
      </c>
      <c r="G242" s="178" t="s">
        <v>183</v>
      </c>
      <c r="H242" s="179" t="s">
        <v>26</v>
      </c>
      <c r="I242" s="27"/>
      <c r="J242" s="180"/>
      <c r="K242" s="177" t="s">
        <v>181</v>
      </c>
      <c r="L242" s="178" t="s">
        <v>26</v>
      </c>
      <c r="M242" s="178"/>
      <c r="N242" s="178" t="s">
        <v>27</v>
      </c>
      <c r="O242" s="178" t="s">
        <v>182</v>
      </c>
      <c r="P242" s="179" t="s">
        <v>183</v>
      </c>
      <c r="Q242" s="181" t="s">
        <v>26</v>
      </c>
      <c r="R242" s="27"/>
      <c r="S242" s="182" t="s">
        <v>184</v>
      </c>
      <c r="T242" s="41"/>
      <c r="U242" s="42"/>
      <c r="V242" s="27"/>
      <c r="W242" s="27"/>
      <c r="X242" s="27"/>
      <c r="Y242" s="27"/>
      <c r="Z242" s="27"/>
      <c r="AA242" s="27"/>
    </row>
    <row r="243" ht="12.75" customHeight="1">
      <c r="A243" s="233" t="s">
        <v>36</v>
      </c>
      <c r="B243" s="184" t="str">
        <f>IF(S242="Accessory Only","",IF(S242="Boring But Big",'Start-Options'!$B$4,T256))</f>
        <v>Military</v>
      </c>
      <c r="C243" s="27">
        <f>IF(S242="Accessory Only","",IF(S242="Boring But Big",IF(U246="","",MROUND(T246*U246,'Start-Options'!$B$38)),IF(T252=531,MROUND(U256*0.5,'Start-Options'!$B$38),MROUND(U256*0.6,'Start-Options'!$B$38))))</f>
        <v>40</v>
      </c>
      <c r="D243" s="27"/>
      <c r="E243" s="78">
        <f>IF(S242="Accessory Only","",IF(S242="Boring But Big",10,IF(T252=531,10,8)))</f>
        <v>10</v>
      </c>
      <c r="F243" s="239" t="s">
        <v>250</v>
      </c>
      <c r="G243" s="185"/>
      <c r="H243" s="237">
        <v>15.0</v>
      </c>
      <c r="I243" s="77"/>
      <c r="J243" s="249" t="s">
        <v>36</v>
      </c>
      <c r="K243" s="184" t="str">
        <f>IF(S242="Accessory Only","",IF(S242="Boring But Big",'Start-Options'!$B$4,T256))</f>
        <v>Military</v>
      </c>
      <c r="L243" s="27">
        <f>IF(S242="Accessory Only","",IF(S242="Boring But Big",IF(V246="","",MROUND(T246*V246,'Start-Options'!$B$38)),IF(T252=531,MROUND(U256*0.6,'Start-Options'!$B$38),MROUND(U256*0.5,'Start-Options'!$B$38))))</f>
        <v>45</v>
      </c>
      <c r="M243" s="241"/>
      <c r="N243" s="242">
        <v>8.0</v>
      </c>
      <c r="O243" s="220"/>
      <c r="P243" s="220"/>
      <c r="Q243" s="222"/>
      <c r="R243" s="27"/>
      <c r="S243" s="27"/>
      <c r="T243" s="27"/>
      <c r="U243" s="27"/>
      <c r="V243" s="27"/>
      <c r="W243" s="27"/>
      <c r="X243" s="27"/>
      <c r="Y243" s="27"/>
      <c r="Z243" s="27"/>
      <c r="AA243" s="27"/>
    </row>
    <row r="244" ht="12.75" customHeight="1">
      <c r="A244" s="188"/>
      <c r="B244" s="189"/>
      <c r="C244" s="190">
        <f>IF(S242="Accessory Only","",IF(S242="Boring But Big",IF(U246="","",MROUND(T246*U246,'Start-Options'!$B$38)),IF(T252=531,MROUND(U256*0.6,'Start-Options'!$B$38),MROUND(U256*0.7,'Start-Options'!$B$38))))</f>
        <v>40</v>
      </c>
      <c r="D244" s="27"/>
      <c r="E244" s="78">
        <f>IF(S242="Accessory Only","",IF(S242="Boring But Big",10,IF(T252=531,10,8)))</f>
        <v>10</v>
      </c>
      <c r="F244" s="258" t="s">
        <v>251</v>
      </c>
      <c r="G244" s="219"/>
      <c r="H244" s="238">
        <v>6.0</v>
      </c>
      <c r="I244" s="27"/>
      <c r="J244" s="189"/>
      <c r="K244" s="189"/>
      <c r="L244" s="190">
        <f>IF(S242="Accessory Only","",IF(S242="Boring But Big",IF(V246="","",MROUND(T246*V246,'Start-Options'!$B$38)),IF(T252=531,MROUND(U256*0.7,'Start-Options'!$B$38),MROUND(U256*0.6,'Start-Options'!$B$38))))</f>
        <v>45</v>
      </c>
      <c r="M244" s="241"/>
      <c r="N244" s="242">
        <v>8.0</v>
      </c>
      <c r="O244" s="219"/>
      <c r="P244" s="219"/>
      <c r="Q244" s="201"/>
      <c r="R244" s="27"/>
      <c r="S244" s="70" t="s">
        <v>184</v>
      </c>
      <c r="T244" s="175"/>
      <c r="U244" s="175"/>
      <c r="V244" s="175"/>
      <c r="W244" s="175"/>
      <c r="X244" s="71"/>
      <c r="Y244" s="27"/>
      <c r="Z244" s="27"/>
      <c r="AA244" s="27"/>
    </row>
    <row r="245" ht="12.75" customHeight="1">
      <c r="A245" s="188"/>
      <c r="B245" s="189"/>
      <c r="C245" s="190">
        <f>IF(S242="Accessory Only","",IF(S242="Boring But Big",IF(U246="","",MROUND(T246*U246,'Start-Options'!$B$38)),IF(T252=531,MROUND(U256*0.7,'Start-Options'!$B$38),MROUND(U256*0.8,'Start-Options'!$B$38))))</f>
        <v>40</v>
      </c>
      <c r="D245" s="27"/>
      <c r="E245" s="78">
        <f>IF(S242="Accessory Only","",IF(S242="Boring But Big",10,IF(T252=531,10,6)))</f>
        <v>10</v>
      </c>
      <c r="F245" s="219"/>
      <c r="G245" s="219"/>
      <c r="H245" s="191"/>
      <c r="I245" s="27"/>
      <c r="J245" s="189"/>
      <c r="K245" s="189"/>
      <c r="L245" s="190">
        <f>IF(S242="Accessory Only","",IF(S242="Boring But Big",IF(V246="","",MROUND(T246*V246,'Start-Options'!$B$38)),IF(T252=531,MROUND(U256*0.8,'Start-Options'!$B$38),MROUND(U256*0.7,'Start-Options'!$B$38))))</f>
        <v>45</v>
      </c>
      <c r="M245" s="241"/>
      <c r="N245" s="242">
        <v>8.0</v>
      </c>
      <c r="O245" s="219"/>
      <c r="P245" s="219"/>
      <c r="Q245" s="201"/>
      <c r="R245" s="27"/>
      <c r="S245" s="25" t="s">
        <v>187</v>
      </c>
      <c r="T245" s="25" t="s">
        <v>28</v>
      </c>
      <c r="U245" s="25" t="s">
        <v>188</v>
      </c>
      <c r="V245" s="25" t="s">
        <v>189</v>
      </c>
      <c r="W245" s="192" t="s">
        <v>190</v>
      </c>
      <c r="X245" s="192" t="s">
        <v>191</v>
      </c>
      <c r="Y245" s="27"/>
      <c r="Z245" s="27"/>
      <c r="AA245" s="27"/>
    </row>
    <row r="246" ht="12.75" customHeight="1">
      <c r="A246" s="188"/>
      <c r="B246" s="189"/>
      <c r="C246" s="27">
        <f>IF(S242="Boring But Big",IF(U246="","",MROUND(T246*U246,'Start-Options'!$B$38)),"")</f>
        <v>40</v>
      </c>
      <c r="D246" s="27"/>
      <c r="E246" s="78">
        <f>IF(S242="Boring But Big",10,"")</f>
        <v>10</v>
      </c>
      <c r="F246" s="219"/>
      <c r="G246" s="219"/>
      <c r="H246" s="191"/>
      <c r="I246" s="27"/>
      <c r="J246" s="189"/>
      <c r="K246" s="189"/>
      <c r="L246" s="27">
        <f>IF(S242="Boring But Big",IF(V246="","",MROUND(T246*V246,'Start-Options'!$B$38)),"")</f>
        <v>45</v>
      </c>
      <c r="M246" s="241"/>
      <c r="N246" s="242">
        <v>8.0</v>
      </c>
      <c r="O246" s="219"/>
      <c r="P246" s="219"/>
      <c r="Q246" s="201"/>
      <c r="R246" s="27"/>
      <c r="S246" s="25" t="s">
        <v>30</v>
      </c>
      <c r="T246" s="25">
        <f>'531'!Z93</f>
        <v>62.5</v>
      </c>
      <c r="U246" s="250">
        <v>0.65</v>
      </c>
      <c r="V246" s="250">
        <v>0.7</v>
      </c>
      <c r="W246" s="251">
        <v>0.75</v>
      </c>
      <c r="X246" s="251">
        <v>0.5</v>
      </c>
      <c r="Y246" s="27"/>
      <c r="Z246" s="27"/>
      <c r="AA246" s="27"/>
    </row>
    <row r="247" ht="12.75" customHeight="1">
      <c r="A247" s="194"/>
      <c r="B247" s="195"/>
      <c r="C247" s="27">
        <f>IF(S242="Boring But Big",IF(U246="","",MROUND(T246*U246,'Start-Options'!$B$38)),"")</f>
        <v>40</v>
      </c>
      <c r="D247" s="27"/>
      <c r="E247" s="78">
        <f>IF(S242="Boring But Big",10,"")</f>
        <v>10</v>
      </c>
      <c r="F247" s="154"/>
      <c r="G247" s="154"/>
      <c r="H247" s="155"/>
      <c r="I247" s="27"/>
      <c r="J247" s="195"/>
      <c r="K247" s="195"/>
      <c r="L247" s="27">
        <f>IF(S242="Boring But Big",IF(V246="","",MROUND(T246*V246,'Start-Options'!$B$38)),"")</f>
        <v>45</v>
      </c>
      <c r="M247" s="241"/>
      <c r="N247" s="242">
        <v>8.0</v>
      </c>
      <c r="O247" s="154"/>
      <c r="P247" s="154"/>
      <c r="Q247" s="206"/>
      <c r="R247" s="27"/>
      <c r="S247" s="25" t="s">
        <v>31</v>
      </c>
      <c r="T247" s="25">
        <f>'531'!Z94</f>
        <v>135</v>
      </c>
      <c r="U247" s="250">
        <v>0.65</v>
      </c>
      <c r="V247" s="250">
        <v>0.7</v>
      </c>
      <c r="W247" s="251">
        <v>0.75</v>
      </c>
      <c r="X247" s="250">
        <v>0.5</v>
      </c>
      <c r="Y247" s="27"/>
      <c r="Z247" s="27"/>
      <c r="AA247" s="27"/>
    </row>
    <row r="248" ht="12.75" customHeight="1">
      <c r="A248" s="234" t="s">
        <v>262</v>
      </c>
      <c r="B248" s="197" t="str">
        <f>IF(S242="Accessory Only","",IF(S242="Boring But Big",'Start-Options'!$B$5,T257))</f>
        <v>Deadlift</v>
      </c>
      <c r="C248" s="198">
        <f>IF(S242="Accessory Only","",IF(S242="Boring But Big",IF(U247="","",MROUND(T247*U247,'Start-Options'!$B$38)),IF(T252=531,MROUND(U257*0.5,'Start-Options'!$B$38),MROUND(U257*0.6,'Start-Options'!$B$38))))</f>
        <v>87.5</v>
      </c>
      <c r="D248" s="198"/>
      <c r="E248" s="199">
        <f>IF(S242="Accessory Only","",IF(S242="Boring But Big",10,IF(T252=531,10,8)))</f>
        <v>10</v>
      </c>
      <c r="F248" s="239" t="s">
        <v>247</v>
      </c>
      <c r="G248" s="185"/>
      <c r="H248" s="237">
        <v>35.0</v>
      </c>
      <c r="I248" s="27"/>
      <c r="J248" s="252" t="s">
        <v>44</v>
      </c>
      <c r="K248" s="197" t="str">
        <f>IF(S242="Accessory Only","",IF(S242="Boring But Big",'Start-Options'!$B$5,T257))</f>
        <v>Deadlift</v>
      </c>
      <c r="L248" s="198">
        <f>IF(S242="Accessory Only","",IF(S242="Boring But Big",IF(V247="","",MROUND(T247*V247,'Start-Options'!$B$38)),IF(T252=531,MROUND(U257*0.6,'Start-Options'!$B$38),MROUND(U257*0.5,'Start-Options'!$B$38))))</f>
        <v>95</v>
      </c>
      <c r="M248" s="243"/>
      <c r="N248" s="244">
        <v>8.0</v>
      </c>
      <c r="O248" s="185"/>
      <c r="P248" s="185"/>
      <c r="Q248" s="187"/>
      <c r="R248" s="27"/>
      <c r="S248" s="25" t="s">
        <v>32</v>
      </c>
      <c r="T248" s="25">
        <f>'531'!Z95</f>
        <v>82.5</v>
      </c>
      <c r="U248" s="250">
        <v>0.65</v>
      </c>
      <c r="V248" s="250">
        <v>0.7</v>
      </c>
      <c r="W248" s="251">
        <v>0.75</v>
      </c>
      <c r="X248" s="193">
        <v>0.5</v>
      </c>
      <c r="Y248" s="27"/>
      <c r="Z248" s="27"/>
      <c r="AA248" s="27"/>
    </row>
    <row r="249" ht="12.75" customHeight="1">
      <c r="A249" s="188"/>
      <c r="B249" s="189"/>
      <c r="C249" s="190">
        <f>IF(S242="Accessory Only","",IF(S242="Boring But Big",IF(U247="","",MROUND(T247*U247,'Start-Options'!$B$38)),IF(T252=531,MROUND(U257*0.6,'Start-Options'!$B$38),MROUND(U257*0.7,'Start-Options'!$B$38))))</f>
        <v>87.5</v>
      </c>
      <c r="D249" s="27"/>
      <c r="E249" s="78">
        <f>IF(S242="Accessory Only","",IF(S242="Boring But Big",10,IF(T252=531,10,8)))</f>
        <v>10</v>
      </c>
      <c r="F249" s="239" t="s">
        <v>248</v>
      </c>
      <c r="G249" s="219"/>
      <c r="H249" s="238">
        <v>20.0</v>
      </c>
      <c r="I249" s="27"/>
      <c r="J249" s="189"/>
      <c r="K249" s="189"/>
      <c r="L249" s="190">
        <f>IF(S242="Accessory Only","",IF(S242="Boring But Big",IF(V247="","",MROUND(T247*V247,'Start-Options'!$B$38)),IF(T252=531,MROUND(U257*0.7,'Start-Options'!$B$38),MROUND(U257*0.6,'Start-Options'!$B$38))))</f>
        <v>95</v>
      </c>
      <c r="M249" s="241"/>
      <c r="N249" s="242">
        <v>8.0</v>
      </c>
      <c r="O249" s="219"/>
      <c r="P249" s="219"/>
      <c r="Q249" s="201"/>
      <c r="R249" s="27"/>
      <c r="S249" s="25" t="s">
        <v>194</v>
      </c>
      <c r="T249" s="25">
        <f>'531'!Z96</f>
        <v>105</v>
      </c>
      <c r="U249" s="250">
        <v>0.65</v>
      </c>
      <c r="V249" s="250">
        <v>0.7</v>
      </c>
      <c r="W249" s="251">
        <v>0.75</v>
      </c>
      <c r="X249" s="253">
        <v>0.5</v>
      </c>
      <c r="Y249" s="27"/>
      <c r="Z249" s="27"/>
      <c r="AA249" s="27"/>
    </row>
    <row r="250" ht="12.75" customHeight="1">
      <c r="A250" s="188"/>
      <c r="B250" s="189"/>
      <c r="C250" s="190">
        <f>IF(S242="Accessory Only","",IF(S242="Boring But Big",IF(U247="","",MROUND(T247*U247,'Start-Options'!$B$38)),IF(T252=531,MROUND(U257*0.7,'Start-Options'!$B$38),MROUND(U257*0.8,'Start-Options'!$B$38))))</f>
        <v>87.5</v>
      </c>
      <c r="D250" s="27"/>
      <c r="E250" s="78">
        <f>IF(S242="Accessory Only","",IF(S242="Boring But Big",10,IF(T252=531,10,6)))</f>
        <v>10</v>
      </c>
      <c r="F250" s="239" t="s">
        <v>249</v>
      </c>
      <c r="G250" s="219"/>
      <c r="H250" s="238"/>
      <c r="I250" s="27"/>
      <c r="J250" s="189"/>
      <c r="K250" s="189"/>
      <c r="L250" s="190">
        <f>IF(S242="Accessory Only","",IF(S242="Boring But Big",IF(V247="","",MROUND(T247*V247,'Start-Options'!$B$38)),IF(T252=531,MROUND(U257*0.8,'Start-Options'!$B$38),MROUND(U257*0.7,'Start-Options'!$B$38))))</f>
        <v>95</v>
      </c>
      <c r="M250" s="241"/>
      <c r="N250" s="242">
        <v>8.0</v>
      </c>
      <c r="O250" s="219"/>
      <c r="P250" s="219"/>
      <c r="Q250" s="201"/>
      <c r="R250" s="27"/>
      <c r="S250" s="27"/>
      <c r="T250" s="27"/>
      <c r="U250" s="27"/>
      <c r="V250" s="27"/>
      <c r="W250" s="27"/>
      <c r="X250" s="27"/>
      <c r="Y250" s="27"/>
      <c r="Z250" s="27"/>
      <c r="AA250" s="27"/>
    </row>
    <row r="251" ht="12.75" customHeight="1">
      <c r="A251" s="188"/>
      <c r="B251" s="189"/>
      <c r="C251" s="27">
        <f>IF(S242="Boring But Big",IF(U247="","",MROUND(T247*U247,'Start-Options'!$B$38)),"")</f>
        <v>87.5</v>
      </c>
      <c r="D251" s="27"/>
      <c r="E251" s="78">
        <f>IF(S242="Boring But Big",10,"")</f>
        <v>10</v>
      </c>
      <c r="F251" s="219"/>
      <c r="G251" s="219"/>
      <c r="H251" s="191"/>
      <c r="I251" s="27"/>
      <c r="J251" s="189"/>
      <c r="K251" s="189"/>
      <c r="L251" s="27">
        <f>IF(S242="Boring But Big",IF(V247="","",MROUND(T247*V247,'Start-Options'!$B$38)),"")</f>
        <v>95</v>
      </c>
      <c r="M251" s="241"/>
      <c r="N251" s="242">
        <v>8.0</v>
      </c>
      <c r="O251" s="219"/>
      <c r="P251" s="219"/>
      <c r="Q251" s="201"/>
      <c r="R251" s="27"/>
      <c r="S251" s="70" t="s">
        <v>204</v>
      </c>
      <c r="T251" s="71"/>
      <c r="U251" s="27"/>
      <c r="V251" s="27"/>
      <c r="W251" s="27"/>
      <c r="X251" s="27"/>
      <c r="Y251" s="27"/>
      <c r="Z251" s="27"/>
      <c r="AA251" s="27"/>
    </row>
    <row r="252" ht="12.75" customHeight="1">
      <c r="A252" s="188"/>
      <c r="B252" s="195"/>
      <c r="C252" s="27">
        <f>IF(S242="Boring But Big",IF(U247="","",MROUND(T247*U247,'Start-Options'!$B$38)),"")</f>
        <v>87.5</v>
      </c>
      <c r="D252" s="27"/>
      <c r="E252" s="78">
        <f>IF(S242="Boring But Big",10,"")</f>
        <v>10</v>
      </c>
      <c r="F252" s="154"/>
      <c r="G252" s="154"/>
      <c r="H252" s="155"/>
      <c r="I252" s="27"/>
      <c r="J252" s="189"/>
      <c r="K252" s="195"/>
      <c r="L252" s="27">
        <f>IF(S242="Boring But Big",IF(V247="","",MROUND(T247*V247,'Start-Options'!$B$38)),"")</f>
        <v>95</v>
      </c>
      <c r="M252" s="241"/>
      <c r="N252" s="242">
        <v>8.0</v>
      </c>
      <c r="O252" s="154"/>
      <c r="P252" s="154"/>
      <c r="Q252" s="206"/>
      <c r="R252" s="27"/>
      <c r="S252" s="25" t="s">
        <v>205</v>
      </c>
      <c r="T252" s="28">
        <v>531.0</v>
      </c>
      <c r="U252" s="27"/>
      <c r="V252" s="27"/>
      <c r="W252" s="27"/>
      <c r="X252" s="27"/>
      <c r="Y252" s="27"/>
      <c r="Z252" s="27"/>
      <c r="AA252" s="27"/>
    </row>
    <row r="253" ht="12.75" customHeight="1">
      <c r="A253" s="234" t="s">
        <v>48</v>
      </c>
      <c r="B253" s="197" t="str">
        <f>IF(S242="Accessory Only","",IF(S242="Boring But Big",'Start-Options'!$B$6,T258))</f>
        <v>Bench</v>
      </c>
      <c r="C253" s="198">
        <f>IF(S242="Accessory Only","",IF(S242="Boring But Big",IF(U248="","",MROUND(T248*U248,'Start-Options'!$B$38)),IF(T252=531,MROUND(U258*0.5,'Start-Options'!$B$38),MROUND(U258*0.6,'Start-Options'!$B$38))))</f>
        <v>52.5</v>
      </c>
      <c r="D253" s="198"/>
      <c r="E253" s="199">
        <f>IF(S242="Accessory Only","",IF(S242="Boring But Big",10,IF(T252=531,10,8)))</f>
        <v>10</v>
      </c>
      <c r="F253" s="185"/>
      <c r="G253" s="185"/>
      <c r="H253" s="200"/>
      <c r="I253" s="27"/>
      <c r="J253" s="252" t="s">
        <v>48</v>
      </c>
      <c r="K253" s="197" t="str">
        <f>IF(S242="Accessory Only","",IF(S242="Boring But Big",'Start-Options'!$B$6,T258))</f>
        <v>Bench</v>
      </c>
      <c r="L253" s="198">
        <f>IF(S242="Accessory Only","",IF(S242="Boring But Big",IF(V248="","",MROUND(T248*V248,'Start-Options'!$B$38)),IF(T252=531,MROUND(U258*0.6,'Start-Options'!$B$38),MROUND(U258*0.5,'Start-Options'!$B$38))))</f>
        <v>57.5</v>
      </c>
      <c r="M253" s="243"/>
      <c r="N253" s="244">
        <v>8.0</v>
      </c>
      <c r="O253" s="185"/>
      <c r="P253" s="185"/>
      <c r="Q253" s="187"/>
      <c r="R253" s="27"/>
      <c r="S253" s="27"/>
      <c r="T253" s="27"/>
      <c r="U253" s="27"/>
      <c r="V253" s="27"/>
      <c r="W253" s="27"/>
      <c r="X253" s="27"/>
      <c r="Y253" s="27"/>
      <c r="Z253" s="27"/>
      <c r="AA253" s="27"/>
    </row>
    <row r="254" ht="12.75" customHeight="1">
      <c r="A254" s="188"/>
      <c r="B254" s="189"/>
      <c r="C254" s="190">
        <f>IF(S242="Accessory Only","",IF(S242="Boring But Big",IF(U248="","",MROUND(T248*U248,'Start-Options'!$B$38)),IF(T252=531,MROUND(U258*0.6,'Start-Options'!$B$38),MROUND(U258*0.7,'Start-Options'!$B$38))))</f>
        <v>52.5</v>
      </c>
      <c r="D254" s="27"/>
      <c r="E254" s="78">
        <f>IF(S242="Accessory Only","",IF(S242="Boring But Big",10,IF(T252=531,10,8)))</f>
        <v>10</v>
      </c>
      <c r="F254" s="219"/>
      <c r="G254" s="219"/>
      <c r="H254" s="191"/>
      <c r="I254" s="27"/>
      <c r="J254" s="189"/>
      <c r="K254" s="189"/>
      <c r="L254" s="190">
        <f>IF(S242="Accessory Only","",IF(S242="Boring But Big",IF(V248="","",MROUND(T248*V248,'Start-Options'!$B$38)),IF(T252=531,MROUND(U258*0.7,'Start-Options'!$B$38),MROUND(U258*0.6,'Start-Options'!$B$38))))</f>
        <v>57.5</v>
      </c>
      <c r="M254" s="241"/>
      <c r="N254" s="242">
        <v>8.0</v>
      </c>
      <c r="O254" s="219"/>
      <c r="P254" s="219"/>
      <c r="Q254" s="201"/>
      <c r="R254" s="27"/>
      <c r="S254" s="70" t="s">
        <v>204</v>
      </c>
      <c r="T254" s="175"/>
      <c r="U254" s="71"/>
      <c r="V254" s="27"/>
      <c r="W254" s="27"/>
      <c r="X254" s="27"/>
      <c r="Y254" s="231"/>
      <c r="Z254" s="231"/>
      <c r="AA254" s="27"/>
    </row>
    <row r="255" ht="12.75" customHeight="1">
      <c r="A255" s="188"/>
      <c r="B255" s="189"/>
      <c r="C255" s="190">
        <f>IF(S242="Accessory Only","",IF(S242="Boring But Big",IF(U248="","",MROUND(T248*U248,'Start-Options'!$B$38)),IF(T252=531,MROUND(U258*0.7,'Start-Options'!$B$38),MROUND(U258*0.8,'Start-Options'!$B$38))))</f>
        <v>52.5</v>
      </c>
      <c r="D255" s="27"/>
      <c r="E255" s="78">
        <f>IF(S242="Accessory Only","",IF(S242="Boring But Big",10,IF(T252=531,10,6)))</f>
        <v>10</v>
      </c>
      <c r="F255" s="219"/>
      <c r="G255" s="219"/>
      <c r="H255" s="191"/>
      <c r="I255" s="27"/>
      <c r="J255" s="189"/>
      <c r="K255" s="189"/>
      <c r="L255" s="190">
        <f>IF(S242="Accessory Only","",IF(S242="Boring But Big",IF(V248="","",MROUND(T248*V248,'Start-Options'!$B$38)),IF(T252=531,MROUND(U258*0.8,'Start-Options'!$B$38),MROUND(U258*0.7,'Start-Options'!$B$38))))</f>
        <v>57.5</v>
      </c>
      <c r="M255" s="241"/>
      <c r="N255" s="242">
        <v>8.0</v>
      </c>
      <c r="O255" s="219"/>
      <c r="P255" s="219"/>
      <c r="Q255" s="201"/>
      <c r="R255" s="27"/>
      <c r="S255" s="25"/>
      <c r="T255" s="223" t="s">
        <v>182</v>
      </c>
      <c r="U255" s="223" t="s">
        <v>28</v>
      </c>
      <c r="V255" s="27"/>
      <c r="W255" s="27"/>
      <c r="X255" s="27"/>
      <c r="Y255" s="27"/>
      <c r="Z255" s="27"/>
      <c r="AA255" s="27"/>
    </row>
    <row r="256" ht="12.75" customHeight="1">
      <c r="A256" s="188"/>
      <c r="B256" s="189"/>
      <c r="C256" s="27">
        <f>IF(S242="Boring But Big",IF(U248="","",MROUND(T248*U248,'Start-Options'!$B$38)),"")</f>
        <v>52.5</v>
      </c>
      <c r="D256" s="27"/>
      <c r="E256" s="27">
        <f>IF(S242="Boring But Big",10,"")</f>
        <v>10</v>
      </c>
      <c r="F256" s="219"/>
      <c r="G256" s="219"/>
      <c r="H256" s="207"/>
      <c r="I256" s="77"/>
      <c r="J256" s="189"/>
      <c r="K256" s="189"/>
      <c r="L256" s="27">
        <f>IF(S242="Boring But Big",IF(V248="","",MROUND(T248*V248,'Start-Options'!$B$38)),"")</f>
        <v>57.5</v>
      </c>
      <c r="M256" s="241"/>
      <c r="N256" s="242">
        <v>8.0</v>
      </c>
      <c r="O256" s="219"/>
      <c r="P256" s="219"/>
      <c r="Q256" s="201"/>
      <c r="R256" s="27"/>
      <c r="S256" s="77" t="s">
        <v>36</v>
      </c>
      <c r="T256" s="147" t="s">
        <v>208</v>
      </c>
      <c r="U256" s="147">
        <v>100.0</v>
      </c>
      <c r="V256" s="27"/>
      <c r="W256" s="27"/>
      <c r="X256" s="27"/>
      <c r="Y256" s="27"/>
      <c r="Z256" s="27"/>
      <c r="AA256" s="27"/>
    </row>
    <row r="257" ht="12.75" customHeight="1">
      <c r="A257" s="194"/>
      <c r="B257" s="195"/>
      <c r="C257" s="27">
        <f>IF(S242="Boring But Big",IF(U248="","",MROUND(T248*U248,'Start-Options'!$B$38)),"")</f>
        <v>52.5</v>
      </c>
      <c r="D257" s="27"/>
      <c r="E257" s="78">
        <f>IF(S242="Boring But Big",10,"")</f>
        <v>10</v>
      </c>
      <c r="F257" s="154"/>
      <c r="G257" s="154"/>
      <c r="H257" s="155"/>
      <c r="I257" s="27"/>
      <c r="J257" s="195"/>
      <c r="K257" s="195"/>
      <c r="L257" s="27">
        <f>IF(S242="Boring But Big",IF(V248="","",MROUND(T248*V248,'Start-Options'!$B$38)),"")</f>
        <v>57.5</v>
      </c>
      <c r="M257" s="241"/>
      <c r="N257" s="242">
        <v>8.0</v>
      </c>
      <c r="O257" s="154"/>
      <c r="P257" s="154"/>
      <c r="Q257" s="206"/>
      <c r="R257" s="27"/>
      <c r="S257" s="25" t="s">
        <v>44</v>
      </c>
      <c r="T257" s="162" t="s">
        <v>210</v>
      </c>
      <c r="U257" s="162">
        <v>100.0</v>
      </c>
      <c r="V257" s="27"/>
      <c r="W257" s="27"/>
      <c r="X257" s="27"/>
      <c r="Y257" s="27"/>
      <c r="Z257" s="27"/>
      <c r="AA257" s="27"/>
    </row>
    <row r="258" ht="12.75" customHeight="1">
      <c r="A258" s="234" t="s">
        <v>53</v>
      </c>
      <c r="B258" s="197" t="str">
        <f>IF(S242="Accessory Only","",IF(S242="Boring But Big",'Start-Options'!$B$7,T259))</f>
        <v>Squat</v>
      </c>
      <c r="C258" s="198">
        <f>IF(S242="Accessory Only","",IF(S242="Boring But Big",IF(U249="","",MROUND(T249*U249,'Start-Options'!$B$38)),IF(T252=531,MROUND(U259*0.5,'Start-Options'!$B$38),MROUND(U259*0.6,'Start-Options'!$B$38))))</f>
        <v>67.5</v>
      </c>
      <c r="D258" s="198"/>
      <c r="E258" s="199">
        <f>IF(S242="Accessory Only","",IF(S242="Boring But Big",10,IF(T252=531,10,8)))</f>
        <v>10</v>
      </c>
      <c r="F258" s="185"/>
      <c r="G258" s="185"/>
      <c r="H258" s="200"/>
      <c r="I258" s="27"/>
      <c r="J258" s="252" t="s">
        <v>53</v>
      </c>
      <c r="K258" s="197" t="str">
        <f>IF(S242="Accessory Only","",IF(S242="Boring But Big",'Start-Options'!$B$7,T259))</f>
        <v>Squat</v>
      </c>
      <c r="L258" s="198">
        <f>IF(S242="Accessory Only","",IF(S242="Boring But Big",IF(V249="","",MROUND(T249*V249,'Start-Options'!$B$38)),IF(T252=531,MROUND(U259*0.6,'Start-Options'!$B$38),MROUND(U259*0.5,'Start-Options'!$B$38))))</f>
        <v>72.5</v>
      </c>
      <c r="M258" s="243"/>
      <c r="N258" s="244">
        <v>8.0</v>
      </c>
      <c r="O258" s="185"/>
      <c r="P258" s="185"/>
      <c r="Q258" s="187"/>
      <c r="R258" s="27"/>
      <c r="S258" s="25" t="s">
        <v>48</v>
      </c>
      <c r="T258" s="162" t="s">
        <v>212</v>
      </c>
      <c r="U258" s="162">
        <v>100.0</v>
      </c>
      <c r="V258" s="27"/>
      <c r="W258" s="27"/>
      <c r="X258" s="27"/>
      <c r="Y258" s="27"/>
      <c r="Z258" s="27"/>
      <c r="AA258" s="27"/>
    </row>
    <row r="259" ht="12.75" customHeight="1">
      <c r="A259" s="188"/>
      <c r="B259" s="189"/>
      <c r="C259" s="190">
        <f>IF(S242="Accessory Only","",IF(S242="Boring But Big",IF(U249="","",MROUND(T249*U249,'Start-Options'!$B$38)),IF(T252=531,MROUND(U259*0.6,'Start-Options'!$B$38),MROUND(U259*0.7,'Start-Options'!$B$38))))</f>
        <v>67.5</v>
      </c>
      <c r="D259" s="27"/>
      <c r="E259" s="78">
        <f>IF(S242="Accessory Only","",IF(S242="Boring But Big",10,IF(T252=531,10,8)))</f>
        <v>10</v>
      </c>
      <c r="F259" s="219"/>
      <c r="G259" s="219"/>
      <c r="H259" s="191"/>
      <c r="I259" s="27"/>
      <c r="J259" s="189"/>
      <c r="K259" s="189"/>
      <c r="L259" s="190">
        <f>IF(S242="Accessory Only","",IF(S242="Boring But Big",IF(V249="","",MROUND(T249*V249,'Start-Options'!$B$38)),IF(T252=531,MROUND(U259*0.7,'Start-Options'!$B$38),MROUND(U259*0.6,'Start-Options'!$B$38))))</f>
        <v>72.5</v>
      </c>
      <c r="M259" s="241"/>
      <c r="N259" s="242">
        <v>8.0</v>
      </c>
      <c r="O259" s="219"/>
      <c r="P259" s="219"/>
      <c r="Q259" s="201"/>
      <c r="R259" s="27"/>
      <c r="S259" s="82" t="s">
        <v>53</v>
      </c>
      <c r="T259" s="155" t="s">
        <v>224</v>
      </c>
      <c r="U259" s="155">
        <v>100.0</v>
      </c>
      <c r="V259" s="27"/>
      <c r="W259" s="27"/>
      <c r="X259" s="27"/>
      <c r="Y259" s="27"/>
      <c r="Z259" s="27"/>
      <c r="AA259" s="27"/>
    </row>
    <row r="260" ht="12.75" customHeight="1">
      <c r="A260" s="188"/>
      <c r="B260" s="189"/>
      <c r="C260" s="190">
        <f>IF(S242="Accessory Only","",IF(S242="Boring But Big",IF(U249="","",MROUND(T249*U249,'Start-Options'!$B$38)),IF(T252=531,MROUND(U259*0.7,'Start-Options'!$B$38),MROUND(U259*0.8,'Start-Options'!$B$38))))</f>
        <v>67.5</v>
      </c>
      <c r="D260" s="27"/>
      <c r="E260" s="78">
        <f>IF(S242="Accessory Only","",IF(S242="Boring But Big",10,IF(T252=531,10,6)))</f>
        <v>10</v>
      </c>
      <c r="F260" s="219"/>
      <c r="G260" s="219"/>
      <c r="H260" s="191"/>
      <c r="I260" s="27"/>
      <c r="J260" s="189"/>
      <c r="K260" s="189"/>
      <c r="L260" s="190">
        <f>IF(S242="Accessory Only","",IF(S242="Boring But Big",IF(V249="","",MROUND(T249*V249,'Start-Options'!$B$38)),IF(T252=531,MROUND(U259*0.8,'Start-Options'!$B$38),MROUND(U259*0.7,'Start-Options'!$B$38))))</f>
        <v>72.5</v>
      </c>
      <c r="M260" s="241"/>
      <c r="N260" s="242">
        <v>8.0</v>
      </c>
      <c r="O260" s="219"/>
      <c r="P260" s="219"/>
      <c r="Q260" s="201"/>
      <c r="R260" s="27"/>
      <c r="S260" s="27"/>
      <c r="T260" s="27"/>
      <c r="U260" s="27"/>
      <c r="V260" s="27"/>
      <c r="W260" s="27"/>
      <c r="X260" s="27"/>
      <c r="Y260" s="27"/>
      <c r="Z260" s="27"/>
      <c r="AA260" s="27"/>
    </row>
    <row r="261" ht="12.75" customHeight="1">
      <c r="A261" s="188"/>
      <c r="B261" s="189"/>
      <c r="C261" s="27">
        <f>IF(S242="Boring But Big",IF(U249="","",MROUND(T249*U249,'Start-Options'!$B$38)),"")</f>
        <v>67.5</v>
      </c>
      <c r="D261" s="27"/>
      <c r="E261" s="78">
        <f>IF(S242="Boring But Big",10,"")</f>
        <v>10</v>
      </c>
      <c r="F261" s="219"/>
      <c r="G261" s="219"/>
      <c r="H261" s="191"/>
      <c r="I261" s="27"/>
      <c r="J261" s="189"/>
      <c r="K261" s="189"/>
      <c r="L261" s="27">
        <f>IF(S242="Boring But Big",IF(V249="","",MROUND(T249*V249,'Start-Options'!$B$38)),"")</f>
        <v>72.5</v>
      </c>
      <c r="M261" s="241"/>
      <c r="N261" s="242">
        <v>8.0</v>
      </c>
      <c r="O261" s="219"/>
      <c r="P261" s="219"/>
      <c r="Q261" s="201"/>
      <c r="R261" s="27"/>
      <c r="S261" s="27"/>
      <c r="T261" s="27"/>
      <c r="U261" s="27"/>
      <c r="V261" s="27"/>
      <c r="W261" s="27"/>
      <c r="X261" s="27"/>
      <c r="Y261" s="27"/>
      <c r="Z261" s="27"/>
      <c r="AA261" s="27"/>
    </row>
    <row r="262" ht="12.75" customHeight="1">
      <c r="A262" s="194"/>
      <c r="B262" s="195"/>
      <c r="C262" s="208">
        <f>IF(S242="Boring But Big",IF(U249="","",MROUND(T249*U249,'Start-Options'!$B$38)),"")</f>
        <v>67.5</v>
      </c>
      <c r="D262" s="49"/>
      <c r="E262" s="83">
        <f>IF(S242="Boring But Big",10,"")</f>
        <v>10</v>
      </c>
      <c r="F262" s="154"/>
      <c r="G262" s="154"/>
      <c r="H262" s="155"/>
      <c r="I262" s="27"/>
      <c r="J262" s="195"/>
      <c r="K262" s="195"/>
      <c r="L262" s="208">
        <f>IF(S242="Boring But Big",IF(V249="","",MROUND(T249*V249,'Start-Options'!$B$38)),"")</f>
        <v>72.5</v>
      </c>
      <c r="M262" s="245"/>
      <c r="N262" s="246">
        <v>8.0</v>
      </c>
      <c r="O262" s="154"/>
      <c r="P262" s="154"/>
      <c r="Q262" s="206"/>
      <c r="R262" s="27"/>
      <c r="S262" s="27"/>
      <c r="T262" s="27"/>
      <c r="U262" s="27"/>
      <c r="V262" s="27"/>
      <c r="W262" s="27"/>
      <c r="X262" s="27"/>
      <c r="Y262" s="27"/>
      <c r="Z262" s="27"/>
      <c r="AA262" s="27"/>
    </row>
    <row r="263" ht="12.75" customHeight="1">
      <c r="A263" s="168"/>
      <c r="B263" s="27"/>
      <c r="C263" s="27"/>
      <c r="D263" s="27"/>
      <c r="E263" s="27"/>
      <c r="F263" s="27"/>
      <c r="G263" s="27"/>
      <c r="H263" s="27"/>
      <c r="I263" s="27"/>
      <c r="J263" s="27"/>
      <c r="K263" s="27"/>
      <c r="L263" s="27"/>
      <c r="M263" s="27"/>
      <c r="N263" s="27"/>
      <c r="O263" s="27"/>
      <c r="P263" s="27"/>
      <c r="Q263" s="209"/>
      <c r="R263" s="27"/>
      <c r="S263" s="27"/>
      <c r="T263" s="27"/>
      <c r="U263" s="27"/>
      <c r="V263" s="27"/>
      <c r="W263" s="27"/>
      <c r="X263" s="27"/>
      <c r="Y263" s="27"/>
      <c r="Z263" s="27"/>
      <c r="AA263" s="27"/>
    </row>
    <row r="264" ht="12.75" customHeight="1">
      <c r="A264" s="210" t="s">
        <v>263</v>
      </c>
      <c r="B264" s="211" t="s">
        <v>177</v>
      </c>
      <c r="C264" s="41"/>
      <c r="D264" s="41"/>
      <c r="E264" s="42"/>
      <c r="F264" s="211" t="s">
        <v>178</v>
      </c>
      <c r="G264" s="41"/>
      <c r="H264" s="42"/>
      <c r="I264" s="27"/>
      <c r="J264" s="212" t="s">
        <v>264</v>
      </c>
      <c r="K264" s="211" t="s">
        <v>177</v>
      </c>
      <c r="L264" s="41"/>
      <c r="M264" s="41"/>
      <c r="N264" s="42"/>
      <c r="O264" s="211" t="s">
        <v>178</v>
      </c>
      <c r="P264" s="41"/>
      <c r="Q264" s="213"/>
      <c r="R264" s="27"/>
      <c r="S264" s="70" t="s">
        <v>93</v>
      </c>
      <c r="T264" s="71"/>
      <c r="U264" s="27"/>
      <c r="V264" s="27"/>
      <c r="W264" s="27"/>
      <c r="X264" s="27"/>
      <c r="Y264" s="27"/>
      <c r="Z264" s="27"/>
      <c r="AA264" s="27"/>
    </row>
    <row r="265" ht="12.75" customHeight="1">
      <c r="A265" s="194"/>
      <c r="B265" s="214" t="s">
        <v>181</v>
      </c>
      <c r="C265" s="215" t="s">
        <v>26</v>
      </c>
      <c r="D265" s="215"/>
      <c r="E265" s="215" t="s">
        <v>27</v>
      </c>
      <c r="F265" s="215" t="s">
        <v>182</v>
      </c>
      <c r="G265" s="216" t="s">
        <v>183</v>
      </c>
      <c r="H265" s="215" t="s">
        <v>26</v>
      </c>
      <c r="I265" s="27"/>
      <c r="J265" s="217"/>
      <c r="K265" s="214" t="s">
        <v>181</v>
      </c>
      <c r="L265" s="215" t="s">
        <v>26</v>
      </c>
      <c r="M265" s="215"/>
      <c r="N265" s="215" t="s">
        <v>27</v>
      </c>
      <c r="O265" s="215" t="s">
        <v>182</v>
      </c>
      <c r="P265" s="216" t="s">
        <v>183</v>
      </c>
      <c r="Q265" s="218" t="s">
        <v>26</v>
      </c>
      <c r="R265" s="27"/>
      <c r="S265" s="25" t="s">
        <v>94</v>
      </c>
      <c r="T265" s="162"/>
      <c r="U265" s="27"/>
      <c r="V265" s="27"/>
      <c r="W265" s="27"/>
      <c r="X265" s="27"/>
      <c r="Y265" s="27"/>
      <c r="Z265" s="27"/>
      <c r="AA265" s="27"/>
    </row>
    <row r="266" ht="12.75" customHeight="1">
      <c r="A266" s="234" t="s">
        <v>36</v>
      </c>
      <c r="B266" s="197" t="str">
        <f>IF(S242="Accessory Only","",IF(S242="Boring But Big",'Start-Options'!$B$4,T256))</f>
        <v>Military</v>
      </c>
      <c r="C266" s="198">
        <f>IF(S242="Accessory Only","",IF(S242="Boring But Big",IF(W246="","",MROUND(T246*W246,'Start-Options'!$B$38)),IF(T252=531,MROUND(U256*0.65,'Start-Options'!$B$38),MROUND(U256*0.65,'Start-Options'!$B$38))))</f>
        <v>47.5</v>
      </c>
      <c r="D266" s="243"/>
      <c r="E266" s="244">
        <v>5.0</v>
      </c>
      <c r="F266" s="185"/>
      <c r="G266" s="185"/>
      <c r="H266" s="200"/>
      <c r="I266" s="27"/>
      <c r="J266" s="252" t="s">
        <v>36</v>
      </c>
      <c r="K266" s="197" t="str">
        <f>IF(S242="Accessory Only","",IF(S242="Boring But Big",'Start-Options'!$B$4,T256))</f>
        <v>Military</v>
      </c>
      <c r="L266" s="198">
        <f>IF(S242="Accessory Only","",IF(S242="Boring But Big",IF(X246="","",MROUND(T246*X246,'Start-Options'!$B$38)),MROUND(U256*0.4,'Start-Options'!$B$38)))</f>
        <v>32.5</v>
      </c>
      <c r="M266" s="198"/>
      <c r="N266" s="199">
        <f>IF(S242="Accessory Only","",IF(S242="Boring But Big",10,5))</f>
        <v>10</v>
      </c>
      <c r="O266" s="185"/>
      <c r="P266" s="185"/>
      <c r="Q266" s="187"/>
      <c r="R266" s="27"/>
      <c r="S266" s="77" t="s">
        <v>95</v>
      </c>
      <c r="T266" s="78" t="str">
        <f>IF(T265="","",MROUND(T265*0.4,'Start-Options'!$B$38))</f>
        <v/>
      </c>
      <c r="U266" s="27"/>
      <c r="V266" s="27"/>
      <c r="W266" s="27"/>
      <c r="X266" s="27"/>
      <c r="Y266" s="27"/>
      <c r="Z266" s="27"/>
      <c r="AA266" s="27"/>
    </row>
    <row r="267" ht="12.75" customHeight="1">
      <c r="A267" s="188"/>
      <c r="B267" s="189"/>
      <c r="C267" s="190">
        <f>IF(S242="Accessory Only","",IF(S242="Boring But Big",IF(W246="","",MROUND(T246*W246,'Start-Options'!$B$38)),IF(T252=531,MROUND(U256*0.75,'Start-Options'!$B$38),MROUND(U256*0.75,'Start-Options'!$B$38))))</f>
        <v>47.5</v>
      </c>
      <c r="D267" s="241"/>
      <c r="E267" s="242">
        <v>5.0</v>
      </c>
      <c r="F267" s="219"/>
      <c r="G267" s="219"/>
      <c r="H267" s="191"/>
      <c r="I267" s="27"/>
      <c r="J267" s="189"/>
      <c r="K267" s="189"/>
      <c r="L267" s="190">
        <f>IF(S242="Accessory Only","",IF(S242="Boring But Big",IF(X246="","",MROUND(T246*X246,'Start-Options'!$B$38)),MROUND(U256*0.5,'Start-Options'!$B$38)))</f>
        <v>32.5</v>
      </c>
      <c r="M267" s="27"/>
      <c r="N267" s="78">
        <f>IF(S242="Accessory Only","",IF(S242="Boring But Big",10,5))</f>
        <v>10</v>
      </c>
      <c r="O267" s="220"/>
      <c r="P267" s="220"/>
      <c r="Q267" s="221"/>
      <c r="R267" s="27"/>
      <c r="S267" s="77" t="s">
        <v>96</v>
      </c>
      <c r="T267" s="78" t="str">
        <f>IF(T265="","",MROUND(T265*0.5,'Start-Options'!$B$38))</f>
        <v/>
      </c>
      <c r="U267" s="27"/>
      <c r="V267" s="27"/>
      <c r="W267" s="27"/>
      <c r="X267" s="27"/>
      <c r="Y267" s="27"/>
      <c r="Z267" s="27"/>
      <c r="AA267" s="27"/>
    </row>
    <row r="268" ht="12.75" customHeight="1">
      <c r="A268" s="188"/>
      <c r="B268" s="189"/>
      <c r="C268" s="190">
        <f>IF(S242="Accessory Only","",IF(S242="Boring But Big",IF(W246="","",MROUND(T246*W246,'Start-Options'!$B$38)),IF(T252=531,MROUND(U256*0.85,'Start-Options'!$B$38),MROUND(U256*0.85,'Start-Options'!$B$38))))</f>
        <v>47.5</v>
      </c>
      <c r="D268" s="241"/>
      <c r="E268" s="242">
        <v>5.0</v>
      </c>
      <c r="F268" s="219"/>
      <c r="G268" s="219"/>
      <c r="H268" s="191"/>
      <c r="I268" s="27"/>
      <c r="J268" s="189"/>
      <c r="K268" s="189"/>
      <c r="L268" s="190">
        <f>IF(S242="Accessory Only","",IF(S242="Boring But Big",IF(X246="","",MROUND(T246*X246,'Start-Options'!$B$38)),MROUND(U256*0.6,'Start-Options'!$B$38)))</f>
        <v>32.5</v>
      </c>
      <c r="M268" s="27"/>
      <c r="N268" s="78">
        <f>IF(S242="Accessory Only","",IF(S242="Boring But Big",10,5))</f>
        <v>10</v>
      </c>
      <c r="O268" s="220"/>
      <c r="P268" s="220"/>
      <c r="Q268" s="222"/>
      <c r="R268" s="27"/>
      <c r="S268" s="82" t="s">
        <v>97</v>
      </c>
      <c r="T268" s="83" t="str">
        <f>IF(T265="","",MROUND(T265*0.6,'Start-Options'!$B$38))</f>
        <v/>
      </c>
      <c r="U268" s="27"/>
      <c r="V268" s="27"/>
      <c r="W268" s="27"/>
      <c r="X268" s="27"/>
      <c r="Y268" s="27"/>
      <c r="Z268" s="27"/>
      <c r="AA268" s="27"/>
    </row>
    <row r="269" ht="12.75" customHeight="1">
      <c r="A269" s="188"/>
      <c r="B269" s="189"/>
      <c r="C269" s="27">
        <f>IF(S242="Boring But Big",IF(W246="","",MROUND(T246*W246,'Start-Options'!$B$38)),"")</f>
        <v>47.5</v>
      </c>
      <c r="D269" s="241"/>
      <c r="E269" s="242">
        <v>5.0</v>
      </c>
      <c r="F269" s="219"/>
      <c r="G269" s="219"/>
      <c r="H269" s="191"/>
      <c r="I269" s="27"/>
      <c r="J269" s="189"/>
      <c r="K269" s="189"/>
      <c r="L269" s="27">
        <f>IF(S242="Boring But Big",IF(X246="","",MROUND(T246*X246,'Start-Options'!$B$38)),"")</f>
        <v>32.5</v>
      </c>
      <c r="M269" s="27"/>
      <c r="N269" s="78">
        <f>IF(S242="Boring But Big",10,"")</f>
        <v>10</v>
      </c>
      <c r="O269" s="219"/>
      <c r="P269" s="219"/>
      <c r="Q269" s="201"/>
      <c r="R269" s="27"/>
      <c r="S269" s="27"/>
      <c r="T269" s="27"/>
      <c r="U269" s="27"/>
      <c r="V269" s="27"/>
      <c r="W269" s="27"/>
      <c r="X269" s="27"/>
      <c r="Y269" s="27"/>
      <c r="Z269" s="27"/>
      <c r="AA269" s="27"/>
    </row>
    <row r="270" ht="12.75" customHeight="1">
      <c r="A270" s="194"/>
      <c r="B270" s="195"/>
      <c r="C270" s="27">
        <f>IF(S242="Boring But Big",IF(W246="","",MROUND(T246*W246,'Start-Options'!$B$38)),"")</f>
        <v>47.5</v>
      </c>
      <c r="D270" s="241"/>
      <c r="E270" s="242">
        <v>5.0</v>
      </c>
      <c r="F270" s="154"/>
      <c r="G270" s="154"/>
      <c r="H270" s="155"/>
      <c r="I270" s="27"/>
      <c r="J270" s="195"/>
      <c r="K270" s="195"/>
      <c r="L270" s="27">
        <f>IF(S242="Boring But Big",IF(X246="","",MROUND(T246*X246,'Start-Options'!$B$38)),"")</f>
        <v>32.5</v>
      </c>
      <c r="M270" s="27"/>
      <c r="N270" s="78">
        <f>IF(S242="Boring But Big",10,"")</f>
        <v>10</v>
      </c>
      <c r="O270" s="154"/>
      <c r="P270" s="154"/>
      <c r="Q270" s="206"/>
      <c r="R270" s="27"/>
      <c r="S270" s="27"/>
      <c r="T270" s="27"/>
      <c r="U270" s="27"/>
      <c r="V270" s="27"/>
      <c r="W270" s="27"/>
      <c r="X270" s="27"/>
      <c r="Y270" s="27"/>
      <c r="Z270" s="27"/>
      <c r="AA270" s="27"/>
    </row>
    <row r="271" ht="12.75" customHeight="1">
      <c r="A271" s="234" t="s">
        <v>44</v>
      </c>
      <c r="B271" s="197" t="str">
        <f>IF(S242="Accessory Only","",IF(S242="Boring But Big",'Start-Options'!$B$5,T257))</f>
        <v>Deadlift</v>
      </c>
      <c r="C271" s="198">
        <f>IF(S242="Accessory Only","",IF(S242="Boring But Big",IF(W247="","",MROUND(T247*W247,'Start-Options'!$B$38)),IF(T252=531,MROUND(U257*0.65,'Start-Options'!$B$38),MROUND(U257*0.65,'Start-Options'!$B$38))))</f>
        <v>102.5</v>
      </c>
      <c r="D271" s="243"/>
      <c r="E271" s="244">
        <v>5.0</v>
      </c>
      <c r="F271" s="185"/>
      <c r="G271" s="185"/>
      <c r="H271" s="200"/>
      <c r="I271" s="27"/>
      <c r="J271" s="252" t="s">
        <v>44</v>
      </c>
      <c r="K271" s="197" t="str">
        <f>IF(S242="Accessory Only","",IF(S242="Boring But Big",'Start-Options'!$B$5,T257))</f>
        <v>Deadlift</v>
      </c>
      <c r="L271" s="198">
        <f>IF(S242="Accessory Only","",IF(S242="Boring But Big",IF(X247="","",MROUND(T247*X247,'Start-Options'!$B$38)),MROUND(U257*0.4,'Start-Options'!$B$38)))</f>
        <v>67.5</v>
      </c>
      <c r="M271" s="198"/>
      <c r="N271" s="199">
        <f>IF(S242="Accessory Only","",IF(S242="Boring But Big",10,5))</f>
        <v>10</v>
      </c>
      <c r="O271" s="185"/>
      <c r="P271" s="185"/>
      <c r="Q271" s="187"/>
      <c r="R271" s="27"/>
      <c r="S271" s="27"/>
      <c r="T271" s="27"/>
      <c r="U271" s="27"/>
      <c r="V271" s="27"/>
      <c r="W271" s="27"/>
      <c r="X271" s="27"/>
      <c r="Y271" s="27"/>
      <c r="Z271" s="27"/>
      <c r="AA271" s="27"/>
    </row>
    <row r="272" ht="12.75" customHeight="1">
      <c r="A272" s="188"/>
      <c r="B272" s="189"/>
      <c r="C272" s="190">
        <f>IF(S242="Accessory Only","",IF(S242="Boring But Big",IF(W247="","",MROUND(T247*W247,'Start-Options'!$B$38)),IF(T252=531,MROUND(U257*0.75,'Start-Options'!$B$38),MROUND(U257*0.75,'Start-Options'!$B$38))))</f>
        <v>102.5</v>
      </c>
      <c r="D272" s="241"/>
      <c r="E272" s="242">
        <v>5.0</v>
      </c>
      <c r="F272" s="219"/>
      <c r="G272" s="219"/>
      <c r="H272" s="191"/>
      <c r="I272" s="27"/>
      <c r="J272" s="189"/>
      <c r="K272" s="189"/>
      <c r="L272" s="190">
        <f>IF(S242="Accessory Only","",IF(S242="Boring But Big",IF(X247="","",MROUND(T247*X247,'Start-Options'!$B$38)),MROUND(U257*0.5,'Start-Options'!$B$38)))</f>
        <v>67.5</v>
      </c>
      <c r="M272" s="27"/>
      <c r="N272" s="78">
        <f>IF(S242="Accessory Only","",IF(S242="Boring But Big",10,5))</f>
        <v>10</v>
      </c>
      <c r="O272" s="220"/>
      <c r="P272" s="220"/>
      <c r="Q272" s="222"/>
      <c r="R272" s="27"/>
      <c r="S272" s="27"/>
      <c r="T272" s="27"/>
      <c r="U272" s="27"/>
      <c r="V272" s="27"/>
      <c r="W272" s="27"/>
      <c r="X272" s="27"/>
      <c r="Y272" s="27"/>
      <c r="Z272" s="27"/>
      <c r="AA272" s="27"/>
    </row>
    <row r="273" ht="12.75" customHeight="1">
      <c r="A273" s="188"/>
      <c r="B273" s="189"/>
      <c r="C273" s="190">
        <f>IF(S242="Accessory Only","",IF(S242="Boring But Big",IF(W247="","",MROUND(T247*W247,'Start-Options'!$B$38)),IF(T252=531,MROUND(U257*0.85,'Start-Options'!$B$38),MROUND(U257*0.85,'Start-Options'!$B$38))))</f>
        <v>102.5</v>
      </c>
      <c r="D273" s="241"/>
      <c r="E273" s="242">
        <v>5.0</v>
      </c>
      <c r="F273" s="219"/>
      <c r="G273" s="219"/>
      <c r="H273" s="191"/>
      <c r="I273" s="27"/>
      <c r="J273" s="189"/>
      <c r="K273" s="189"/>
      <c r="L273" s="190">
        <f>IF(S242="Accessory Only","",IF(S242="Boring But Big",IF(X247="","",MROUND(T247*X247,'Start-Options'!$B$38)),MROUND(U257*0.6,'Start-Options'!$B$38)))</f>
        <v>67.5</v>
      </c>
      <c r="M273" s="27"/>
      <c r="N273" s="78">
        <f>IF(S242="Accessory Only","",IF(S242="Boring But Big",10,5))</f>
        <v>10</v>
      </c>
      <c r="O273" s="220"/>
      <c r="P273" s="220"/>
      <c r="Q273" s="222"/>
      <c r="R273" s="27"/>
      <c r="S273" s="27"/>
      <c r="T273" s="27"/>
      <c r="U273" s="27"/>
      <c r="V273" s="27"/>
      <c r="W273" s="27"/>
      <c r="X273" s="27"/>
      <c r="Y273" s="27"/>
      <c r="Z273" s="27"/>
      <c r="AA273" s="27"/>
    </row>
    <row r="274" ht="12.75" customHeight="1">
      <c r="A274" s="188"/>
      <c r="B274" s="189"/>
      <c r="C274" s="27">
        <f>IF(S242="Boring But Big",IF(W247="","",MROUND(T247*W247,'Start-Options'!$B$38)),"")</f>
        <v>102.5</v>
      </c>
      <c r="D274" s="241"/>
      <c r="E274" s="242">
        <v>5.0</v>
      </c>
      <c r="F274" s="219"/>
      <c r="G274" s="219"/>
      <c r="H274" s="191"/>
      <c r="I274" s="27"/>
      <c r="J274" s="189"/>
      <c r="K274" s="189"/>
      <c r="L274" s="27">
        <f>IF(S242="Boring But Big",IF(X247="","",MROUND(T247*X247,'Start-Options'!$B$38)),"")</f>
        <v>67.5</v>
      </c>
      <c r="M274" s="27"/>
      <c r="N274" s="78">
        <f>IF(S242="Boring But Big",10,"")</f>
        <v>10</v>
      </c>
      <c r="O274" s="219"/>
      <c r="P274" s="219"/>
      <c r="Q274" s="201"/>
      <c r="R274" s="27"/>
      <c r="S274" s="27"/>
      <c r="T274" s="27"/>
      <c r="U274" s="27"/>
      <c r="V274" s="27"/>
      <c r="W274" s="27"/>
      <c r="X274" s="27"/>
      <c r="Y274" s="27"/>
      <c r="Z274" s="27"/>
      <c r="AA274" s="27"/>
    </row>
    <row r="275" ht="12.75" customHeight="1">
      <c r="A275" s="188"/>
      <c r="B275" s="195"/>
      <c r="C275" s="27">
        <f>IF(S242="Boring But Big",IF(W247="","",MROUND(T247*W247,'Start-Options'!$B$38)),"")</f>
        <v>102.5</v>
      </c>
      <c r="D275" s="241"/>
      <c r="E275" s="242">
        <v>5.0</v>
      </c>
      <c r="F275" s="154"/>
      <c r="G275" s="154"/>
      <c r="H275" s="155"/>
      <c r="I275" s="27"/>
      <c r="J275" s="189"/>
      <c r="K275" s="195"/>
      <c r="L275" s="27">
        <f>IF(S242="Boring But Big",IF(X247="","",MROUND(T247*X247,'Start-Options'!$B$38)),"")</f>
        <v>67.5</v>
      </c>
      <c r="M275" s="27"/>
      <c r="N275" s="78">
        <f>IF(S242="Boring But Big",10,"")</f>
        <v>10</v>
      </c>
      <c r="O275" s="154"/>
      <c r="P275" s="154"/>
      <c r="Q275" s="206"/>
      <c r="R275" s="27"/>
      <c r="S275" s="27"/>
      <c r="T275" s="27"/>
      <c r="U275" s="27"/>
      <c r="V275" s="27"/>
      <c r="W275" s="27"/>
      <c r="X275" s="27"/>
      <c r="Y275" s="27"/>
      <c r="Z275" s="27"/>
      <c r="AA275" s="27"/>
    </row>
    <row r="276" ht="12.75" customHeight="1">
      <c r="A276" s="234" t="s">
        <v>48</v>
      </c>
      <c r="B276" s="197" t="str">
        <f>IF(S242="Accessory Only","",IF(S242="Boring But Big",'Start-Options'!$B$6,T258))</f>
        <v>Bench</v>
      </c>
      <c r="C276" s="198">
        <f>IF(S242="Accessory Only","",IF(S242="Boring But Big",IF(W248="","",MROUND(T248*W248,'Start-Options'!$B$38)),IF(T252=531,MROUND(U258*0.65,'Start-Options'!$B$38),MROUND(U258*0.65,'Start-Options'!$B$38))))</f>
        <v>62.5</v>
      </c>
      <c r="D276" s="243"/>
      <c r="E276" s="244">
        <v>5.0</v>
      </c>
      <c r="F276" s="185"/>
      <c r="G276" s="185"/>
      <c r="H276" s="200"/>
      <c r="I276" s="27"/>
      <c r="J276" s="252" t="s">
        <v>48</v>
      </c>
      <c r="K276" s="197" t="str">
        <f>IF(S242="Accessory Only","",IF(S242="Boring But Big",'Start-Options'!$B$6,T258))</f>
        <v>Bench</v>
      </c>
      <c r="L276" s="198">
        <f>IF(S242="Accessory Only","",IF(S242="Boring But Big",IF(X248="","",MROUND(T248*X248,'Start-Options'!$B$38)),MROUND(U258*0.4,'Start-Options'!$B$38)))</f>
        <v>42.5</v>
      </c>
      <c r="M276" s="198"/>
      <c r="N276" s="199">
        <f>IF(S242="Accessory Only","",IF(S242="Boring But Big",10,5))</f>
        <v>10</v>
      </c>
      <c r="O276" s="185"/>
      <c r="P276" s="185"/>
      <c r="Q276" s="187"/>
      <c r="R276" s="27"/>
      <c r="S276" s="27"/>
      <c r="T276" s="27"/>
      <c r="U276" s="27"/>
      <c r="V276" s="27"/>
      <c r="W276" s="27"/>
      <c r="X276" s="27"/>
      <c r="Y276" s="27"/>
      <c r="Z276" s="27"/>
      <c r="AA276" s="27"/>
    </row>
    <row r="277" ht="12.75" customHeight="1">
      <c r="A277" s="188"/>
      <c r="B277" s="189"/>
      <c r="C277" s="190">
        <f>IF(S242="Accessory Only","",IF(S242="Boring But Big",IF(W248="","",MROUND(T248*W248,'Start-Options'!$B$38)),IF(T252=531,MROUND(U258*0.75,'Start-Options'!$B$38),MROUND(U258*0.75,'Start-Options'!$B$38))))</f>
        <v>62.5</v>
      </c>
      <c r="D277" s="241"/>
      <c r="E277" s="242">
        <v>5.0</v>
      </c>
      <c r="F277" s="219"/>
      <c r="G277" s="219"/>
      <c r="H277" s="191"/>
      <c r="I277" s="27"/>
      <c r="J277" s="189"/>
      <c r="K277" s="189"/>
      <c r="L277" s="190">
        <f>IF(S242="Accessory Only","",IF(S242="Boring But Big",IF(X248="","",MROUND(T248*X248,'Start-Options'!$B$38)),MROUND(U258*0.5,'Start-Options'!$B$38)))</f>
        <v>42.5</v>
      </c>
      <c r="M277" s="27"/>
      <c r="N277" s="78">
        <f>IF(S242="Accessory Only","",IF(S242="Boring But Big",10,5))</f>
        <v>10</v>
      </c>
      <c r="O277" s="220"/>
      <c r="P277" s="220"/>
      <c r="Q277" s="222"/>
      <c r="R277" s="27"/>
      <c r="S277" s="27"/>
      <c r="T277" s="27"/>
      <c r="U277" s="27"/>
      <c r="V277" s="27"/>
      <c r="W277" s="27"/>
      <c r="X277" s="27"/>
      <c r="Y277" s="27"/>
      <c r="Z277" s="27"/>
      <c r="AA277" s="27"/>
    </row>
    <row r="278" ht="12.75" customHeight="1">
      <c r="A278" s="188"/>
      <c r="B278" s="189"/>
      <c r="C278" s="190">
        <f>IF(S242="Accessory Only","",IF(S242="Boring But Big",IF(W248="","",MROUND(T248*W248,'Start-Options'!$B$38)),IF(T252=531,MROUND(U258*0.85,'Start-Options'!$B$38),MROUND(U258*0.85,'Start-Options'!$B$38))))</f>
        <v>62.5</v>
      </c>
      <c r="D278" s="241"/>
      <c r="E278" s="242">
        <v>5.0</v>
      </c>
      <c r="F278" s="219"/>
      <c r="G278" s="219"/>
      <c r="H278" s="191"/>
      <c r="I278" s="27"/>
      <c r="J278" s="189"/>
      <c r="K278" s="189"/>
      <c r="L278" s="190">
        <f>IF(S242="Accessory Only","",IF(S242="Boring But Big",IF(X248="","",MROUND(T248*X248,'Start-Options'!$B$38)),MROUND(U258*0.6,'Start-Options'!$B$38)))</f>
        <v>42.5</v>
      </c>
      <c r="M278" s="27"/>
      <c r="N278" s="78">
        <f>IF(S242="Accessory Only","",IF(S242="Boring But Big",10,5))</f>
        <v>10</v>
      </c>
      <c r="O278" s="220"/>
      <c r="P278" s="220"/>
      <c r="Q278" s="222"/>
      <c r="R278" s="27"/>
      <c r="S278" s="27"/>
      <c r="T278" s="27"/>
      <c r="U278" s="27"/>
      <c r="V278" s="27"/>
      <c r="W278" s="27"/>
      <c r="X278" s="27"/>
      <c r="Y278" s="27"/>
      <c r="Z278" s="27"/>
      <c r="AA278" s="27"/>
    </row>
    <row r="279" ht="12.75" customHeight="1">
      <c r="A279" s="188"/>
      <c r="B279" s="189"/>
      <c r="C279" s="27">
        <f>IF(S242="Boring But Big",IF(W248="","",MROUND(T248*W248,'Start-Options'!$B$38)),"")</f>
        <v>62.5</v>
      </c>
      <c r="D279" s="241"/>
      <c r="E279" s="242">
        <v>5.0</v>
      </c>
      <c r="F279" s="219"/>
      <c r="G279" s="219"/>
      <c r="H279" s="191"/>
      <c r="I279" s="27"/>
      <c r="J279" s="189"/>
      <c r="K279" s="189"/>
      <c r="L279" s="27">
        <f>IF(S242="Boring But Big",IF(X248="","",MROUND(T248*X248,'Start-Options'!$B$38)),"")</f>
        <v>42.5</v>
      </c>
      <c r="M279" s="27"/>
      <c r="N279" s="78">
        <f>IF(S242="Boring But Big",10,"")</f>
        <v>10</v>
      </c>
      <c r="O279" s="219"/>
      <c r="P279" s="219"/>
      <c r="Q279" s="201"/>
      <c r="R279" s="27"/>
      <c r="S279" s="27"/>
      <c r="T279" s="27"/>
      <c r="U279" s="27"/>
      <c r="V279" s="27"/>
      <c r="W279" s="27"/>
      <c r="X279" s="27"/>
      <c r="Y279" s="27"/>
      <c r="Z279" s="27"/>
      <c r="AA279" s="27"/>
    </row>
    <row r="280" ht="12.75" customHeight="1">
      <c r="A280" s="194"/>
      <c r="B280" s="195"/>
      <c r="C280" s="27">
        <f>IF(S242="Boring But Big",IF(W248="","",MROUND(T248*W248,'Start-Options'!$B$38)),"")</f>
        <v>62.5</v>
      </c>
      <c r="D280" s="241"/>
      <c r="E280" s="242">
        <v>5.0</v>
      </c>
      <c r="F280" s="154"/>
      <c r="G280" s="154"/>
      <c r="H280" s="155"/>
      <c r="I280" s="27"/>
      <c r="J280" s="195"/>
      <c r="K280" s="195"/>
      <c r="L280" s="27">
        <f>IF(S242="Boring But Big",IF(X248="","",MROUND(T248*X248,'Start-Options'!$B$38)),"")</f>
        <v>42.5</v>
      </c>
      <c r="M280" s="27"/>
      <c r="N280" s="78">
        <f>IF(S242="Boring But Big",10,"")</f>
        <v>10</v>
      </c>
      <c r="O280" s="154"/>
      <c r="P280" s="154"/>
      <c r="Q280" s="206"/>
      <c r="R280" s="27"/>
      <c r="S280" s="27"/>
      <c r="T280" s="27"/>
      <c r="U280" s="27"/>
      <c r="V280" s="27"/>
      <c r="W280" s="27"/>
      <c r="X280" s="27"/>
      <c r="Y280" s="27"/>
      <c r="Z280" s="27"/>
      <c r="AA280" s="27"/>
    </row>
    <row r="281" ht="12.75" customHeight="1">
      <c r="A281" s="234" t="s">
        <v>53</v>
      </c>
      <c r="B281" s="197" t="str">
        <f>IF(S242="Accessory Only","",IF(S242="Boring But Big",'Start-Options'!$B$7,T259))</f>
        <v>Squat</v>
      </c>
      <c r="C281" s="198">
        <f>IF(S242="Accessory Only","",IF(S242="Boring But Big",IF(W249="","",MROUND(T249*W249,'Start-Options'!$B$38)),IF(T252=531,MROUND(U259*0.65,'Start-Options'!$B$38),MROUND(U259*0.65,'Start-Options'!$B$38))))</f>
        <v>80</v>
      </c>
      <c r="D281" s="243"/>
      <c r="E281" s="244">
        <v>5.0</v>
      </c>
      <c r="F281" s="185"/>
      <c r="G281" s="185"/>
      <c r="H281" s="200"/>
      <c r="I281" s="27"/>
      <c r="J281" s="252" t="s">
        <v>53</v>
      </c>
      <c r="K281" s="197" t="str">
        <f>IF(S242="Accessory Only","",IF(S242="Boring But Big",'Start-Options'!$B$7,T259))</f>
        <v>Squat</v>
      </c>
      <c r="L281" s="198">
        <f>IF(S242="Accessory Only","",IF(S242="Boring But Big",IF(X249="","",MROUND(T249*X249,'Start-Options'!$B$38)),MROUND(U259*0.4,'Start-Options'!$B$38)))</f>
        <v>52.5</v>
      </c>
      <c r="M281" s="198"/>
      <c r="N281" s="199">
        <f>IF(S242="Accessory Only","",IF(S242="Boring But Big",10,5))</f>
        <v>10</v>
      </c>
      <c r="O281" s="185"/>
      <c r="P281" s="185"/>
      <c r="Q281" s="187"/>
      <c r="R281" s="27"/>
      <c r="S281" s="27"/>
      <c r="T281" s="27"/>
      <c r="U281" s="27"/>
      <c r="V281" s="27"/>
      <c r="W281" s="27"/>
      <c r="X281" s="27"/>
      <c r="Y281" s="27"/>
      <c r="Z281" s="27"/>
      <c r="AA281" s="27"/>
    </row>
    <row r="282" ht="12.75" customHeight="1">
      <c r="A282" s="188"/>
      <c r="B282" s="189"/>
      <c r="C282" s="190">
        <f>IF(S242="Accessory Only","",IF(S242="Boring But Big",IF(W249="","",MROUND(T249*W249,'Start-Options'!$B$38)),IF(T252=531,MROUND(U259*0.75,'Start-Options'!$B$38),MROUND(U259*0.75,'Start-Options'!$B$38))))</f>
        <v>80</v>
      </c>
      <c r="D282" s="241"/>
      <c r="E282" s="242">
        <v>5.0</v>
      </c>
      <c r="F282" s="219"/>
      <c r="G282" s="219"/>
      <c r="H282" s="191"/>
      <c r="I282" s="27"/>
      <c r="J282" s="189"/>
      <c r="K282" s="189"/>
      <c r="L282" s="190">
        <f>IF(S242="Accessory Only","",IF(S242="Boring But Big",IF(X249="","",MROUND(T249*X249,'Start-Options'!$B$38)),MROUND(U259*0.5,'Start-Options'!$B$38)))</f>
        <v>52.5</v>
      </c>
      <c r="M282" s="27"/>
      <c r="N282" s="78">
        <f>IF(S242="Accessory Only","",IF(S242="Boring But Big",10,5))</f>
        <v>10</v>
      </c>
      <c r="O282" s="220"/>
      <c r="P282" s="220"/>
      <c r="Q282" s="222"/>
      <c r="R282" s="27"/>
      <c r="S282" s="27"/>
      <c r="T282" s="27"/>
      <c r="U282" s="27"/>
      <c r="V282" s="27"/>
      <c r="W282" s="27"/>
      <c r="X282" s="27"/>
      <c r="Y282" s="27"/>
      <c r="Z282" s="27"/>
      <c r="AA282" s="27"/>
    </row>
    <row r="283" ht="12.75" customHeight="1">
      <c r="A283" s="188"/>
      <c r="B283" s="189"/>
      <c r="C283" s="190">
        <f>IF(S242="Accessory Only","",IF(S242="Boring But Big",IF(W249="","",MROUND(T249*W249,'Start-Options'!$B$38)),IF(T252=531,MROUND(U259*0.85,'Start-Options'!$B$38),MROUND(U259*0.85,'Start-Options'!$B$38))))</f>
        <v>80</v>
      </c>
      <c r="D283" s="241"/>
      <c r="E283" s="242">
        <v>5.0</v>
      </c>
      <c r="F283" s="219"/>
      <c r="G283" s="219"/>
      <c r="H283" s="191"/>
      <c r="I283" s="27"/>
      <c r="J283" s="189"/>
      <c r="K283" s="189"/>
      <c r="L283" s="190">
        <f>IF(S242="Accessory Only","",IF(S242="Boring But Big",IF(X249="","",MROUND(T249*X249,'Start-Options'!$B$38)),MROUND(U259*0.6,'Start-Options'!$B$38)))</f>
        <v>52.5</v>
      </c>
      <c r="M283" s="27"/>
      <c r="N283" s="78">
        <f>IF(S242="Accessory Only","",IF(S242="Boring But Big",10,5))</f>
        <v>10</v>
      </c>
      <c r="O283" s="220"/>
      <c r="P283" s="220"/>
      <c r="Q283" s="222"/>
      <c r="R283" s="27"/>
      <c r="S283" s="27"/>
      <c r="T283" s="27"/>
      <c r="U283" s="27"/>
      <c r="V283" s="27"/>
      <c r="W283" s="27"/>
      <c r="X283" s="27"/>
      <c r="Y283" s="27"/>
      <c r="Z283" s="27"/>
      <c r="AA283" s="27"/>
    </row>
    <row r="284" ht="12.75" customHeight="1">
      <c r="A284" s="188"/>
      <c r="B284" s="189"/>
      <c r="C284" s="27">
        <f>IF(S242="Boring But Big",IF(W249="","",MROUND(T249*W249,'Start-Options'!$B$38)),"")</f>
        <v>80</v>
      </c>
      <c r="D284" s="241"/>
      <c r="E284" s="242">
        <v>5.0</v>
      </c>
      <c r="F284" s="219"/>
      <c r="G284" s="219"/>
      <c r="H284" s="147"/>
      <c r="I284" s="27"/>
      <c r="J284" s="189"/>
      <c r="K284" s="189"/>
      <c r="L284" s="27">
        <f>IF(S242="Boring But Big",IF(X249="","",MROUND(T249*X249,'Start-Options'!$B$38)),"")</f>
        <v>52.5</v>
      </c>
      <c r="M284" s="27"/>
      <c r="N284" s="78">
        <f>IF(S242="Boring But Big",10,"")</f>
        <v>10</v>
      </c>
      <c r="O284" s="151"/>
      <c r="P284" s="219"/>
      <c r="Q284" s="224"/>
      <c r="R284" s="27"/>
      <c r="S284" s="27"/>
      <c r="T284" s="27"/>
      <c r="U284" s="27"/>
      <c r="V284" s="27"/>
      <c r="W284" s="27"/>
      <c r="X284" s="27"/>
      <c r="Y284" s="27"/>
      <c r="Z284" s="27"/>
      <c r="AA284" s="27"/>
    </row>
    <row r="285" ht="13.5" customHeight="1">
      <c r="A285" s="176"/>
      <c r="B285" s="225"/>
      <c r="C285" s="226">
        <f>IF(S242="Boring But Big",IF(W249="","",MROUND(T249*W249,'Start-Options'!$B$38)),"")</f>
        <v>80</v>
      </c>
      <c r="D285" s="247"/>
      <c r="E285" s="248">
        <v>5.0</v>
      </c>
      <c r="F285" s="228"/>
      <c r="G285" s="228"/>
      <c r="H285" s="229"/>
      <c r="I285" s="158"/>
      <c r="J285" s="225"/>
      <c r="K285" s="225"/>
      <c r="L285" s="226">
        <f>IF(S242="Boring But Big",IF(X249="","",MROUND(T249*X249,'Start-Options'!$B$38)),"")</f>
        <v>52.5</v>
      </c>
      <c r="M285" s="158"/>
      <c r="N285" s="227">
        <f>IF(S242="Boring But Big",10,"")</f>
        <v>10</v>
      </c>
      <c r="O285" s="229"/>
      <c r="P285" s="228"/>
      <c r="Q285" s="230"/>
      <c r="R285" s="27"/>
      <c r="S285" s="27"/>
      <c r="T285" s="27"/>
      <c r="U285" s="27"/>
      <c r="V285" s="27"/>
      <c r="W285" s="27"/>
      <c r="X285" s="27"/>
      <c r="Y285" s="27"/>
      <c r="Z285" s="27"/>
      <c r="AA285" s="27"/>
    </row>
    <row r="286" ht="12.75" customHeight="1">
      <c r="A286" s="235"/>
      <c r="B286" s="235"/>
      <c r="C286" s="27"/>
      <c r="D286" s="27"/>
      <c r="E286" s="27"/>
      <c r="F286" s="27"/>
      <c r="G286" s="27"/>
      <c r="H286" s="27"/>
      <c r="I286" s="27"/>
      <c r="J286" s="235"/>
      <c r="K286" s="235"/>
      <c r="L286" s="27"/>
      <c r="M286" s="27"/>
      <c r="N286" s="27"/>
      <c r="O286" s="27"/>
      <c r="P286" s="27"/>
      <c r="Q286" s="27"/>
      <c r="R286" s="27"/>
      <c r="S286" s="27"/>
      <c r="T286" s="27"/>
      <c r="U286" s="27"/>
      <c r="V286" s="27"/>
      <c r="W286" s="27"/>
      <c r="X286" s="27"/>
      <c r="Y286" s="27"/>
      <c r="Z286" s="27"/>
      <c r="AA286" s="27"/>
    </row>
    <row r="287" ht="21.0" customHeight="1">
      <c r="A287" s="168"/>
      <c r="B287" s="27"/>
      <c r="C287" s="27"/>
      <c r="D287" s="27"/>
      <c r="E287" s="27"/>
      <c r="F287" s="27"/>
      <c r="G287" s="27"/>
      <c r="H287" s="27"/>
      <c r="I287" s="169" t="s">
        <v>130</v>
      </c>
      <c r="J287" s="27"/>
      <c r="K287" s="27"/>
      <c r="L287" s="27"/>
      <c r="M287" s="27"/>
      <c r="N287" s="27"/>
      <c r="O287" s="27"/>
      <c r="P287" s="27"/>
      <c r="Q287" s="27"/>
      <c r="R287" s="27"/>
      <c r="S287" s="27"/>
      <c r="T287" s="27"/>
      <c r="U287" s="27"/>
      <c r="V287" s="27"/>
      <c r="W287" s="27"/>
      <c r="X287" s="27"/>
      <c r="Y287" s="27"/>
      <c r="Z287" s="27"/>
      <c r="AA287" s="27"/>
    </row>
    <row r="288" ht="12.75" customHeight="1">
      <c r="A288" s="170" t="s">
        <v>265</v>
      </c>
      <c r="B288" s="171" t="s">
        <v>177</v>
      </c>
      <c r="C288" s="172"/>
      <c r="D288" s="172"/>
      <c r="E288" s="173"/>
      <c r="F288" s="171" t="s">
        <v>178</v>
      </c>
      <c r="G288" s="172"/>
      <c r="H288" s="173"/>
      <c r="I288" s="91"/>
      <c r="J288" s="174" t="s">
        <v>266</v>
      </c>
      <c r="K288" s="171" t="s">
        <v>177</v>
      </c>
      <c r="L288" s="172"/>
      <c r="M288" s="172"/>
      <c r="N288" s="173"/>
      <c r="O288" s="171" t="s">
        <v>178</v>
      </c>
      <c r="P288" s="172"/>
      <c r="Q288" s="94"/>
      <c r="R288" s="27"/>
      <c r="S288" s="70" t="s">
        <v>180</v>
      </c>
      <c r="T288" s="175"/>
      <c r="U288" s="71"/>
      <c r="V288" s="27"/>
      <c r="W288" s="27"/>
      <c r="X288" s="27"/>
      <c r="Y288" s="27"/>
      <c r="Z288" s="27"/>
      <c r="AA288" s="27"/>
    </row>
    <row r="289" ht="13.5" customHeight="1">
      <c r="A289" s="176"/>
      <c r="B289" s="177" t="s">
        <v>181</v>
      </c>
      <c r="C289" s="178" t="s">
        <v>26</v>
      </c>
      <c r="D289" s="178"/>
      <c r="E289" s="178" t="s">
        <v>27</v>
      </c>
      <c r="F289" s="178" t="s">
        <v>182</v>
      </c>
      <c r="G289" s="178" t="s">
        <v>183</v>
      </c>
      <c r="H289" s="179" t="s">
        <v>26</v>
      </c>
      <c r="I289" s="27"/>
      <c r="J289" s="180"/>
      <c r="K289" s="177" t="s">
        <v>181</v>
      </c>
      <c r="L289" s="178" t="s">
        <v>26</v>
      </c>
      <c r="M289" s="178"/>
      <c r="N289" s="178" t="s">
        <v>27</v>
      </c>
      <c r="O289" s="178" t="s">
        <v>182</v>
      </c>
      <c r="P289" s="179" t="s">
        <v>183</v>
      </c>
      <c r="Q289" s="181" t="s">
        <v>26</v>
      </c>
      <c r="R289" s="27"/>
      <c r="S289" s="182" t="s">
        <v>184</v>
      </c>
      <c r="T289" s="41"/>
      <c r="U289" s="42"/>
      <c r="V289" s="27"/>
      <c r="W289" s="27"/>
      <c r="X289" s="27"/>
      <c r="Y289" s="27"/>
      <c r="Z289" s="27"/>
      <c r="AA289" s="27"/>
    </row>
    <row r="290" ht="12.75" customHeight="1">
      <c r="A290" s="233" t="s">
        <v>36</v>
      </c>
      <c r="B290" s="184" t="str">
        <f>IF(S289="Accessory Only","",IF(S289="Boring But Big",'Start-Options'!$B$4,T303))</f>
        <v>Military</v>
      </c>
      <c r="C290" s="27">
        <f>IF(S289="Accessory Only","",IF(S289="Boring But Big",IF(U293="","",MROUND(T293*U293,'Start-Options'!$B$38)),IF(T299=531,MROUND(U303*0.5,'Start-Options'!$B$38),MROUND(U303*0.6,'Start-Options'!$B$38))))</f>
        <v>42.5</v>
      </c>
      <c r="D290" s="27"/>
      <c r="E290" s="78">
        <f>IF(S289="Accessory Only","",IF(S289="Boring But Big",10,IF(T299=531,10,8)))</f>
        <v>10</v>
      </c>
      <c r="F290" s="220"/>
      <c r="G290" s="220"/>
      <c r="H290" s="186"/>
      <c r="I290" s="77"/>
      <c r="J290" s="249" t="s">
        <v>36</v>
      </c>
      <c r="K290" s="184" t="str">
        <f>IF(S289="Accessory Only","",IF(S289="Boring But Big",'Start-Options'!$B$4,T303))</f>
        <v>Military</v>
      </c>
      <c r="L290" s="27">
        <f>IF(S289="Accessory Only","",IF(S289="Boring But Big",IF(V293="","",MROUND(T293*V293,'Start-Options'!$B$38)),IF(T299=531,MROUND(U303*0.6,'Start-Options'!$B$38),MROUND(U303*0.5,'Start-Options'!$B$38))))</f>
        <v>45</v>
      </c>
      <c r="M290" s="241"/>
      <c r="N290" s="242">
        <v>8.0</v>
      </c>
      <c r="O290" s="220"/>
      <c r="P290" s="220"/>
      <c r="Q290" s="222"/>
      <c r="R290" s="27"/>
      <c r="S290" s="27"/>
      <c r="T290" s="27"/>
      <c r="U290" s="27"/>
      <c r="V290" s="27"/>
      <c r="W290" s="27"/>
      <c r="X290" s="27"/>
      <c r="Y290" s="27"/>
      <c r="Z290" s="27"/>
      <c r="AA290" s="27"/>
    </row>
    <row r="291" ht="12.75" customHeight="1">
      <c r="A291" s="188"/>
      <c r="B291" s="189"/>
      <c r="C291" s="190">
        <f>IF(S289="Accessory Only","",IF(S289="Boring But Big",IF(U293="","",MROUND(T293*U293,'Start-Options'!$B$38)),IF(T299=531,MROUND(U303*0.6,'Start-Options'!$B$38),MROUND(U303*0.7,'Start-Options'!$B$38))))</f>
        <v>42.5</v>
      </c>
      <c r="D291" s="27"/>
      <c r="E291" s="78">
        <f>IF(S289="Accessory Only","",IF(S289="Boring But Big",10,IF(T299=531,10,8)))</f>
        <v>10</v>
      </c>
      <c r="F291" s="219"/>
      <c r="G291" s="219"/>
      <c r="H291" s="191"/>
      <c r="I291" s="27"/>
      <c r="J291" s="189"/>
      <c r="K291" s="189"/>
      <c r="L291" s="190">
        <f>IF(S289="Accessory Only","",IF(S289="Boring But Big",IF(V293="","",MROUND(T293*V293,'Start-Options'!$B$38)),IF(T299=531,MROUND(U303*0.7,'Start-Options'!$B$38),MROUND(U303*0.6,'Start-Options'!$B$38))))</f>
        <v>45</v>
      </c>
      <c r="M291" s="241"/>
      <c r="N291" s="242">
        <v>8.0</v>
      </c>
      <c r="O291" s="219"/>
      <c r="P291" s="219"/>
      <c r="Q291" s="201"/>
      <c r="R291" s="27"/>
      <c r="S291" s="70" t="s">
        <v>184</v>
      </c>
      <c r="T291" s="175"/>
      <c r="U291" s="175"/>
      <c r="V291" s="175"/>
      <c r="W291" s="175"/>
      <c r="X291" s="71"/>
      <c r="Y291" s="27"/>
      <c r="Z291" s="27"/>
      <c r="AA291" s="27"/>
    </row>
    <row r="292" ht="12.75" customHeight="1">
      <c r="A292" s="188"/>
      <c r="B292" s="189"/>
      <c r="C292" s="190">
        <f>IF(S289="Accessory Only","",IF(S289="Boring But Big",IF(U293="","",MROUND(T293*U293,'Start-Options'!$B$38)),IF(T299=531,MROUND(U303*0.7,'Start-Options'!$B$38),MROUND(U303*0.8,'Start-Options'!$B$38))))</f>
        <v>42.5</v>
      </c>
      <c r="D292" s="27"/>
      <c r="E292" s="78">
        <f>IF(S289="Accessory Only","",IF(S289="Boring But Big",10,IF(T299=531,10,6)))</f>
        <v>10</v>
      </c>
      <c r="F292" s="219"/>
      <c r="G292" s="219"/>
      <c r="H292" s="191"/>
      <c r="I292" s="27"/>
      <c r="J292" s="189"/>
      <c r="K292" s="189"/>
      <c r="L292" s="190">
        <f>IF(S289="Accessory Only","",IF(S289="Boring But Big",IF(V293="","",MROUND(T293*V293,'Start-Options'!$B$38)),IF(T299=531,MROUND(U303*0.8,'Start-Options'!$B$38),MROUND(U303*0.7,'Start-Options'!$B$38))))</f>
        <v>45</v>
      </c>
      <c r="M292" s="241"/>
      <c r="N292" s="242">
        <v>8.0</v>
      </c>
      <c r="O292" s="219"/>
      <c r="P292" s="219"/>
      <c r="Q292" s="201"/>
      <c r="R292" s="27"/>
      <c r="S292" s="25" t="s">
        <v>187</v>
      </c>
      <c r="T292" s="25" t="s">
        <v>28</v>
      </c>
      <c r="U292" s="25" t="s">
        <v>188</v>
      </c>
      <c r="V292" s="25" t="s">
        <v>189</v>
      </c>
      <c r="W292" s="192" t="s">
        <v>190</v>
      </c>
      <c r="X292" s="192" t="s">
        <v>191</v>
      </c>
      <c r="Y292" s="27"/>
      <c r="Z292" s="27"/>
      <c r="AA292" s="27"/>
    </row>
    <row r="293" ht="12.75" customHeight="1">
      <c r="A293" s="188"/>
      <c r="B293" s="189"/>
      <c r="C293" s="27">
        <f>IF(S289="Boring But Big",IF(U293="","",MROUND(T293*U293,'Start-Options'!$B$38)),"")</f>
        <v>42.5</v>
      </c>
      <c r="D293" s="27"/>
      <c r="E293" s="78">
        <f>IF(S289="Boring But Big",10,"")</f>
        <v>10</v>
      </c>
      <c r="F293" s="219"/>
      <c r="G293" s="219"/>
      <c r="H293" s="191"/>
      <c r="I293" s="27"/>
      <c r="J293" s="189"/>
      <c r="K293" s="189"/>
      <c r="L293" s="27">
        <f>IF(S289="Boring But Big",IF(V293="","",MROUND(T293*V293,'Start-Options'!$B$38)),"")</f>
        <v>45</v>
      </c>
      <c r="M293" s="241"/>
      <c r="N293" s="242">
        <v>8.0</v>
      </c>
      <c r="O293" s="219"/>
      <c r="P293" s="219"/>
      <c r="Q293" s="201"/>
      <c r="R293" s="27"/>
      <c r="S293" s="25" t="s">
        <v>30</v>
      </c>
      <c r="T293" s="25">
        <f>'531'!Z109</f>
        <v>65</v>
      </c>
      <c r="U293" s="250">
        <v>0.65</v>
      </c>
      <c r="V293" s="250">
        <v>0.7</v>
      </c>
      <c r="W293" s="251">
        <v>0.75</v>
      </c>
      <c r="X293" s="251">
        <v>0.5</v>
      </c>
      <c r="Y293" s="27"/>
      <c r="Z293" s="27"/>
      <c r="AA293" s="27"/>
    </row>
    <row r="294" ht="12.75" customHeight="1">
      <c r="A294" s="194"/>
      <c r="B294" s="195"/>
      <c r="C294" s="27">
        <f>IF(S289="Boring But Big",IF(U293="","",MROUND(T293*U293,'Start-Options'!$B$38)),"")</f>
        <v>42.5</v>
      </c>
      <c r="D294" s="27"/>
      <c r="E294" s="78">
        <f>IF(S289="Boring But Big",10,"")</f>
        <v>10</v>
      </c>
      <c r="F294" s="154"/>
      <c r="G294" s="154"/>
      <c r="H294" s="155"/>
      <c r="I294" s="27"/>
      <c r="J294" s="195"/>
      <c r="K294" s="195"/>
      <c r="L294" s="27">
        <f>IF(S289="Boring But Big",IF(V293="","",MROUND(T293*V293,'Start-Options'!$B$38)),"")</f>
        <v>45</v>
      </c>
      <c r="M294" s="241"/>
      <c r="N294" s="242">
        <v>8.0</v>
      </c>
      <c r="O294" s="154"/>
      <c r="P294" s="154"/>
      <c r="Q294" s="206"/>
      <c r="R294" s="27"/>
      <c r="S294" s="25" t="s">
        <v>31</v>
      </c>
      <c r="T294" s="25">
        <f>'531'!Z110</f>
        <v>140</v>
      </c>
      <c r="U294" s="250">
        <v>0.65</v>
      </c>
      <c r="V294" s="250">
        <v>0.7</v>
      </c>
      <c r="W294" s="251">
        <v>0.75</v>
      </c>
      <c r="X294" s="250">
        <v>0.5</v>
      </c>
      <c r="Y294" s="231"/>
      <c r="Z294" s="231"/>
      <c r="AA294" s="27"/>
    </row>
    <row r="295" ht="12.75" customHeight="1">
      <c r="A295" s="234" t="s">
        <v>262</v>
      </c>
      <c r="B295" s="197" t="str">
        <f>IF(S289="Accessory Only","",IF(S289="Boring But Big",'Start-Options'!$B$5,T304))</f>
        <v>Deadlift</v>
      </c>
      <c r="C295" s="198">
        <f>IF(S289="Accessory Only","",IF(S289="Boring But Big",IF(U294="","",MROUND(T294*U294,'Start-Options'!$B$38)),IF(T299=531,MROUND(U304*0.5,'Start-Options'!$B$38),MROUND(U304*0.6,'Start-Options'!$B$38))))</f>
        <v>90</v>
      </c>
      <c r="D295" s="198"/>
      <c r="E295" s="199">
        <f>IF(S289="Accessory Only","",IF(S289="Boring But Big",10,IF(T299=531,10,8)))</f>
        <v>10</v>
      </c>
      <c r="F295" s="185"/>
      <c r="G295" s="185"/>
      <c r="H295" s="200"/>
      <c r="I295" s="27"/>
      <c r="J295" s="252" t="s">
        <v>44</v>
      </c>
      <c r="K295" s="197" t="str">
        <f>IF(S289="Accessory Only","",IF(S289="Boring But Big",'Start-Options'!$B$5,T304))</f>
        <v>Deadlift</v>
      </c>
      <c r="L295" s="198">
        <f>IF(S289="Accessory Only","",IF(S289="Boring But Big",IF(V294="","",MROUND(T294*V294,'Start-Options'!$B$38)),IF(T299=531,MROUND(U304*0.6,'Start-Options'!$B$38),MROUND(U304*0.5,'Start-Options'!$B$38))))</f>
        <v>97.5</v>
      </c>
      <c r="M295" s="243"/>
      <c r="N295" s="244">
        <v>8.0</v>
      </c>
      <c r="O295" s="185"/>
      <c r="P295" s="185"/>
      <c r="Q295" s="187"/>
      <c r="R295" s="27"/>
      <c r="S295" s="25" t="s">
        <v>32</v>
      </c>
      <c r="T295" s="25">
        <f>'531'!Z111</f>
        <v>85</v>
      </c>
      <c r="U295" s="250">
        <v>0.65</v>
      </c>
      <c r="V295" s="250">
        <v>0.7</v>
      </c>
      <c r="W295" s="251">
        <v>0.75</v>
      </c>
      <c r="X295" s="193">
        <v>0.5</v>
      </c>
      <c r="Y295" s="27"/>
      <c r="Z295" s="27"/>
      <c r="AA295" s="27"/>
    </row>
    <row r="296" ht="12.75" customHeight="1">
      <c r="A296" s="188"/>
      <c r="B296" s="189"/>
      <c r="C296" s="190">
        <f>IF(S289="Accessory Only","",IF(S289="Boring But Big",IF(U294="","",MROUND(T294*U294,'Start-Options'!$B$38)),IF(T299=531,MROUND(U304*0.6,'Start-Options'!$B$38),MROUND(U304*0.7,'Start-Options'!$B$38))))</f>
        <v>90</v>
      </c>
      <c r="D296" s="27"/>
      <c r="E296" s="78">
        <f>IF(S289="Accessory Only","",IF(S289="Boring But Big",10,IF(T299=531,10,8)))</f>
        <v>10</v>
      </c>
      <c r="F296" s="219"/>
      <c r="G296" s="219"/>
      <c r="H296" s="191"/>
      <c r="I296" s="27"/>
      <c r="J296" s="189"/>
      <c r="K296" s="189"/>
      <c r="L296" s="190">
        <f>IF(S289="Accessory Only","",IF(S289="Boring But Big",IF(V294="","",MROUND(T294*V294,'Start-Options'!$B$38)),IF(T299=531,MROUND(U304*0.7,'Start-Options'!$B$38),MROUND(U304*0.6,'Start-Options'!$B$38))))</f>
        <v>97.5</v>
      </c>
      <c r="M296" s="241"/>
      <c r="N296" s="242">
        <v>8.0</v>
      </c>
      <c r="O296" s="219"/>
      <c r="P296" s="219"/>
      <c r="Q296" s="201"/>
      <c r="R296" s="27"/>
      <c r="S296" s="25" t="s">
        <v>194</v>
      </c>
      <c r="T296" s="25">
        <f>'531'!Z112</f>
        <v>110</v>
      </c>
      <c r="U296" s="250">
        <v>0.65</v>
      </c>
      <c r="V296" s="250">
        <v>0.7</v>
      </c>
      <c r="W296" s="251">
        <v>0.75</v>
      </c>
      <c r="X296" s="253">
        <v>0.5</v>
      </c>
      <c r="Y296" s="27"/>
      <c r="Z296" s="27"/>
      <c r="AA296" s="27"/>
    </row>
    <row r="297" ht="12.75" customHeight="1">
      <c r="A297" s="188"/>
      <c r="B297" s="189"/>
      <c r="C297" s="190">
        <f>IF(S289="Accessory Only","",IF(S289="Boring But Big",IF(U294="","",MROUND(T294*U294,'Start-Options'!$B$38)),IF(T299=531,MROUND(U304*0.7,'Start-Options'!$B$38),MROUND(U304*0.8,'Start-Options'!$B$38))))</f>
        <v>90</v>
      </c>
      <c r="D297" s="27"/>
      <c r="E297" s="78">
        <f>IF(S289="Accessory Only","",IF(S289="Boring But Big",10,IF(T299=531,10,6)))</f>
        <v>10</v>
      </c>
      <c r="F297" s="219"/>
      <c r="G297" s="219"/>
      <c r="H297" s="191"/>
      <c r="I297" s="27"/>
      <c r="J297" s="189"/>
      <c r="K297" s="189"/>
      <c r="L297" s="190">
        <f>IF(S289="Accessory Only","",IF(S289="Boring But Big",IF(V294="","",MROUND(T294*V294,'Start-Options'!$B$38)),IF(T299=531,MROUND(U304*0.8,'Start-Options'!$B$38),MROUND(U304*0.7,'Start-Options'!$B$38))))</f>
        <v>97.5</v>
      </c>
      <c r="M297" s="241"/>
      <c r="N297" s="242">
        <v>8.0</v>
      </c>
      <c r="O297" s="219"/>
      <c r="P297" s="219"/>
      <c r="Q297" s="201"/>
      <c r="R297" s="27"/>
      <c r="S297" s="27"/>
      <c r="T297" s="27"/>
      <c r="U297" s="27"/>
      <c r="V297" s="27"/>
      <c r="W297" s="27"/>
      <c r="X297" s="27"/>
      <c r="Y297" s="27"/>
      <c r="Z297" s="27"/>
      <c r="AA297" s="27"/>
    </row>
    <row r="298" ht="12.75" customHeight="1">
      <c r="A298" s="188"/>
      <c r="B298" s="189"/>
      <c r="C298" s="27">
        <f>IF(S289="Boring But Big",IF(U294="","",MROUND(T294*U294,'Start-Options'!$B$38)),"")</f>
        <v>90</v>
      </c>
      <c r="D298" s="27"/>
      <c r="E298" s="78">
        <f>IF(S289="Boring But Big",10,"")</f>
        <v>10</v>
      </c>
      <c r="F298" s="219"/>
      <c r="G298" s="219"/>
      <c r="H298" s="191"/>
      <c r="I298" s="27"/>
      <c r="J298" s="189"/>
      <c r="K298" s="189"/>
      <c r="L298" s="27">
        <f>IF(S289="Boring But Big",IF(V294="","",MROUND(T294*V294,'Start-Options'!$B$38)),"")</f>
        <v>97.5</v>
      </c>
      <c r="M298" s="241"/>
      <c r="N298" s="242">
        <v>8.0</v>
      </c>
      <c r="O298" s="219"/>
      <c r="P298" s="219"/>
      <c r="Q298" s="201"/>
      <c r="R298" s="27"/>
      <c r="S298" s="70" t="s">
        <v>204</v>
      </c>
      <c r="T298" s="71"/>
      <c r="U298" s="27"/>
      <c r="V298" s="27"/>
      <c r="W298" s="27"/>
      <c r="X298" s="27"/>
      <c r="Y298" s="27"/>
      <c r="Z298" s="27"/>
      <c r="AA298" s="27"/>
    </row>
    <row r="299" ht="12.75" customHeight="1">
      <c r="A299" s="188"/>
      <c r="B299" s="195"/>
      <c r="C299" s="27">
        <f>IF(S289="Boring But Big",IF(U294="","",MROUND(T294*U294,'Start-Options'!$B$38)),"")</f>
        <v>90</v>
      </c>
      <c r="D299" s="27"/>
      <c r="E299" s="78">
        <f>IF(S289="Boring But Big",10,"")</f>
        <v>10</v>
      </c>
      <c r="F299" s="154"/>
      <c r="G299" s="154"/>
      <c r="H299" s="155"/>
      <c r="I299" s="27"/>
      <c r="J299" s="189"/>
      <c r="K299" s="195"/>
      <c r="L299" s="27">
        <f>IF(S289="Boring But Big",IF(V294="","",MROUND(T294*V294,'Start-Options'!$B$38)),"")</f>
        <v>97.5</v>
      </c>
      <c r="M299" s="241"/>
      <c r="N299" s="242">
        <v>8.0</v>
      </c>
      <c r="O299" s="154"/>
      <c r="P299" s="154"/>
      <c r="Q299" s="206"/>
      <c r="R299" s="27"/>
      <c r="S299" s="25" t="s">
        <v>205</v>
      </c>
      <c r="T299" s="28">
        <v>531.0</v>
      </c>
      <c r="U299" s="27"/>
      <c r="V299" s="27"/>
      <c r="W299" s="27"/>
      <c r="X299" s="27"/>
      <c r="Y299" s="27"/>
      <c r="Z299" s="27"/>
      <c r="AA299" s="27"/>
    </row>
    <row r="300" ht="12.75" customHeight="1">
      <c r="A300" s="234" t="s">
        <v>48</v>
      </c>
      <c r="B300" s="197" t="str">
        <f>IF(S289="Accessory Only","",IF(S289="Boring But Big",'Start-Options'!$B$6,T305))</f>
        <v>Bench</v>
      </c>
      <c r="C300" s="198">
        <f>IF(S289="Accessory Only","",IF(S289="Boring But Big",IF(U295="","",MROUND(T295*U295,'Start-Options'!$B$38)),IF(T299=531,MROUND(U305*0.5,'Start-Options'!$B$38),MROUND(U305*0.6,'Start-Options'!$B$38))))</f>
        <v>55</v>
      </c>
      <c r="D300" s="198"/>
      <c r="E300" s="199">
        <f>IF(S289="Accessory Only","",IF(S289="Boring But Big",10,IF(T299=531,10,8)))</f>
        <v>10</v>
      </c>
      <c r="F300" s="185"/>
      <c r="G300" s="185"/>
      <c r="H300" s="200"/>
      <c r="I300" s="27"/>
      <c r="J300" s="252" t="s">
        <v>48</v>
      </c>
      <c r="K300" s="197" t="str">
        <f>IF(S289="Accessory Only","",IF(S289="Boring But Big",'Start-Options'!$B$6,T305))</f>
        <v>Bench</v>
      </c>
      <c r="L300" s="198">
        <f>IF(S289="Accessory Only","",IF(S289="Boring But Big",IF(V295="","",MROUND(T295*V295,'Start-Options'!$B$38)),IF(T299=531,MROUND(U305*0.6,'Start-Options'!$B$38),MROUND(U305*0.5,'Start-Options'!$B$38))))</f>
        <v>60</v>
      </c>
      <c r="M300" s="243"/>
      <c r="N300" s="244">
        <v>8.0</v>
      </c>
      <c r="O300" s="185"/>
      <c r="P300" s="185"/>
      <c r="Q300" s="187"/>
      <c r="R300" s="27"/>
      <c r="S300" s="27"/>
      <c r="T300" s="27"/>
      <c r="U300" s="27"/>
      <c r="V300" s="27"/>
      <c r="W300" s="27"/>
      <c r="X300" s="27"/>
      <c r="Y300" s="27"/>
      <c r="Z300" s="27"/>
      <c r="AA300" s="27"/>
    </row>
    <row r="301" ht="12.75" customHeight="1">
      <c r="A301" s="188"/>
      <c r="B301" s="189"/>
      <c r="C301" s="190">
        <f>IF(S289="Accessory Only","",IF(S289="Boring But Big",IF(U295="","",MROUND(T295*U295,'Start-Options'!$B$38)),IF(T299=531,MROUND(U305*0.6,'Start-Options'!$B$38),MROUND(U305*0.7,'Start-Options'!$B$38))))</f>
        <v>55</v>
      </c>
      <c r="D301" s="27"/>
      <c r="E301" s="78">
        <f>IF(S289="Accessory Only","",IF(S289="Boring But Big",10,IF(T299=531,10,8)))</f>
        <v>10</v>
      </c>
      <c r="F301" s="219"/>
      <c r="G301" s="219"/>
      <c r="H301" s="191"/>
      <c r="I301" s="27"/>
      <c r="J301" s="189"/>
      <c r="K301" s="189"/>
      <c r="L301" s="190">
        <f>IF(S289="Accessory Only","",IF(S289="Boring But Big",IF(V295="","",MROUND(T295*V295,'Start-Options'!$B$38)),IF(T299=531,MROUND(U305*0.7,'Start-Options'!$B$38),MROUND(U305*0.6,'Start-Options'!$B$38))))</f>
        <v>60</v>
      </c>
      <c r="M301" s="241"/>
      <c r="N301" s="242">
        <v>8.0</v>
      </c>
      <c r="O301" s="219"/>
      <c r="P301" s="219"/>
      <c r="Q301" s="201"/>
      <c r="R301" s="27"/>
      <c r="S301" s="70" t="s">
        <v>204</v>
      </c>
      <c r="T301" s="175"/>
      <c r="U301" s="71"/>
      <c r="V301" s="27"/>
      <c r="W301" s="27"/>
      <c r="X301" s="27"/>
      <c r="Y301" s="27"/>
      <c r="Z301" s="27"/>
      <c r="AA301" s="27"/>
    </row>
    <row r="302" ht="12.75" customHeight="1">
      <c r="A302" s="188"/>
      <c r="B302" s="189"/>
      <c r="C302" s="190">
        <f>IF(S289="Accessory Only","",IF(S289="Boring But Big",IF(U295="","",MROUND(T295*U295,'Start-Options'!$B$38)),IF(T299=531,MROUND(U305*0.7,'Start-Options'!$B$38),MROUND(U305*0.8,'Start-Options'!$B$38))))</f>
        <v>55</v>
      </c>
      <c r="D302" s="27"/>
      <c r="E302" s="78">
        <f>IF(S289="Accessory Only","",IF(S289="Boring But Big",10,IF(T299=531,10,6)))</f>
        <v>10</v>
      </c>
      <c r="F302" s="219"/>
      <c r="G302" s="219"/>
      <c r="H302" s="191"/>
      <c r="I302" s="27"/>
      <c r="J302" s="189"/>
      <c r="K302" s="189"/>
      <c r="L302" s="190">
        <f>IF(S289="Accessory Only","",IF(S289="Boring But Big",IF(V295="","",MROUND(T295*V295,'Start-Options'!$B$38)),IF(T299=531,MROUND(U305*0.8,'Start-Options'!$B$38),MROUND(U305*0.7,'Start-Options'!$B$38))))</f>
        <v>60</v>
      </c>
      <c r="M302" s="241"/>
      <c r="N302" s="242">
        <v>8.0</v>
      </c>
      <c r="O302" s="219"/>
      <c r="P302" s="219"/>
      <c r="Q302" s="201"/>
      <c r="R302" s="27"/>
      <c r="S302" s="25"/>
      <c r="T302" s="223" t="s">
        <v>182</v>
      </c>
      <c r="U302" s="223" t="s">
        <v>28</v>
      </c>
      <c r="V302" s="27"/>
      <c r="W302" s="27"/>
      <c r="X302" s="27"/>
      <c r="Y302" s="27"/>
      <c r="Z302" s="27"/>
      <c r="AA302" s="27"/>
    </row>
    <row r="303" ht="12.75" customHeight="1">
      <c r="A303" s="188"/>
      <c r="B303" s="189"/>
      <c r="C303" s="27">
        <f>IF(S289="Boring But Big",IF(U295="","",MROUND(T295*U295,'Start-Options'!$B$38)),"")</f>
        <v>55</v>
      </c>
      <c r="D303" s="27"/>
      <c r="E303" s="27">
        <f>IF(S289="Boring But Big",10,"")</f>
        <v>10</v>
      </c>
      <c r="F303" s="219"/>
      <c r="G303" s="219"/>
      <c r="H303" s="207"/>
      <c r="I303" s="77"/>
      <c r="J303" s="189"/>
      <c r="K303" s="189"/>
      <c r="L303" s="27">
        <f>IF(S289="Boring But Big",IF(V295="","",MROUND(T295*V295,'Start-Options'!$B$38)),"")</f>
        <v>60</v>
      </c>
      <c r="M303" s="241"/>
      <c r="N303" s="242">
        <v>8.0</v>
      </c>
      <c r="O303" s="219"/>
      <c r="P303" s="219"/>
      <c r="Q303" s="201"/>
      <c r="R303" s="27"/>
      <c r="S303" s="77" t="s">
        <v>36</v>
      </c>
      <c r="T303" s="147" t="s">
        <v>208</v>
      </c>
      <c r="U303" s="147">
        <v>100.0</v>
      </c>
      <c r="V303" s="27"/>
      <c r="W303" s="27"/>
      <c r="X303" s="27"/>
      <c r="Y303" s="27"/>
      <c r="Z303" s="27"/>
      <c r="AA303" s="27"/>
    </row>
    <row r="304" ht="12.75" customHeight="1">
      <c r="A304" s="194"/>
      <c r="B304" s="195"/>
      <c r="C304" s="27">
        <f>IF(S289="Boring But Big",IF(U295="","",MROUND(T295*U295,'Start-Options'!$B$38)),"")</f>
        <v>55</v>
      </c>
      <c r="D304" s="27"/>
      <c r="E304" s="78">
        <f>IF(S289="Boring But Big",10,"")</f>
        <v>10</v>
      </c>
      <c r="F304" s="154"/>
      <c r="G304" s="154"/>
      <c r="H304" s="155"/>
      <c r="I304" s="27"/>
      <c r="J304" s="195"/>
      <c r="K304" s="195"/>
      <c r="L304" s="27">
        <f>IF(S289="Boring But Big",IF(V295="","",MROUND(T295*V295,'Start-Options'!$B$38)),"")</f>
        <v>60</v>
      </c>
      <c r="M304" s="241"/>
      <c r="N304" s="242">
        <v>8.0</v>
      </c>
      <c r="O304" s="154"/>
      <c r="P304" s="154"/>
      <c r="Q304" s="206"/>
      <c r="R304" s="27"/>
      <c r="S304" s="25" t="s">
        <v>44</v>
      </c>
      <c r="T304" s="162" t="s">
        <v>210</v>
      </c>
      <c r="U304" s="162">
        <v>100.0</v>
      </c>
      <c r="V304" s="27"/>
      <c r="W304" s="27"/>
      <c r="X304" s="27"/>
      <c r="Y304" s="27"/>
      <c r="Z304" s="27"/>
      <c r="AA304" s="27"/>
    </row>
    <row r="305" ht="12.75" customHeight="1">
      <c r="A305" s="234" t="s">
        <v>53</v>
      </c>
      <c r="B305" s="197" t="str">
        <f>IF(S289="Accessory Only","",IF(S289="Boring But Big",'Start-Options'!$B$7,T306))</f>
        <v>Squat</v>
      </c>
      <c r="C305" s="198">
        <f>IF(S289="Accessory Only","",IF(S289="Boring But Big",IF(U296="","",MROUND(T296*U296,'Start-Options'!$B$38)),IF(T299=531,MROUND(U306*0.5,'Start-Options'!$B$38),MROUND(U306*0.6,'Start-Options'!$B$38))))</f>
        <v>72.5</v>
      </c>
      <c r="D305" s="198"/>
      <c r="E305" s="199">
        <f>IF(S289="Accessory Only","",IF(S289="Boring But Big",10,IF(T299=531,10,8)))</f>
        <v>10</v>
      </c>
      <c r="F305" s="185"/>
      <c r="G305" s="185"/>
      <c r="H305" s="200"/>
      <c r="I305" s="27"/>
      <c r="J305" s="252" t="s">
        <v>53</v>
      </c>
      <c r="K305" s="197" t="str">
        <f>IF(S289="Accessory Only","",IF(S289="Boring But Big",'Start-Options'!$B$7,T306))</f>
        <v>Squat</v>
      </c>
      <c r="L305" s="198">
        <f>IF(S289="Accessory Only","",IF(S289="Boring But Big",IF(V296="","",MROUND(T296*V296,'Start-Options'!$B$38)),IF(T299=531,MROUND(U306*0.6,'Start-Options'!$B$38),MROUND(U306*0.5,'Start-Options'!$B$38))))</f>
        <v>77.5</v>
      </c>
      <c r="M305" s="243"/>
      <c r="N305" s="244">
        <v>8.0</v>
      </c>
      <c r="O305" s="185"/>
      <c r="P305" s="185"/>
      <c r="Q305" s="187"/>
      <c r="R305" s="27"/>
      <c r="S305" s="25" t="s">
        <v>48</v>
      </c>
      <c r="T305" s="162" t="s">
        <v>212</v>
      </c>
      <c r="U305" s="162">
        <v>100.0</v>
      </c>
      <c r="V305" s="27"/>
      <c r="W305" s="27"/>
      <c r="X305" s="27"/>
      <c r="Y305" s="27"/>
      <c r="Z305" s="27"/>
      <c r="AA305" s="27"/>
    </row>
    <row r="306" ht="12.75" customHeight="1">
      <c r="A306" s="188"/>
      <c r="B306" s="189"/>
      <c r="C306" s="190">
        <f>IF(S289="Accessory Only","",IF(S289="Boring But Big",IF(U296="","",MROUND(T296*U296,'Start-Options'!$B$38)),IF(T299=531,MROUND(U306*0.6,'Start-Options'!$B$38),MROUND(U306*0.7,'Start-Options'!$B$38))))</f>
        <v>72.5</v>
      </c>
      <c r="D306" s="27"/>
      <c r="E306" s="78">
        <f>IF(S289="Accessory Only","",IF(S289="Boring But Big",10,IF(T299=531,10,8)))</f>
        <v>10</v>
      </c>
      <c r="F306" s="219"/>
      <c r="G306" s="219"/>
      <c r="H306" s="191"/>
      <c r="I306" s="27"/>
      <c r="J306" s="189"/>
      <c r="K306" s="189"/>
      <c r="L306" s="190">
        <f>IF(S289="Accessory Only","",IF(S289="Boring But Big",IF(V296="","",MROUND(T296*V296,'Start-Options'!$B$38)),IF(T299=531,MROUND(U306*0.7,'Start-Options'!$B$38),MROUND(U306*0.6,'Start-Options'!$B$38))))</f>
        <v>77.5</v>
      </c>
      <c r="M306" s="241"/>
      <c r="N306" s="242">
        <v>8.0</v>
      </c>
      <c r="O306" s="219"/>
      <c r="P306" s="219"/>
      <c r="Q306" s="201"/>
      <c r="R306" s="27"/>
      <c r="S306" s="82" t="s">
        <v>53</v>
      </c>
      <c r="T306" s="155" t="s">
        <v>224</v>
      </c>
      <c r="U306" s="155">
        <v>100.0</v>
      </c>
      <c r="V306" s="27"/>
      <c r="W306" s="27"/>
      <c r="X306" s="27"/>
      <c r="Y306" s="27"/>
      <c r="Z306" s="27"/>
      <c r="AA306" s="27"/>
    </row>
    <row r="307" ht="12.75" customHeight="1">
      <c r="A307" s="188"/>
      <c r="B307" s="189"/>
      <c r="C307" s="190">
        <f>IF(S289="Accessory Only","",IF(S289="Boring But Big",IF(U296="","",MROUND(T296*U296,'Start-Options'!$B$38)),IF(T299=531,MROUND(U306*0.7,'Start-Options'!$B$38),MROUND(U306*0.8,'Start-Options'!$B$38))))</f>
        <v>72.5</v>
      </c>
      <c r="D307" s="27"/>
      <c r="E307" s="78">
        <f>IF(S289="Accessory Only","",IF(S289="Boring But Big",10,IF(T299=531,10,6)))</f>
        <v>10</v>
      </c>
      <c r="F307" s="219"/>
      <c r="G307" s="219"/>
      <c r="H307" s="191"/>
      <c r="I307" s="27"/>
      <c r="J307" s="189"/>
      <c r="K307" s="189"/>
      <c r="L307" s="190">
        <f>IF(S289="Accessory Only","",IF(S289="Boring But Big",IF(V296="","",MROUND(T296*V296,'Start-Options'!$B$38)),IF(T299=531,MROUND(U306*0.8,'Start-Options'!$B$38),MROUND(U306*0.7,'Start-Options'!$B$38))))</f>
        <v>77.5</v>
      </c>
      <c r="M307" s="241"/>
      <c r="N307" s="242">
        <v>8.0</v>
      </c>
      <c r="O307" s="219"/>
      <c r="P307" s="219"/>
      <c r="Q307" s="201"/>
      <c r="R307" s="27"/>
      <c r="S307" s="27"/>
      <c r="T307" s="27"/>
      <c r="U307" s="27"/>
      <c r="V307" s="27"/>
      <c r="W307" s="27"/>
      <c r="X307" s="27"/>
      <c r="Y307" s="27"/>
      <c r="Z307" s="27"/>
      <c r="AA307" s="27"/>
    </row>
    <row r="308" ht="12.75" customHeight="1">
      <c r="A308" s="188"/>
      <c r="B308" s="189"/>
      <c r="C308" s="27">
        <f>IF(S289="Boring But Big",IF(U296="","",MROUND(T296*U296,'Start-Options'!$B$38)),"")</f>
        <v>72.5</v>
      </c>
      <c r="D308" s="27"/>
      <c r="E308" s="78">
        <f>IF(S289="Boring But Big",10,"")</f>
        <v>10</v>
      </c>
      <c r="F308" s="219"/>
      <c r="G308" s="219"/>
      <c r="H308" s="191"/>
      <c r="I308" s="27"/>
      <c r="J308" s="189"/>
      <c r="K308" s="189"/>
      <c r="L308" s="27">
        <f>IF(S289="Boring But Big",IF(V296="","",MROUND(T296*V296,'Start-Options'!$B$38)),"")</f>
        <v>77.5</v>
      </c>
      <c r="M308" s="241"/>
      <c r="N308" s="242">
        <v>8.0</v>
      </c>
      <c r="O308" s="219"/>
      <c r="P308" s="219"/>
      <c r="Q308" s="201"/>
      <c r="R308" s="27"/>
      <c r="S308" s="27"/>
      <c r="T308" s="27"/>
      <c r="U308" s="27"/>
      <c r="V308" s="27"/>
      <c r="W308" s="27"/>
      <c r="X308" s="27"/>
      <c r="Y308" s="27"/>
      <c r="Z308" s="27"/>
      <c r="AA308" s="27"/>
    </row>
    <row r="309" ht="12.75" customHeight="1">
      <c r="A309" s="194"/>
      <c r="B309" s="195"/>
      <c r="C309" s="208">
        <f>IF(S289="Boring But Big",IF(U296="","",MROUND(T296*U296,'Start-Options'!$B$38)),"")</f>
        <v>72.5</v>
      </c>
      <c r="D309" s="49"/>
      <c r="E309" s="83">
        <f>IF(S289="Boring But Big",10,"")</f>
        <v>10</v>
      </c>
      <c r="F309" s="154"/>
      <c r="G309" s="154"/>
      <c r="H309" s="155"/>
      <c r="I309" s="27"/>
      <c r="J309" s="195"/>
      <c r="K309" s="195"/>
      <c r="L309" s="208">
        <f>IF(S289="Boring But Big",IF(V296="","",MROUND(T296*V296,'Start-Options'!$B$38)),"")</f>
        <v>77.5</v>
      </c>
      <c r="M309" s="245"/>
      <c r="N309" s="246">
        <v>8.0</v>
      </c>
      <c r="O309" s="154"/>
      <c r="P309" s="154"/>
      <c r="Q309" s="206"/>
      <c r="R309" s="27"/>
      <c r="S309" s="27"/>
      <c r="T309" s="27"/>
      <c r="U309" s="27"/>
      <c r="V309" s="27"/>
      <c r="W309" s="27"/>
      <c r="X309" s="27"/>
      <c r="Y309" s="27"/>
      <c r="Z309" s="27"/>
      <c r="AA309" s="27"/>
    </row>
    <row r="310" ht="12.75" customHeight="1">
      <c r="A310" s="168"/>
      <c r="B310" s="27"/>
      <c r="C310" s="27"/>
      <c r="D310" s="27"/>
      <c r="E310" s="27"/>
      <c r="F310" s="27"/>
      <c r="G310" s="27"/>
      <c r="H310" s="27"/>
      <c r="I310" s="27"/>
      <c r="J310" s="27"/>
      <c r="K310" s="27"/>
      <c r="L310" s="27"/>
      <c r="M310" s="27"/>
      <c r="N310" s="27"/>
      <c r="O310" s="27"/>
      <c r="P310" s="27"/>
      <c r="Q310" s="209"/>
      <c r="R310" s="27"/>
      <c r="S310" s="27"/>
      <c r="T310" s="27"/>
      <c r="U310" s="27"/>
      <c r="V310" s="27"/>
      <c r="W310" s="27"/>
      <c r="X310" s="27"/>
      <c r="Y310" s="27"/>
      <c r="Z310" s="27"/>
      <c r="AA310" s="27"/>
    </row>
    <row r="311" ht="12.75" customHeight="1">
      <c r="A311" s="210" t="s">
        <v>267</v>
      </c>
      <c r="B311" s="211" t="s">
        <v>177</v>
      </c>
      <c r="C311" s="41"/>
      <c r="D311" s="41"/>
      <c r="E311" s="42"/>
      <c r="F311" s="211" t="s">
        <v>178</v>
      </c>
      <c r="G311" s="41"/>
      <c r="H311" s="42"/>
      <c r="I311" s="27"/>
      <c r="J311" s="212" t="s">
        <v>268</v>
      </c>
      <c r="K311" s="211" t="s">
        <v>177</v>
      </c>
      <c r="L311" s="41"/>
      <c r="M311" s="41"/>
      <c r="N311" s="42"/>
      <c r="O311" s="211" t="s">
        <v>178</v>
      </c>
      <c r="P311" s="41"/>
      <c r="Q311" s="213"/>
      <c r="R311" s="27"/>
      <c r="S311" s="70" t="s">
        <v>93</v>
      </c>
      <c r="T311" s="71"/>
      <c r="U311" s="27"/>
      <c r="V311" s="27"/>
      <c r="W311" s="27"/>
      <c r="X311" s="27"/>
      <c r="Y311" s="27"/>
      <c r="Z311" s="27"/>
      <c r="AA311" s="27"/>
    </row>
    <row r="312" ht="12.75" customHeight="1">
      <c r="A312" s="194"/>
      <c r="B312" s="214" t="s">
        <v>181</v>
      </c>
      <c r="C312" s="215" t="s">
        <v>26</v>
      </c>
      <c r="D312" s="215"/>
      <c r="E312" s="215" t="s">
        <v>27</v>
      </c>
      <c r="F312" s="215" t="s">
        <v>182</v>
      </c>
      <c r="G312" s="216" t="s">
        <v>183</v>
      </c>
      <c r="H312" s="215" t="s">
        <v>26</v>
      </c>
      <c r="I312" s="27"/>
      <c r="J312" s="217"/>
      <c r="K312" s="214" t="s">
        <v>181</v>
      </c>
      <c r="L312" s="215" t="s">
        <v>26</v>
      </c>
      <c r="M312" s="215"/>
      <c r="N312" s="215" t="s">
        <v>27</v>
      </c>
      <c r="O312" s="215" t="s">
        <v>182</v>
      </c>
      <c r="P312" s="216" t="s">
        <v>183</v>
      </c>
      <c r="Q312" s="218" t="s">
        <v>26</v>
      </c>
      <c r="R312" s="27"/>
      <c r="S312" s="25" t="s">
        <v>94</v>
      </c>
      <c r="T312" s="162"/>
      <c r="U312" s="27"/>
      <c r="V312" s="27"/>
      <c r="W312" s="27"/>
      <c r="X312" s="27"/>
      <c r="Y312" s="27"/>
      <c r="Z312" s="27"/>
      <c r="AA312" s="27"/>
    </row>
    <row r="313" ht="12.75" customHeight="1">
      <c r="A313" s="234" t="s">
        <v>36</v>
      </c>
      <c r="B313" s="197" t="str">
        <f>IF(S289="Accessory Only","",IF(S289="Boring But Big",'Start-Options'!$B$4,T303))</f>
        <v>Military</v>
      </c>
      <c r="C313" s="198">
        <f>IF(S289="Accessory Only","",IF(S289="Boring But Big",IF(W293="","",MROUND(T293*W293,'Start-Options'!$B$38)),IF(T299=531,MROUND(U303*0.65,'Start-Options'!$B$38),MROUND(U303*0.65,'Start-Options'!$B$38))))</f>
        <v>50</v>
      </c>
      <c r="D313" s="243"/>
      <c r="E313" s="244">
        <v>5.0</v>
      </c>
      <c r="F313" s="185"/>
      <c r="G313" s="185"/>
      <c r="H313" s="200"/>
      <c r="I313" s="27"/>
      <c r="J313" s="252" t="s">
        <v>36</v>
      </c>
      <c r="K313" s="197" t="str">
        <f>IF(S289="Accessory Only","",IF(S289="Boring But Big",'Start-Options'!$B$4,T303))</f>
        <v>Military</v>
      </c>
      <c r="L313" s="198">
        <f>IF(S289="Accessory Only","",IF(S289="Boring But Big",IF(X293="","",MROUND(T293*X293,'Start-Options'!$B$38)),MROUND(U303*0.4,'Start-Options'!$B$38)))</f>
        <v>32.5</v>
      </c>
      <c r="M313" s="198"/>
      <c r="N313" s="199">
        <f>IF(S289="Accessory Only","",IF(S289="Boring But Big",10,5))</f>
        <v>10</v>
      </c>
      <c r="O313" s="185"/>
      <c r="P313" s="185"/>
      <c r="Q313" s="187"/>
      <c r="R313" s="27"/>
      <c r="S313" s="77" t="s">
        <v>95</v>
      </c>
      <c r="T313" s="78" t="str">
        <f>IF(T312="","",MROUND(T312*0.4,'Start-Options'!$B$38))</f>
        <v/>
      </c>
      <c r="U313" s="27"/>
      <c r="V313" s="27"/>
      <c r="W313" s="27"/>
      <c r="X313" s="27"/>
      <c r="Y313" s="27"/>
      <c r="Z313" s="27"/>
      <c r="AA313" s="27"/>
    </row>
    <row r="314" ht="12.75" customHeight="1">
      <c r="A314" s="188"/>
      <c r="B314" s="189"/>
      <c r="C314" s="190">
        <f>IF(S289="Accessory Only","",IF(S289="Boring But Big",IF(W293="","",MROUND(T293*W293,'Start-Options'!$B$38)),IF(T299=531,MROUND(U303*0.75,'Start-Options'!$B$38),MROUND(U303*0.75,'Start-Options'!$B$38))))</f>
        <v>50</v>
      </c>
      <c r="D314" s="241"/>
      <c r="E314" s="242">
        <v>5.0</v>
      </c>
      <c r="F314" s="219"/>
      <c r="G314" s="219"/>
      <c r="H314" s="191"/>
      <c r="I314" s="27"/>
      <c r="J314" s="189"/>
      <c r="K314" s="189"/>
      <c r="L314" s="190">
        <f>IF(S289="Accessory Only","",IF(S289="Boring But Big",IF(X293="","",MROUND(T293*X293,'Start-Options'!$B$38)),MROUND(U303*0.5,'Start-Options'!$B$38)))</f>
        <v>32.5</v>
      </c>
      <c r="M314" s="27"/>
      <c r="N314" s="78">
        <f>IF(S289="Accessory Only","",IF(S289="Boring But Big",10,5))</f>
        <v>10</v>
      </c>
      <c r="O314" s="220"/>
      <c r="P314" s="220"/>
      <c r="Q314" s="221"/>
      <c r="R314" s="27"/>
      <c r="S314" s="77" t="s">
        <v>96</v>
      </c>
      <c r="T314" s="78" t="str">
        <f>IF(T312="","",MROUND(T312*0.5,'Start-Options'!$B$38))</f>
        <v/>
      </c>
      <c r="U314" s="27"/>
      <c r="V314" s="27"/>
      <c r="W314" s="27"/>
      <c r="X314" s="27"/>
      <c r="Y314" s="27"/>
      <c r="Z314" s="27"/>
      <c r="AA314" s="27"/>
    </row>
    <row r="315" ht="12.75" customHeight="1">
      <c r="A315" s="188"/>
      <c r="B315" s="189"/>
      <c r="C315" s="190">
        <f>IF(S289="Accessory Only","",IF(S289="Boring But Big",IF(W293="","",MROUND(T293*W293,'Start-Options'!$B$38)),IF(T299=531,MROUND(U303*0.85,'Start-Options'!$B$38),MROUND(U303*0.85,'Start-Options'!$B$38))))</f>
        <v>50</v>
      </c>
      <c r="D315" s="241"/>
      <c r="E315" s="242">
        <v>5.0</v>
      </c>
      <c r="F315" s="219"/>
      <c r="G315" s="219"/>
      <c r="H315" s="191"/>
      <c r="I315" s="27"/>
      <c r="J315" s="189"/>
      <c r="K315" s="189"/>
      <c r="L315" s="190">
        <f>IF(S289="Accessory Only","",IF(S289="Boring But Big",IF(X293="","",MROUND(T293*X293,'Start-Options'!$B$38)),MROUND(U303*0.6,'Start-Options'!$B$38)))</f>
        <v>32.5</v>
      </c>
      <c r="M315" s="27"/>
      <c r="N315" s="78">
        <f>IF(S289="Accessory Only","",IF(S289="Boring But Big",10,5))</f>
        <v>10</v>
      </c>
      <c r="O315" s="220"/>
      <c r="P315" s="220"/>
      <c r="Q315" s="222"/>
      <c r="R315" s="27"/>
      <c r="S315" s="82" t="s">
        <v>97</v>
      </c>
      <c r="T315" s="83" t="str">
        <f>IF(T312="","",MROUND(T312*0.6,'Start-Options'!$B$38))</f>
        <v/>
      </c>
      <c r="U315" s="27"/>
      <c r="V315" s="27"/>
      <c r="W315" s="27"/>
      <c r="X315" s="27"/>
      <c r="Y315" s="27"/>
      <c r="Z315" s="27"/>
      <c r="AA315" s="27"/>
    </row>
    <row r="316" ht="12.75" customHeight="1">
      <c r="A316" s="188"/>
      <c r="B316" s="189"/>
      <c r="C316" s="27">
        <f>IF(S289="Boring But Big",IF(W293="","",MROUND(T293*W293,'Start-Options'!$B$38)),"")</f>
        <v>50</v>
      </c>
      <c r="D316" s="241"/>
      <c r="E316" s="242">
        <v>5.0</v>
      </c>
      <c r="F316" s="219"/>
      <c r="G316" s="219"/>
      <c r="H316" s="191"/>
      <c r="I316" s="27"/>
      <c r="J316" s="189"/>
      <c r="K316" s="189"/>
      <c r="L316" s="27">
        <f>IF(S289="Boring But Big",IF(X293="","",MROUND(T293*X293,'Start-Options'!$B$38)),"")</f>
        <v>32.5</v>
      </c>
      <c r="M316" s="27"/>
      <c r="N316" s="78">
        <f>IF(S289="Boring But Big",10,"")</f>
        <v>10</v>
      </c>
      <c r="O316" s="219"/>
      <c r="P316" s="219"/>
      <c r="Q316" s="201"/>
      <c r="R316" s="27"/>
      <c r="S316" s="27"/>
      <c r="T316" s="27"/>
      <c r="U316" s="27"/>
      <c r="V316" s="27"/>
      <c r="W316" s="27"/>
      <c r="X316" s="27"/>
      <c r="Y316" s="27"/>
      <c r="Z316" s="27"/>
      <c r="AA316" s="27"/>
    </row>
    <row r="317" ht="12.75" customHeight="1">
      <c r="A317" s="194"/>
      <c r="B317" s="195"/>
      <c r="C317" s="27">
        <f>IF(S289="Boring But Big",IF(W293="","",MROUND(T293*W293,'Start-Options'!$B$38)),"")</f>
        <v>50</v>
      </c>
      <c r="D317" s="241"/>
      <c r="E317" s="242">
        <v>5.0</v>
      </c>
      <c r="F317" s="154"/>
      <c r="G317" s="154"/>
      <c r="H317" s="155"/>
      <c r="I317" s="27"/>
      <c r="J317" s="195"/>
      <c r="K317" s="195"/>
      <c r="L317" s="27">
        <f>IF(S289="Boring But Big",IF(X293="","",MROUND(T293*X293,'Start-Options'!$B$38)),"")</f>
        <v>32.5</v>
      </c>
      <c r="M317" s="27"/>
      <c r="N317" s="78">
        <f>IF(S289="Boring But Big",10,"")</f>
        <v>10</v>
      </c>
      <c r="O317" s="154"/>
      <c r="P317" s="154"/>
      <c r="Q317" s="206"/>
      <c r="R317" s="27"/>
      <c r="S317" s="27"/>
      <c r="T317" s="27"/>
      <c r="U317" s="27"/>
      <c r="V317" s="27"/>
      <c r="W317" s="27"/>
      <c r="X317" s="27"/>
      <c r="Y317" s="27"/>
      <c r="Z317" s="27"/>
      <c r="AA317" s="27"/>
    </row>
    <row r="318" ht="12.75" customHeight="1">
      <c r="A318" s="234" t="s">
        <v>44</v>
      </c>
      <c r="B318" s="197" t="str">
        <f>IF(S289="Accessory Only","",IF(S289="Boring But Big",'Start-Options'!$B$5,T304))</f>
        <v>Deadlift</v>
      </c>
      <c r="C318" s="198">
        <f>IF(S289="Accessory Only","",IF(S289="Boring But Big",IF(W294="","",MROUND(T294*W294,'Start-Options'!$B$38)),IF(T299=531,MROUND(U304*0.65,'Start-Options'!$B$38),MROUND(U304*0.65,'Start-Options'!$B$38))))</f>
        <v>105</v>
      </c>
      <c r="D318" s="243"/>
      <c r="E318" s="244">
        <v>5.0</v>
      </c>
      <c r="F318" s="185"/>
      <c r="G318" s="185"/>
      <c r="H318" s="200"/>
      <c r="I318" s="27"/>
      <c r="J318" s="252" t="s">
        <v>44</v>
      </c>
      <c r="K318" s="197" t="str">
        <f>IF(S289="Accessory Only","",IF(S289="Boring But Big",'Start-Options'!$B$5,T304))</f>
        <v>Deadlift</v>
      </c>
      <c r="L318" s="198">
        <f>IF(S289="Accessory Only","",IF(S289="Boring But Big",IF(X294="","",MROUND(T294*X294,'Start-Options'!$B$38)),MROUND(U304*0.4,'Start-Options'!$B$38)))</f>
        <v>70</v>
      </c>
      <c r="M318" s="198"/>
      <c r="N318" s="199">
        <f>IF(S289="Accessory Only","",IF(S289="Boring But Big",10,5))</f>
        <v>10</v>
      </c>
      <c r="O318" s="185"/>
      <c r="P318" s="185"/>
      <c r="Q318" s="187"/>
      <c r="R318" s="27"/>
      <c r="S318" s="27"/>
      <c r="T318" s="27"/>
      <c r="U318" s="27"/>
      <c r="V318" s="27"/>
      <c r="W318" s="27"/>
      <c r="X318" s="27"/>
      <c r="Y318" s="27"/>
      <c r="Z318" s="27"/>
      <c r="AA318" s="27"/>
    </row>
    <row r="319" ht="12.75" customHeight="1">
      <c r="A319" s="188"/>
      <c r="B319" s="189"/>
      <c r="C319" s="190">
        <f>IF(S289="Accessory Only","",IF(S289="Boring But Big",IF(W294="","",MROUND(T294*W294,'Start-Options'!$B$38)),IF(T299=531,MROUND(U304*0.75,'Start-Options'!$B$38),MROUND(U304*0.75,'Start-Options'!$B$38))))</f>
        <v>105</v>
      </c>
      <c r="D319" s="241"/>
      <c r="E319" s="242">
        <v>5.0</v>
      </c>
      <c r="F319" s="219"/>
      <c r="G319" s="219"/>
      <c r="H319" s="191"/>
      <c r="I319" s="27"/>
      <c r="J319" s="189"/>
      <c r="K319" s="189"/>
      <c r="L319" s="190">
        <f>IF(S289="Accessory Only","",IF(S289="Boring But Big",IF(X294="","",MROUND(T294*X294,'Start-Options'!$B$38)),MROUND(U304*0.5,'Start-Options'!$B$38)))</f>
        <v>70</v>
      </c>
      <c r="M319" s="27"/>
      <c r="N319" s="78">
        <f>IF(S289="Accessory Only","",IF(S289="Boring But Big",10,5))</f>
        <v>10</v>
      </c>
      <c r="O319" s="220"/>
      <c r="P319" s="220"/>
      <c r="Q319" s="222"/>
      <c r="R319" s="27"/>
      <c r="S319" s="27"/>
      <c r="T319" s="27"/>
      <c r="U319" s="27"/>
      <c r="V319" s="27"/>
      <c r="W319" s="27"/>
      <c r="X319" s="27"/>
      <c r="Y319" s="27"/>
      <c r="Z319" s="27"/>
      <c r="AA319" s="27"/>
    </row>
    <row r="320" ht="12.75" customHeight="1">
      <c r="A320" s="188"/>
      <c r="B320" s="189"/>
      <c r="C320" s="190">
        <f>IF(S289="Accessory Only","",IF(S289="Boring But Big",IF(W294="","",MROUND(T294*W294,'Start-Options'!$B$38)),IF(T299=531,MROUND(U304*0.85,'Start-Options'!$B$38),MROUND(U304*0.85,'Start-Options'!$B$38))))</f>
        <v>105</v>
      </c>
      <c r="D320" s="241"/>
      <c r="E320" s="242">
        <v>5.0</v>
      </c>
      <c r="F320" s="219"/>
      <c r="G320" s="219"/>
      <c r="H320" s="191"/>
      <c r="I320" s="27"/>
      <c r="J320" s="189"/>
      <c r="K320" s="189"/>
      <c r="L320" s="190">
        <f>IF(S289="Accessory Only","",IF(S289="Boring But Big",IF(X294="","",MROUND(T294*X294,'Start-Options'!$B$38)),MROUND(U304*0.6,'Start-Options'!$B$38)))</f>
        <v>70</v>
      </c>
      <c r="M320" s="27"/>
      <c r="N320" s="78">
        <f>IF(S289="Accessory Only","",IF(S289="Boring But Big",10,5))</f>
        <v>10</v>
      </c>
      <c r="O320" s="220"/>
      <c r="P320" s="220"/>
      <c r="Q320" s="222"/>
      <c r="R320" s="27"/>
      <c r="S320" s="27"/>
      <c r="T320" s="27"/>
      <c r="U320" s="27"/>
      <c r="V320" s="27"/>
      <c r="W320" s="27"/>
      <c r="X320" s="27"/>
      <c r="Y320" s="27"/>
      <c r="Z320" s="27"/>
      <c r="AA320" s="27"/>
    </row>
    <row r="321" ht="12.75" customHeight="1">
      <c r="A321" s="188"/>
      <c r="B321" s="189"/>
      <c r="C321" s="27">
        <f>IF(S289="Boring But Big",IF(W294="","",MROUND(T294*W294,'Start-Options'!$B$38)),"")</f>
        <v>105</v>
      </c>
      <c r="D321" s="241"/>
      <c r="E321" s="242">
        <v>5.0</v>
      </c>
      <c r="F321" s="219"/>
      <c r="G321" s="219"/>
      <c r="H321" s="191"/>
      <c r="I321" s="27"/>
      <c r="J321" s="189"/>
      <c r="K321" s="189"/>
      <c r="L321" s="27">
        <f>IF(S289="Boring But Big",IF(X294="","",MROUND(T294*X294,'Start-Options'!$B$38)),"")</f>
        <v>70</v>
      </c>
      <c r="M321" s="27"/>
      <c r="N321" s="78">
        <f>IF(S289="Boring But Big",10,"")</f>
        <v>10</v>
      </c>
      <c r="O321" s="219"/>
      <c r="P321" s="219"/>
      <c r="Q321" s="201"/>
      <c r="R321" s="27"/>
      <c r="S321" s="27"/>
      <c r="T321" s="27"/>
      <c r="U321" s="27"/>
      <c r="V321" s="27"/>
      <c r="W321" s="27"/>
      <c r="X321" s="27"/>
      <c r="Y321" s="27"/>
      <c r="Z321" s="27"/>
      <c r="AA321" s="27"/>
    </row>
    <row r="322" ht="12.75" customHeight="1">
      <c r="A322" s="188"/>
      <c r="B322" s="195"/>
      <c r="C322" s="27">
        <f>IF(S289="Boring But Big",IF(W294="","",MROUND(T294*W294,'Start-Options'!$B$38)),"")</f>
        <v>105</v>
      </c>
      <c r="D322" s="241"/>
      <c r="E322" s="242">
        <v>5.0</v>
      </c>
      <c r="F322" s="154"/>
      <c r="G322" s="154"/>
      <c r="H322" s="155"/>
      <c r="I322" s="27"/>
      <c r="J322" s="189"/>
      <c r="K322" s="195"/>
      <c r="L322" s="27">
        <f>IF(S289="Boring But Big",IF(X294="","",MROUND(T294*X294,'Start-Options'!$B$38)),"")</f>
        <v>70</v>
      </c>
      <c r="M322" s="27"/>
      <c r="N322" s="78">
        <f>IF(S289="Boring But Big",10,"")</f>
        <v>10</v>
      </c>
      <c r="O322" s="154"/>
      <c r="P322" s="154"/>
      <c r="Q322" s="206"/>
      <c r="R322" s="27"/>
      <c r="S322" s="27"/>
      <c r="T322" s="27"/>
      <c r="U322" s="27"/>
      <c r="V322" s="27"/>
      <c r="W322" s="27"/>
      <c r="X322" s="27"/>
      <c r="Y322" s="27"/>
      <c r="Z322" s="27"/>
      <c r="AA322" s="27"/>
    </row>
    <row r="323" ht="12.75" customHeight="1">
      <c r="A323" s="234" t="s">
        <v>48</v>
      </c>
      <c r="B323" s="197" t="str">
        <f>IF(S289="Accessory Only","",IF(S289="Boring But Big",'Start-Options'!$B$6,T305))</f>
        <v>Bench</v>
      </c>
      <c r="C323" s="198">
        <f>IF(S289="Accessory Only","",IF(S289="Boring But Big",IF(W295="","",MROUND(T295*W295,'Start-Options'!$B$38)),IF(T299=531,MROUND(U305*0.65,'Start-Options'!$B$38),MROUND(U305*0.65,'Start-Options'!$B$38))))</f>
        <v>65</v>
      </c>
      <c r="D323" s="243"/>
      <c r="E323" s="244">
        <v>5.0</v>
      </c>
      <c r="F323" s="185"/>
      <c r="G323" s="185"/>
      <c r="H323" s="200"/>
      <c r="I323" s="27"/>
      <c r="J323" s="252" t="s">
        <v>48</v>
      </c>
      <c r="K323" s="197" t="str">
        <f>IF(S289="Accessory Only","",IF(S289="Boring But Big",'Start-Options'!$B$6,T305))</f>
        <v>Bench</v>
      </c>
      <c r="L323" s="198">
        <f>IF(S289="Accessory Only","",IF(S289="Boring But Big",IF(X295="","",MROUND(T295*X295,'Start-Options'!$B$38)),MROUND(U305*0.4,'Start-Options'!$B$38)))</f>
        <v>42.5</v>
      </c>
      <c r="M323" s="198"/>
      <c r="N323" s="199">
        <f>IF(S289="Accessory Only","",IF(S289="Boring But Big",10,5))</f>
        <v>10</v>
      </c>
      <c r="O323" s="185"/>
      <c r="P323" s="185"/>
      <c r="Q323" s="187"/>
      <c r="R323" s="27"/>
      <c r="S323" s="27"/>
      <c r="T323" s="27"/>
      <c r="U323" s="27"/>
      <c r="V323" s="27"/>
      <c r="W323" s="27"/>
      <c r="X323" s="27"/>
      <c r="Y323" s="27"/>
      <c r="Z323" s="27"/>
      <c r="AA323" s="27"/>
    </row>
    <row r="324" ht="12.75" customHeight="1">
      <c r="A324" s="188"/>
      <c r="B324" s="189"/>
      <c r="C324" s="190">
        <f>IF(S289="Accessory Only","",IF(S289="Boring But Big",IF(W295="","",MROUND(T295*W295,'Start-Options'!$B$38)),IF(T299=531,MROUND(U305*0.75,'Start-Options'!$B$38),MROUND(U305*0.75,'Start-Options'!$B$38))))</f>
        <v>65</v>
      </c>
      <c r="D324" s="241"/>
      <c r="E324" s="242">
        <v>5.0</v>
      </c>
      <c r="F324" s="219"/>
      <c r="G324" s="219"/>
      <c r="H324" s="191"/>
      <c r="I324" s="27"/>
      <c r="J324" s="189"/>
      <c r="K324" s="189"/>
      <c r="L324" s="190">
        <f>IF(S289="Accessory Only","",IF(S289="Boring But Big",IF(X295="","",MROUND(T295*X295,'Start-Options'!$B$38)),MROUND(U305*0.5,'Start-Options'!$B$38)))</f>
        <v>42.5</v>
      </c>
      <c r="M324" s="27"/>
      <c r="N324" s="78">
        <f>IF(S289="Accessory Only","",IF(S289="Boring But Big",10,5))</f>
        <v>10</v>
      </c>
      <c r="O324" s="220"/>
      <c r="P324" s="220"/>
      <c r="Q324" s="222"/>
      <c r="R324" s="27"/>
      <c r="S324" s="27"/>
      <c r="T324" s="27"/>
      <c r="U324" s="27"/>
      <c r="V324" s="27"/>
      <c r="W324" s="27"/>
      <c r="X324" s="27"/>
      <c r="Y324" s="27"/>
      <c r="Z324" s="27"/>
      <c r="AA324" s="27"/>
    </row>
    <row r="325" ht="12.75" customHeight="1">
      <c r="A325" s="188"/>
      <c r="B325" s="189"/>
      <c r="C325" s="190">
        <f>IF(S289="Accessory Only","",IF(S289="Boring But Big",IF(W295="","",MROUND(T295*W295,'Start-Options'!$B$38)),IF(T299=531,MROUND(U305*0.85,'Start-Options'!$B$38),MROUND(U305*0.85,'Start-Options'!$B$38))))</f>
        <v>65</v>
      </c>
      <c r="D325" s="241"/>
      <c r="E325" s="242">
        <v>5.0</v>
      </c>
      <c r="F325" s="219"/>
      <c r="G325" s="219"/>
      <c r="H325" s="191"/>
      <c r="I325" s="27"/>
      <c r="J325" s="189"/>
      <c r="K325" s="189"/>
      <c r="L325" s="190">
        <f>IF(S289="Accessory Only","",IF(S289="Boring But Big",IF(X295="","",MROUND(T295*X295,'Start-Options'!$B$38)),MROUND(U305*0.6,'Start-Options'!$B$38)))</f>
        <v>42.5</v>
      </c>
      <c r="M325" s="27"/>
      <c r="N325" s="78">
        <f>IF(S289="Accessory Only","",IF(S289="Boring But Big",10,5))</f>
        <v>10</v>
      </c>
      <c r="O325" s="220"/>
      <c r="P325" s="220"/>
      <c r="Q325" s="222"/>
      <c r="R325" s="27"/>
      <c r="S325" s="27"/>
      <c r="T325" s="27"/>
      <c r="U325" s="27"/>
      <c r="V325" s="27"/>
      <c r="W325" s="27"/>
      <c r="X325" s="27"/>
      <c r="Y325" s="27"/>
      <c r="Z325" s="27"/>
      <c r="AA325" s="27"/>
    </row>
    <row r="326" ht="12.75" customHeight="1">
      <c r="A326" s="188"/>
      <c r="B326" s="189"/>
      <c r="C326" s="27">
        <f>IF(S289="Boring But Big",IF(W295="","",MROUND(T295*W295,'Start-Options'!$B$38)),"")</f>
        <v>65</v>
      </c>
      <c r="D326" s="241"/>
      <c r="E326" s="242">
        <v>5.0</v>
      </c>
      <c r="F326" s="219"/>
      <c r="G326" s="219"/>
      <c r="H326" s="191"/>
      <c r="I326" s="27"/>
      <c r="J326" s="189"/>
      <c r="K326" s="189"/>
      <c r="L326" s="27">
        <f>IF(S289="Boring But Big",IF(X295="","",MROUND(T295*X295,'Start-Options'!$B$38)),"")</f>
        <v>42.5</v>
      </c>
      <c r="M326" s="27"/>
      <c r="N326" s="78">
        <f>IF(S289="Boring But Big",10,"")</f>
        <v>10</v>
      </c>
      <c r="O326" s="219"/>
      <c r="P326" s="219"/>
      <c r="Q326" s="201"/>
      <c r="R326" s="27"/>
      <c r="S326" s="27"/>
      <c r="T326" s="27"/>
      <c r="U326" s="27"/>
      <c r="V326" s="27"/>
      <c r="W326" s="27"/>
      <c r="X326" s="27"/>
      <c r="Y326" s="27"/>
      <c r="Z326" s="27"/>
      <c r="AA326" s="27"/>
    </row>
    <row r="327" ht="12.75" customHeight="1">
      <c r="A327" s="194"/>
      <c r="B327" s="195"/>
      <c r="C327" s="27">
        <f>IF(S289="Boring But Big",IF(W295="","",MROUND(T295*W295,'Start-Options'!$B$38)),"")</f>
        <v>65</v>
      </c>
      <c r="D327" s="241"/>
      <c r="E327" s="242">
        <v>5.0</v>
      </c>
      <c r="F327" s="154"/>
      <c r="G327" s="154"/>
      <c r="H327" s="155"/>
      <c r="I327" s="27"/>
      <c r="J327" s="195"/>
      <c r="K327" s="195"/>
      <c r="L327" s="27">
        <f>IF(S289="Boring But Big",IF(X295="","",MROUND(T295*X295,'Start-Options'!$B$38)),"")</f>
        <v>42.5</v>
      </c>
      <c r="M327" s="27"/>
      <c r="N327" s="78">
        <f>IF(S289="Boring But Big",10,"")</f>
        <v>10</v>
      </c>
      <c r="O327" s="154"/>
      <c r="P327" s="154"/>
      <c r="Q327" s="206"/>
      <c r="R327" s="27"/>
      <c r="S327" s="27"/>
      <c r="T327" s="27"/>
      <c r="U327" s="27"/>
      <c r="V327" s="27"/>
      <c r="W327" s="27"/>
      <c r="X327" s="27"/>
      <c r="Y327" s="27"/>
      <c r="Z327" s="27"/>
      <c r="AA327" s="27"/>
    </row>
    <row r="328" ht="12.75" customHeight="1">
      <c r="A328" s="234" t="s">
        <v>53</v>
      </c>
      <c r="B328" s="197" t="str">
        <f>IF(S289="Accessory Only","",IF(S289="Boring But Big",'Start-Options'!$B$7,T306))</f>
        <v>Squat</v>
      </c>
      <c r="C328" s="198">
        <f>IF(S289="Accessory Only","",IF(S289="Boring But Big",IF(W296="","",MROUND(T296*W296,'Start-Options'!$B$38)),IF(T299=531,MROUND(U306*0.65,'Start-Options'!$B$38),MROUND(U306*0.65,'Start-Options'!$B$38))))</f>
        <v>82.5</v>
      </c>
      <c r="D328" s="243"/>
      <c r="E328" s="244">
        <v>5.0</v>
      </c>
      <c r="F328" s="185"/>
      <c r="G328" s="185"/>
      <c r="H328" s="200"/>
      <c r="I328" s="27"/>
      <c r="J328" s="252" t="s">
        <v>53</v>
      </c>
      <c r="K328" s="197" t="str">
        <f>IF(S289="Accessory Only","",IF(S289="Boring But Big",'Start-Options'!$B$7,T306))</f>
        <v>Squat</v>
      </c>
      <c r="L328" s="198">
        <f>IF(S289="Accessory Only","",IF(S289="Boring But Big",IF(X296="","",MROUND(T296*X296,'Start-Options'!$B$38)),MROUND(U306*0.4,'Start-Options'!$B$38)))</f>
        <v>55</v>
      </c>
      <c r="M328" s="198"/>
      <c r="N328" s="199">
        <f>IF(S289="Accessory Only","",IF(S289="Boring But Big",10,5))</f>
        <v>10</v>
      </c>
      <c r="O328" s="185"/>
      <c r="P328" s="185"/>
      <c r="Q328" s="187"/>
      <c r="R328" s="27"/>
      <c r="S328" s="27"/>
      <c r="T328" s="27"/>
      <c r="U328" s="27"/>
      <c r="V328" s="27"/>
      <c r="W328" s="27"/>
      <c r="X328" s="27"/>
      <c r="Y328" s="27"/>
      <c r="Z328" s="27"/>
      <c r="AA328" s="27"/>
    </row>
    <row r="329" ht="12.75" customHeight="1">
      <c r="A329" s="188"/>
      <c r="B329" s="189"/>
      <c r="C329" s="190">
        <f>IF(S289="Accessory Only","",IF(S289="Boring But Big",IF(W296="","",MROUND(T296*W296,'Start-Options'!$B$38)),IF(T299=531,MROUND(U306*0.75,'Start-Options'!$B$38),MROUND(U306*0.75,'Start-Options'!$B$38))))</f>
        <v>82.5</v>
      </c>
      <c r="D329" s="241"/>
      <c r="E329" s="242">
        <v>5.0</v>
      </c>
      <c r="F329" s="219"/>
      <c r="G329" s="219"/>
      <c r="H329" s="191"/>
      <c r="I329" s="27"/>
      <c r="J329" s="189"/>
      <c r="K329" s="189"/>
      <c r="L329" s="190">
        <f>IF(S289="Accessory Only","",IF(S289="Boring But Big",IF(X296="","",MROUND(T296*X296,'Start-Options'!$B$38)),MROUND(U306*0.5,'Start-Options'!$B$38)))</f>
        <v>55</v>
      </c>
      <c r="M329" s="27"/>
      <c r="N329" s="78">
        <f>IF(S289="Accessory Only","",IF(S289="Boring But Big",10,5))</f>
        <v>10</v>
      </c>
      <c r="O329" s="220"/>
      <c r="P329" s="220"/>
      <c r="Q329" s="222"/>
      <c r="R329" s="27"/>
      <c r="S329" s="27"/>
      <c r="T329" s="27"/>
      <c r="U329" s="27"/>
      <c r="V329" s="27"/>
      <c r="W329" s="27"/>
      <c r="X329" s="27"/>
      <c r="Y329" s="27"/>
      <c r="Z329" s="27"/>
      <c r="AA329" s="27"/>
    </row>
    <row r="330" ht="12.75" customHeight="1">
      <c r="A330" s="188"/>
      <c r="B330" s="189"/>
      <c r="C330" s="190">
        <f>IF(S289="Accessory Only","",IF(S289="Boring But Big",IF(W296="","",MROUND(T296*W296,'Start-Options'!$B$38)),IF(T299=531,MROUND(U306*0.85,'Start-Options'!$B$38),MROUND(U306*0.85,'Start-Options'!$B$38))))</f>
        <v>82.5</v>
      </c>
      <c r="D330" s="241"/>
      <c r="E330" s="242">
        <v>5.0</v>
      </c>
      <c r="F330" s="219"/>
      <c r="G330" s="219"/>
      <c r="H330" s="191"/>
      <c r="I330" s="27"/>
      <c r="J330" s="189"/>
      <c r="K330" s="189"/>
      <c r="L330" s="190">
        <f>IF(S289="Accessory Only","",IF(S289="Boring But Big",IF(X296="","",MROUND(T296*X296,'Start-Options'!$B$38)),MROUND(U306*0.6,'Start-Options'!$B$38)))</f>
        <v>55</v>
      </c>
      <c r="M330" s="27"/>
      <c r="N330" s="78">
        <f>IF(S289="Accessory Only","",IF(S289="Boring But Big",10,5))</f>
        <v>10</v>
      </c>
      <c r="O330" s="220"/>
      <c r="P330" s="220"/>
      <c r="Q330" s="222"/>
      <c r="R330" s="27"/>
      <c r="S330" s="27"/>
      <c r="T330" s="27"/>
      <c r="U330" s="27"/>
      <c r="V330" s="27"/>
      <c r="W330" s="27"/>
      <c r="X330" s="27"/>
      <c r="Y330" s="27"/>
      <c r="Z330" s="27"/>
      <c r="AA330" s="27"/>
    </row>
    <row r="331" ht="12.75" customHeight="1">
      <c r="A331" s="188"/>
      <c r="B331" s="189"/>
      <c r="C331" s="27">
        <f>IF(S289="Boring But Big",IF(W296="","",MROUND(T296*W296,'Start-Options'!$B$38)),"")</f>
        <v>82.5</v>
      </c>
      <c r="D331" s="241"/>
      <c r="E331" s="242">
        <v>5.0</v>
      </c>
      <c r="F331" s="219"/>
      <c r="G331" s="219"/>
      <c r="H331" s="147"/>
      <c r="I331" s="27"/>
      <c r="J331" s="189"/>
      <c r="K331" s="189"/>
      <c r="L331" s="27">
        <f>IF(S289="Boring But Big",IF(X296="","",MROUND(T296*X296,'Start-Options'!$B$38)),"")</f>
        <v>55</v>
      </c>
      <c r="M331" s="27"/>
      <c r="N331" s="78">
        <f>IF(S289="Boring But Big",10,"")</f>
        <v>10</v>
      </c>
      <c r="O331" s="151"/>
      <c r="P331" s="219"/>
      <c r="Q331" s="224"/>
      <c r="R331" s="27"/>
      <c r="S331" s="27"/>
      <c r="T331" s="27"/>
      <c r="U331" s="27"/>
      <c r="V331" s="27"/>
      <c r="W331" s="27"/>
      <c r="X331" s="27"/>
      <c r="Y331" s="27"/>
      <c r="Z331" s="27"/>
      <c r="AA331" s="27"/>
    </row>
    <row r="332" ht="13.5" customHeight="1">
      <c r="A332" s="176"/>
      <c r="B332" s="225"/>
      <c r="C332" s="226">
        <f>IF(S289="Boring But Big",IF(W296="","",MROUND(T296*W296,'Start-Options'!$B$38)),"")</f>
        <v>82.5</v>
      </c>
      <c r="D332" s="247"/>
      <c r="E332" s="248">
        <v>5.0</v>
      </c>
      <c r="F332" s="228"/>
      <c r="G332" s="228"/>
      <c r="H332" s="229"/>
      <c r="I332" s="158"/>
      <c r="J332" s="225"/>
      <c r="K332" s="225"/>
      <c r="L332" s="226">
        <f>IF(S289="Boring But Big",IF(X296="","",MROUND(T296*X296,'Start-Options'!$B$38)),"")</f>
        <v>55</v>
      </c>
      <c r="M332" s="158"/>
      <c r="N332" s="227">
        <f>IF(S289="Boring But Big",10,"")</f>
        <v>10</v>
      </c>
      <c r="O332" s="229"/>
      <c r="P332" s="228"/>
      <c r="Q332" s="230"/>
      <c r="R332" s="27"/>
      <c r="S332" s="27"/>
      <c r="T332" s="27"/>
      <c r="U332" s="27"/>
      <c r="V332" s="27"/>
      <c r="W332" s="27"/>
      <c r="X332" s="27"/>
      <c r="Y332" s="27"/>
      <c r="Z332" s="27"/>
      <c r="AA332" s="27"/>
    </row>
    <row r="333" ht="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ht="21.0" customHeight="1">
      <c r="A334" s="168"/>
      <c r="B334" s="27"/>
      <c r="C334" s="27"/>
      <c r="D334" s="27"/>
      <c r="E334" s="27"/>
      <c r="F334" s="27"/>
      <c r="G334" s="27"/>
      <c r="H334" s="27"/>
      <c r="I334" s="169" t="s">
        <v>136</v>
      </c>
      <c r="J334" s="27"/>
      <c r="K334" s="27"/>
      <c r="L334" s="27"/>
      <c r="M334" s="27"/>
      <c r="N334" s="27"/>
      <c r="O334" s="27"/>
      <c r="P334" s="27"/>
      <c r="Q334" s="27"/>
      <c r="R334" s="27"/>
      <c r="S334" s="27"/>
      <c r="T334" s="27"/>
      <c r="U334" s="27"/>
      <c r="V334" s="27"/>
      <c r="W334" s="27"/>
      <c r="X334" s="27"/>
      <c r="Y334" s="231"/>
      <c r="Z334" s="231"/>
      <c r="AA334" s="27"/>
    </row>
    <row r="335" ht="12.75" customHeight="1">
      <c r="A335" s="170" t="s">
        <v>269</v>
      </c>
      <c r="B335" s="171" t="s">
        <v>177</v>
      </c>
      <c r="C335" s="172"/>
      <c r="D335" s="172"/>
      <c r="E335" s="173"/>
      <c r="F335" s="171" t="s">
        <v>178</v>
      </c>
      <c r="G335" s="172"/>
      <c r="H335" s="173"/>
      <c r="I335" s="91"/>
      <c r="J335" s="174" t="s">
        <v>270</v>
      </c>
      <c r="K335" s="171" t="s">
        <v>177</v>
      </c>
      <c r="L335" s="172"/>
      <c r="M335" s="172"/>
      <c r="N335" s="173"/>
      <c r="O335" s="171" t="s">
        <v>178</v>
      </c>
      <c r="P335" s="172"/>
      <c r="Q335" s="94"/>
      <c r="R335" s="27"/>
      <c r="S335" s="70" t="s">
        <v>180</v>
      </c>
      <c r="T335" s="175"/>
      <c r="U335" s="71"/>
      <c r="V335" s="27"/>
      <c r="W335" s="27"/>
      <c r="X335" s="27"/>
      <c r="Y335" s="27"/>
      <c r="Z335" s="27"/>
      <c r="AA335" s="27"/>
    </row>
    <row r="336" ht="13.5" customHeight="1">
      <c r="A336" s="176"/>
      <c r="B336" s="177" t="s">
        <v>181</v>
      </c>
      <c r="C336" s="178" t="s">
        <v>26</v>
      </c>
      <c r="D336" s="178"/>
      <c r="E336" s="178" t="s">
        <v>27</v>
      </c>
      <c r="F336" s="178" t="s">
        <v>182</v>
      </c>
      <c r="G336" s="178" t="s">
        <v>183</v>
      </c>
      <c r="H336" s="179" t="s">
        <v>26</v>
      </c>
      <c r="I336" s="27"/>
      <c r="J336" s="180"/>
      <c r="K336" s="177" t="s">
        <v>181</v>
      </c>
      <c r="L336" s="178" t="s">
        <v>26</v>
      </c>
      <c r="M336" s="178"/>
      <c r="N336" s="178" t="s">
        <v>27</v>
      </c>
      <c r="O336" s="178" t="s">
        <v>182</v>
      </c>
      <c r="P336" s="179" t="s">
        <v>183</v>
      </c>
      <c r="Q336" s="181" t="s">
        <v>26</v>
      </c>
      <c r="R336" s="27"/>
      <c r="S336" s="182" t="s">
        <v>184</v>
      </c>
      <c r="T336" s="41"/>
      <c r="U336" s="42"/>
      <c r="V336" s="27"/>
      <c r="W336" s="27"/>
      <c r="X336" s="27"/>
      <c r="Y336" s="27"/>
      <c r="Z336" s="27"/>
      <c r="AA336" s="27"/>
    </row>
    <row r="337" ht="12.75" customHeight="1">
      <c r="A337" s="233" t="s">
        <v>36</v>
      </c>
      <c r="B337" s="184" t="str">
        <f>IF(S336="Accessory Only","",IF(S336="Boring But Big",'Start-Options'!$B$4,T350))</f>
        <v>Military</v>
      </c>
      <c r="C337" s="27">
        <f>IF(S336="Accessory Only","",IF(S336="Boring But Big",IF(U340="","",MROUND(T340*U340,'Start-Options'!$B$38)),IF(T346=531,MROUND(U350*0.5,'Start-Options'!$B$38),MROUND(U350*0.6,'Start-Options'!$B$38))))</f>
        <v>45</v>
      </c>
      <c r="D337" s="27"/>
      <c r="E337" s="78">
        <f>IF(S336="Accessory Only","",IF(S336="Boring But Big",10,IF(T346=531,10,8)))</f>
        <v>10</v>
      </c>
      <c r="F337" s="220"/>
      <c r="G337" s="220"/>
      <c r="H337" s="186"/>
      <c r="I337" s="77"/>
      <c r="J337" s="249" t="s">
        <v>36</v>
      </c>
      <c r="K337" s="184" t="str">
        <f>IF(S336="Accessory Only","",IF(S336="Boring But Big",'Start-Options'!$B$4,T350))</f>
        <v>Military</v>
      </c>
      <c r="L337" s="27">
        <f>IF(S336="Accessory Only","",IF(S336="Boring But Big",IF(V340="","",MROUND(T340*V340,'Start-Options'!$B$38)),IF(T346=531,MROUND(U350*0.6,'Start-Options'!$B$38),MROUND(U350*0.5,'Start-Options'!$B$38))))</f>
        <v>47.5</v>
      </c>
      <c r="M337" s="241"/>
      <c r="N337" s="242">
        <v>8.0</v>
      </c>
      <c r="O337" s="220"/>
      <c r="P337" s="220"/>
      <c r="Q337" s="222"/>
      <c r="R337" s="27"/>
      <c r="S337" s="27"/>
      <c r="T337" s="27"/>
      <c r="U337" s="27"/>
      <c r="V337" s="27"/>
      <c r="W337" s="27"/>
      <c r="X337" s="27"/>
      <c r="Y337" s="27"/>
      <c r="Z337" s="27"/>
      <c r="AA337" s="27"/>
    </row>
    <row r="338" ht="12.75" customHeight="1">
      <c r="A338" s="188"/>
      <c r="B338" s="189"/>
      <c r="C338" s="190">
        <f>IF(S336="Accessory Only","",IF(S336="Boring But Big",IF(U340="","",MROUND(T340*U340,'Start-Options'!$B$38)),IF(T346=531,MROUND(U350*0.6,'Start-Options'!$B$38),MROUND(U350*0.7,'Start-Options'!$B$38))))</f>
        <v>45</v>
      </c>
      <c r="D338" s="27"/>
      <c r="E338" s="78">
        <f>IF(S336="Accessory Only","",IF(S336="Boring But Big",10,IF(T346=531,10,8)))</f>
        <v>10</v>
      </c>
      <c r="F338" s="219"/>
      <c r="G338" s="219"/>
      <c r="H338" s="191"/>
      <c r="I338" s="27"/>
      <c r="J338" s="189"/>
      <c r="K338" s="189"/>
      <c r="L338" s="190">
        <f>IF(S336="Accessory Only","",IF(S336="Boring But Big",IF(V340="","",MROUND(T340*V340,'Start-Options'!$B$38)),IF(T346=531,MROUND(U350*0.7,'Start-Options'!$B$38),MROUND(U350*0.6,'Start-Options'!$B$38))))</f>
        <v>47.5</v>
      </c>
      <c r="M338" s="241"/>
      <c r="N338" s="242">
        <v>8.0</v>
      </c>
      <c r="O338" s="219"/>
      <c r="P338" s="219"/>
      <c r="Q338" s="201"/>
      <c r="R338" s="27"/>
      <c r="S338" s="70" t="s">
        <v>184</v>
      </c>
      <c r="T338" s="175"/>
      <c r="U338" s="175"/>
      <c r="V338" s="175"/>
      <c r="W338" s="175"/>
      <c r="X338" s="71"/>
      <c r="Y338" s="27"/>
      <c r="Z338" s="27"/>
      <c r="AA338" s="27"/>
    </row>
    <row r="339" ht="12.75" customHeight="1">
      <c r="A339" s="188"/>
      <c r="B339" s="189"/>
      <c r="C339" s="190">
        <f>IF(S336="Accessory Only","",IF(S336="Boring But Big",IF(U340="","",MROUND(T340*U340,'Start-Options'!$B$38)),IF(T346=531,MROUND(U350*0.7,'Start-Options'!$B$38),MROUND(U350*0.8,'Start-Options'!$B$38))))</f>
        <v>45</v>
      </c>
      <c r="D339" s="27"/>
      <c r="E339" s="78">
        <f>IF(S336="Accessory Only","",IF(S336="Boring But Big",10,IF(T346=531,10,6)))</f>
        <v>10</v>
      </c>
      <c r="F339" s="219"/>
      <c r="G339" s="219"/>
      <c r="H339" s="191"/>
      <c r="I339" s="27"/>
      <c r="J339" s="189"/>
      <c r="K339" s="189"/>
      <c r="L339" s="190">
        <f>IF(S336="Accessory Only","",IF(S336="Boring But Big",IF(V340="","",MROUND(T340*V340,'Start-Options'!$B$38)),IF(T346=531,MROUND(U350*0.8,'Start-Options'!$B$38),MROUND(U350*0.7,'Start-Options'!$B$38))))</f>
        <v>47.5</v>
      </c>
      <c r="M339" s="241"/>
      <c r="N339" s="242">
        <v>8.0</v>
      </c>
      <c r="O339" s="219"/>
      <c r="P339" s="219"/>
      <c r="Q339" s="201"/>
      <c r="R339" s="27"/>
      <c r="S339" s="25" t="s">
        <v>187</v>
      </c>
      <c r="T339" s="25" t="s">
        <v>28</v>
      </c>
      <c r="U339" s="25" t="s">
        <v>188</v>
      </c>
      <c r="V339" s="25" t="s">
        <v>189</v>
      </c>
      <c r="W339" s="192" t="s">
        <v>190</v>
      </c>
      <c r="X339" s="192" t="s">
        <v>191</v>
      </c>
      <c r="Y339" s="27"/>
      <c r="Z339" s="27"/>
      <c r="AA339" s="27"/>
    </row>
    <row r="340" ht="12.75" customHeight="1">
      <c r="A340" s="188"/>
      <c r="B340" s="189"/>
      <c r="C340" s="27">
        <f>IF(S336="Boring But Big",IF(U340="","",MROUND(T340*U340,'Start-Options'!$B$38)),"")</f>
        <v>45</v>
      </c>
      <c r="D340" s="27"/>
      <c r="E340" s="78">
        <f>IF(S336="Boring But Big",10,"")</f>
        <v>10</v>
      </c>
      <c r="F340" s="219"/>
      <c r="G340" s="219"/>
      <c r="H340" s="191"/>
      <c r="I340" s="27"/>
      <c r="J340" s="189"/>
      <c r="K340" s="189"/>
      <c r="L340" s="27">
        <f>IF(S336="Boring But Big",IF(V340="","",MROUND(T340*V340,'Start-Options'!$B$38)),"")</f>
        <v>47.5</v>
      </c>
      <c r="M340" s="241"/>
      <c r="N340" s="242">
        <v>8.0</v>
      </c>
      <c r="O340" s="219"/>
      <c r="P340" s="219"/>
      <c r="Q340" s="201"/>
      <c r="R340" s="27"/>
      <c r="S340" s="25" t="s">
        <v>30</v>
      </c>
      <c r="T340" s="25">
        <f>'531'!Z125</f>
        <v>67.5</v>
      </c>
      <c r="U340" s="250">
        <v>0.65</v>
      </c>
      <c r="V340" s="250">
        <v>0.7</v>
      </c>
      <c r="W340" s="251">
        <v>0.75</v>
      </c>
      <c r="X340" s="251">
        <v>0.5</v>
      </c>
      <c r="Y340" s="27"/>
      <c r="Z340" s="27"/>
      <c r="AA340" s="27"/>
    </row>
    <row r="341" ht="12.75" customHeight="1">
      <c r="A341" s="194"/>
      <c r="B341" s="195"/>
      <c r="C341" s="27">
        <f>IF(S336="Boring But Big",IF(U340="","",MROUND(T340*U340,'Start-Options'!$B$38)),"")</f>
        <v>45</v>
      </c>
      <c r="D341" s="27"/>
      <c r="E341" s="78">
        <f>IF(S336="Boring But Big",10,"")</f>
        <v>10</v>
      </c>
      <c r="F341" s="154"/>
      <c r="G341" s="154"/>
      <c r="H341" s="155"/>
      <c r="I341" s="27"/>
      <c r="J341" s="195"/>
      <c r="K341" s="195"/>
      <c r="L341" s="27">
        <f>IF(S336="Boring But Big",IF(V340="","",MROUND(T340*V340,'Start-Options'!$B$38)),"")</f>
        <v>47.5</v>
      </c>
      <c r="M341" s="241"/>
      <c r="N341" s="242">
        <v>8.0</v>
      </c>
      <c r="O341" s="154"/>
      <c r="P341" s="154"/>
      <c r="Q341" s="206"/>
      <c r="R341" s="27"/>
      <c r="S341" s="25" t="s">
        <v>31</v>
      </c>
      <c r="T341" s="25">
        <f>'531'!Z126</f>
        <v>145</v>
      </c>
      <c r="U341" s="250">
        <v>0.65</v>
      </c>
      <c r="V341" s="250">
        <v>0.7</v>
      </c>
      <c r="W341" s="251">
        <v>0.75</v>
      </c>
      <c r="X341" s="250">
        <v>0.5</v>
      </c>
      <c r="Y341" s="27"/>
      <c r="Z341" s="27"/>
      <c r="AA341" s="27"/>
    </row>
    <row r="342" ht="12.75" customHeight="1">
      <c r="A342" s="234" t="s">
        <v>262</v>
      </c>
      <c r="B342" s="197" t="str">
        <f>IF(S336="Accessory Only","",IF(S336="Boring But Big",'Start-Options'!$B$5,T351))</f>
        <v>Deadlift</v>
      </c>
      <c r="C342" s="198">
        <f>IF(S336="Accessory Only","",IF(S336="Boring But Big",IF(U341="","",MROUND(T341*U341,'Start-Options'!$B$38)),IF(T346=531,MROUND(U351*0.5,'Start-Options'!$B$38),MROUND(U351*0.6,'Start-Options'!$B$38))))</f>
        <v>95</v>
      </c>
      <c r="D342" s="198"/>
      <c r="E342" s="199">
        <f>IF(S336="Accessory Only","",IF(S336="Boring But Big",10,IF(T346=531,10,8)))</f>
        <v>10</v>
      </c>
      <c r="F342" s="185"/>
      <c r="G342" s="185"/>
      <c r="H342" s="200"/>
      <c r="I342" s="27"/>
      <c r="J342" s="252" t="s">
        <v>44</v>
      </c>
      <c r="K342" s="197" t="str">
        <f>IF(S336="Accessory Only","",IF(S336="Boring But Big",'Start-Options'!$B$5,T351))</f>
        <v>Deadlift</v>
      </c>
      <c r="L342" s="198">
        <f>IF(S336="Accessory Only","",IF(S336="Boring But Big",IF(V341="","",MROUND(T341*V341,'Start-Options'!$B$38)),IF(T346=531,MROUND(U351*0.6,'Start-Options'!$B$38),MROUND(U351*0.5,'Start-Options'!$B$38))))</f>
        <v>102.5</v>
      </c>
      <c r="M342" s="243"/>
      <c r="N342" s="244">
        <v>8.0</v>
      </c>
      <c r="O342" s="185"/>
      <c r="P342" s="185"/>
      <c r="Q342" s="187"/>
      <c r="R342" s="27"/>
      <c r="S342" s="25" t="s">
        <v>32</v>
      </c>
      <c r="T342" s="25">
        <f>'531'!Z127</f>
        <v>87.5</v>
      </c>
      <c r="U342" s="250">
        <v>0.65</v>
      </c>
      <c r="V342" s="250">
        <v>0.7</v>
      </c>
      <c r="W342" s="251">
        <v>0.75</v>
      </c>
      <c r="X342" s="193">
        <v>0.5</v>
      </c>
      <c r="Y342" s="27"/>
      <c r="Z342" s="27"/>
      <c r="AA342" s="27"/>
    </row>
    <row r="343" ht="12.75" customHeight="1">
      <c r="A343" s="188"/>
      <c r="B343" s="189"/>
      <c r="C343" s="190">
        <f>IF(S336="Accessory Only","",IF(S336="Boring But Big",IF(U341="","",MROUND(T341*U341,'Start-Options'!$B$38)),IF(T346=531,MROUND(U351*0.6,'Start-Options'!$B$38),MROUND(U351*0.7,'Start-Options'!$B$38))))</f>
        <v>95</v>
      </c>
      <c r="D343" s="27"/>
      <c r="E343" s="78">
        <f>IF(S336="Accessory Only","",IF(S336="Boring But Big",10,IF(T346=531,10,8)))</f>
        <v>10</v>
      </c>
      <c r="F343" s="219"/>
      <c r="G343" s="219"/>
      <c r="H343" s="191"/>
      <c r="I343" s="27"/>
      <c r="J343" s="189"/>
      <c r="K343" s="189"/>
      <c r="L343" s="190">
        <f>IF(S336="Accessory Only","",IF(S336="Boring But Big",IF(V341="","",MROUND(T341*V341,'Start-Options'!$B$38)),IF(T346=531,MROUND(U351*0.7,'Start-Options'!$B$38),MROUND(U351*0.6,'Start-Options'!$B$38))))</f>
        <v>102.5</v>
      </c>
      <c r="M343" s="241"/>
      <c r="N343" s="242">
        <v>8.0</v>
      </c>
      <c r="O343" s="219"/>
      <c r="P343" s="219"/>
      <c r="Q343" s="201"/>
      <c r="R343" s="27"/>
      <c r="S343" s="25" t="s">
        <v>194</v>
      </c>
      <c r="T343" s="25">
        <f>'531'!Z128</f>
        <v>115</v>
      </c>
      <c r="U343" s="250">
        <v>0.65</v>
      </c>
      <c r="V343" s="250">
        <v>0.7</v>
      </c>
      <c r="W343" s="251">
        <v>0.75</v>
      </c>
      <c r="X343" s="253">
        <v>0.5</v>
      </c>
      <c r="Y343" s="27"/>
      <c r="Z343" s="27"/>
      <c r="AA343" s="27"/>
    </row>
    <row r="344" ht="12.75" customHeight="1">
      <c r="A344" s="188"/>
      <c r="B344" s="189"/>
      <c r="C344" s="190">
        <f>IF(S336="Accessory Only","",IF(S336="Boring But Big",IF(U341="","",MROUND(T341*U341,'Start-Options'!$B$38)),IF(T346=531,MROUND(U351*0.7,'Start-Options'!$B$38),MROUND(U351*0.8,'Start-Options'!$B$38))))</f>
        <v>95</v>
      </c>
      <c r="D344" s="27"/>
      <c r="E344" s="78">
        <f>IF(S336="Accessory Only","",IF(S336="Boring But Big",10,IF(T346=531,10,6)))</f>
        <v>10</v>
      </c>
      <c r="F344" s="219"/>
      <c r="G344" s="219"/>
      <c r="H344" s="191"/>
      <c r="I344" s="27"/>
      <c r="J344" s="189"/>
      <c r="K344" s="189"/>
      <c r="L344" s="190">
        <f>IF(S336="Accessory Only","",IF(S336="Boring But Big",IF(V341="","",MROUND(T341*V341,'Start-Options'!$B$38)),IF(T346=531,MROUND(U351*0.8,'Start-Options'!$B$38),MROUND(U351*0.7,'Start-Options'!$B$38))))</f>
        <v>102.5</v>
      </c>
      <c r="M344" s="241"/>
      <c r="N344" s="242">
        <v>8.0</v>
      </c>
      <c r="O344" s="219"/>
      <c r="P344" s="219"/>
      <c r="Q344" s="201"/>
      <c r="R344" s="27"/>
      <c r="S344" s="27"/>
      <c r="T344" s="27"/>
      <c r="U344" s="27"/>
      <c r="V344" s="27"/>
      <c r="W344" s="27"/>
      <c r="X344" s="27"/>
      <c r="Y344" s="27"/>
      <c r="Z344" s="27"/>
      <c r="AA344" s="27"/>
    </row>
    <row r="345" ht="12.75" customHeight="1">
      <c r="A345" s="188"/>
      <c r="B345" s="189"/>
      <c r="C345" s="27">
        <f>IF(S336="Boring But Big",IF(U341="","",MROUND(T341*U341,'Start-Options'!$B$38)),"")</f>
        <v>95</v>
      </c>
      <c r="D345" s="27"/>
      <c r="E345" s="78">
        <f>IF(S336="Boring But Big",10,"")</f>
        <v>10</v>
      </c>
      <c r="F345" s="219"/>
      <c r="G345" s="219"/>
      <c r="H345" s="191"/>
      <c r="I345" s="27"/>
      <c r="J345" s="189"/>
      <c r="K345" s="189"/>
      <c r="L345" s="27">
        <f>IF(S336="Boring But Big",IF(V341="","",MROUND(T341*V341,'Start-Options'!$B$38)),"")</f>
        <v>102.5</v>
      </c>
      <c r="M345" s="241"/>
      <c r="N345" s="242">
        <v>8.0</v>
      </c>
      <c r="O345" s="219"/>
      <c r="P345" s="219"/>
      <c r="Q345" s="201"/>
      <c r="R345" s="27"/>
      <c r="S345" s="70" t="s">
        <v>204</v>
      </c>
      <c r="T345" s="71"/>
      <c r="U345" s="27"/>
      <c r="V345" s="27"/>
      <c r="W345" s="27"/>
      <c r="X345" s="27"/>
      <c r="Y345" s="27"/>
      <c r="Z345" s="27"/>
      <c r="AA345" s="27"/>
    </row>
    <row r="346" ht="12.75" customHeight="1">
      <c r="A346" s="188"/>
      <c r="B346" s="195"/>
      <c r="C346" s="27">
        <f>IF(S336="Boring But Big",IF(U341="","",MROUND(T341*U341,'Start-Options'!$B$38)),"")</f>
        <v>95</v>
      </c>
      <c r="D346" s="27"/>
      <c r="E346" s="78">
        <f>IF(S336="Boring But Big",10,"")</f>
        <v>10</v>
      </c>
      <c r="F346" s="154"/>
      <c r="G346" s="154"/>
      <c r="H346" s="155"/>
      <c r="I346" s="27"/>
      <c r="J346" s="189"/>
      <c r="K346" s="195"/>
      <c r="L346" s="27">
        <f>IF(S336="Boring But Big",IF(V341="","",MROUND(T341*V341,'Start-Options'!$B$38)),"")</f>
        <v>102.5</v>
      </c>
      <c r="M346" s="241"/>
      <c r="N346" s="242">
        <v>8.0</v>
      </c>
      <c r="O346" s="154"/>
      <c r="P346" s="154"/>
      <c r="Q346" s="206"/>
      <c r="R346" s="27"/>
      <c r="S346" s="25" t="s">
        <v>205</v>
      </c>
      <c r="T346" s="28">
        <v>531.0</v>
      </c>
      <c r="U346" s="27"/>
      <c r="V346" s="27"/>
      <c r="W346" s="27"/>
      <c r="X346" s="27"/>
      <c r="Y346" s="27"/>
      <c r="Z346" s="27"/>
      <c r="AA346" s="27"/>
    </row>
    <row r="347" ht="12.75" customHeight="1">
      <c r="A347" s="234" t="s">
        <v>48</v>
      </c>
      <c r="B347" s="197" t="str">
        <f>IF(S336="Accessory Only","",IF(S336="Boring But Big",'Start-Options'!$B$6,T352))</f>
        <v>Bench</v>
      </c>
      <c r="C347" s="198">
        <f>IF(S336="Accessory Only","",IF(S336="Boring But Big",IF(U342="","",MROUND(T342*U342,'Start-Options'!$B$38)),IF(T346=531,MROUND(U352*0.5,'Start-Options'!$B$38),MROUND(U352*0.6,'Start-Options'!$B$38))))</f>
        <v>57.5</v>
      </c>
      <c r="D347" s="198"/>
      <c r="E347" s="199">
        <f>IF(S336="Accessory Only","",IF(S336="Boring But Big",10,IF(T346=531,10,8)))</f>
        <v>10</v>
      </c>
      <c r="F347" s="185"/>
      <c r="G347" s="185"/>
      <c r="H347" s="200"/>
      <c r="I347" s="27"/>
      <c r="J347" s="252" t="s">
        <v>48</v>
      </c>
      <c r="K347" s="197" t="str">
        <f>IF(S336="Accessory Only","",IF(S336="Boring But Big",'Start-Options'!$B$6,T352))</f>
        <v>Bench</v>
      </c>
      <c r="L347" s="198">
        <f>IF(S336="Accessory Only","",IF(S336="Boring But Big",IF(V342="","",MROUND(T342*V342,'Start-Options'!$B$38)),IF(T346=531,MROUND(U352*0.6,'Start-Options'!$B$38),MROUND(U352*0.5,'Start-Options'!$B$38))))</f>
        <v>62.5</v>
      </c>
      <c r="M347" s="243"/>
      <c r="N347" s="244">
        <v>8.0</v>
      </c>
      <c r="O347" s="185"/>
      <c r="P347" s="185"/>
      <c r="Q347" s="187"/>
      <c r="R347" s="27"/>
      <c r="S347" s="27"/>
      <c r="T347" s="27"/>
      <c r="U347" s="27"/>
      <c r="V347" s="27"/>
      <c r="W347" s="27"/>
      <c r="X347" s="27"/>
      <c r="Y347" s="27"/>
      <c r="Z347" s="27"/>
      <c r="AA347" s="27"/>
    </row>
    <row r="348" ht="12.75" customHeight="1">
      <c r="A348" s="188"/>
      <c r="B348" s="189"/>
      <c r="C348" s="190">
        <f>IF(S336="Accessory Only","",IF(S336="Boring But Big",IF(U342="","",MROUND(T342*U342,'Start-Options'!$B$38)),IF(T346=531,MROUND(U352*0.6,'Start-Options'!$B$38),MROUND(U352*0.7,'Start-Options'!$B$38))))</f>
        <v>57.5</v>
      </c>
      <c r="D348" s="27"/>
      <c r="E348" s="78">
        <f>IF(S336="Accessory Only","",IF(S336="Boring But Big",10,IF(T346=531,10,8)))</f>
        <v>10</v>
      </c>
      <c r="F348" s="219"/>
      <c r="G348" s="219"/>
      <c r="H348" s="191"/>
      <c r="I348" s="27"/>
      <c r="J348" s="189"/>
      <c r="K348" s="189"/>
      <c r="L348" s="190">
        <f>IF(S336="Accessory Only","",IF(S336="Boring But Big",IF(V342="","",MROUND(T342*V342,'Start-Options'!$B$38)),IF(T346=531,MROUND(U352*0.7,'Start-Options'!$B$38),MROUND(U352*0.6,'Start-Options'!$B$38))))</f>
        <v>62.5</v>
      </c>
      <c r="M348" s="241"/>
      <c r="N348" s="242">
        <v>8.0</v>
      </c>
      <c r="O348" s="219"/>
      <c r="P348" s="219"/>
      <c r="Q348" s="201"/>
      <c r="R348" s="27"/>
      <c r="S348" s="70" t="s">
        <v>204</v>
      </c>
      <c r="T348" s="175"/>
      <c r="U348" s="71"/>
      <c r="V348" s="27"/>
      <c r="W348" s="27"/>
      <c r="X348" s="27"/>
      <c r="Y348" s="27"/>
      <c r="Z348" s="27"/>
      <c r="AA348" s="27"/>
    </row>
    <row r="349" ht="12.75" customHeight="1">
      <c r="A349" s="188"/>
      <c r="B349" s="189"/>
      <c r="C349" s="190">
        <f>IF(S336="Accessory Only","",IF(S336="Boring But Big",IF(U342="","",MROUND(T342*U342,'Start-Options'!$B$38)),IF(T346=531,MROUND(U352*0.7,'Start-Options'!$B$38),MROUND(U352*0.8,'Start-Options'!$B$38))))</f>
        <v>57.5</v>
      </c>
      <c r="D349" s="27"/>
      <c r="E349" s="78">
        <f>IF(S336="Accessory Only","",IF(S336="Boring But Big",10,IF(T346=531,10,6)))</f>
        <v>10</v>
      </c>
      <c r="F349" s="219"/>
      <c r="G349" s="219"/>
      <c r="H349" s="191"/>
      <c r="I349" s="27"/>
      <c r="J349" s="189"/>
      <c r="K349" s="189"/>
      <c r="L349" s="190">
        <f>IF(S336="Accessory Only","",IF(S336="Boring But Big",IF(V342="","",MROUND(T342*V342,'Start-Options'!$B$38)),IF(T346=531,MROUND(U352*0.8,'Start-Options'!$B$38),MROUND(U352*0.7,'Start-Options'!$B$38))))</f>
        <v>62.5</v>
      </c>
      <c r="M349" s="241"/>
      <c r="N349" s="242">
        <v>8.0</v>
      </c>
      <c r="O349" s="219"/>
      <c r="P349" s="219"/>
      <c r="Q349" s="201"/>
      <c r="R349" s="27"/>
      <c r="S349" s="25"/>
      <c r="T349" s="223" t="s">
        <v>182</v>
      </c>
      <c r="U349" s="223" t="s">
        <v>28</v>
      </c>
      <c r="V349" s="27"/>
      <c r="W349" s="27"/>
      <c r="X349" s="27"/>
      <c r="Y349" s="27"/>
      <c r="Z349" s="27"/>
      <c r="AA349" s="27"/>
    </row>
    <row r="350" ht="12.75" customHeight="1">
      <c r="A350" s="188"/>
      <c r="B350" s="189"/>
      <c r="C350" s="27">
        <f>IF(S336="Boring But Big",IF(U342="","",MROUND(T342*U342,'Start-Options'!$B$38)),"")</f>
        <v>57.5</v>
      </c>
      <c r="D350" s="27"/>
      <c r="E350" s="27">
        <f>IF(S336="Boring But Big",10,"")</f>
        <v>10</v>
      </c>
      <c r="F350" s="219"/>
      <c r="G350" s="219"/>
      <c r="H350" s="207"/>
      <c r="I350" s="77"/>
      <c r="J350" s="189"/>
      <c r="K350" s="189"/>
      <c r="L350" s="27">
        <f>IF(S336="Boring But Big",IF(V342="","",MROUND(T342*V342,'Start-Options'!$B$38)),"")</f>
        <v>62.5</v>
      </c>
      <c r="M350" s="241"/>
      <c r="N350" s="242">
        <v>8.0</v>
      </c>
      <c r="O350" s="219"/>
      <c r="P350" s="219"/>
      <c r="Q350" s="201"/>
      <c r="R350" s="27"/>
      <c r="S350" s="77" t="s">
        <v>36</v>
      </c>
      <c r="T350" s="147" t="s">
        <v>208</v>
      </c>
      <c r="U350" s="147">
        <v>100.0</v>
      </c>
      <c r="V350" s="27"/>
      <c r="W350" s="27"/>
      <c r="X350" s="27"/>
      <c r="Y350" s="27"/>
      <c r="Z350" s="27"/>
      <c r="AA350" s="27"/>
    </row>
    <row r="351" ht="12.75" customHeight="1">
      <c r="A351" s="194"/>
      <c r="B351" s="195"/>
      <c r="C351" s="27">
        <f>IF(S336="Boring But Big",IF(U342="","",MROUND(T342*U342,'Start-Options'!$B$38)),"")</f>
        <v>57.5</v>
      </c>
      <c r="D351" s="27"/>
      <c r="E351" s="78">
        <f>IF(S336="Boring But Big",10,"")</f>
        <v>10</v>
      </c>
      <c r="F351" s="154"/>
      <c r="G351" s="154"/>
      <c r="H351" s="155"/>
      <c r="I351" s="27"/>
      <c r="J351" s="195"/>
      <c r="K351" s="195"/>
      <c r="L351" s="27">
        <f>IF(S336="Boring But Big",IF(V342="","",MROUND(T342*V342,'Start-Options'!$B$38)),"")</f>
        <v>62.5</v>
      </c>
      <c r="M351" s="241"/>
      <c r="N351" s="242">
        <v>8.0</v>
      </c>
      <c r="O351" s="154"/>
      <c r="P351" s="154"/>
      <c r="Q351" s="206"/>
      <c r="R351" s="27"/>
      <c r="S351" s="25" t="s">
        <v>44</v>
      </c>
      <c r="T351" s="162" t="s">
        <v>210</v>
      </c>
      <c r="U351" s="162">
        <v>100.0</v>
      </c>
      <c r="V351" s="27"/>
      <c r="W351" s="27"/>
      <c r="X351" s="27"/>
      <c r="Y351" s="27"/>
      <c r="Z351" s="27"/>
      <c r="AA351" s="27"/>
    </row>
    <row r="352" ht="12.75" customHeight="1">
      <c r="A352" s="234" t="s">
        <v>53</v>
      </c>
      <c r="B352" s="197" t="str">
        <f>IF(S336="Accessory Only","",IF(S336="Boring But Big",'Start-Options'!$B$7,T353))</f>
        <v>Squat</v>
      </c>
      <c r="C352" s="198">
        <f>IF(S336="Accessory Only","",IF(S336="Boring But Big",IF(U343="","",MROUND(T343*U343,'Start-Options'!$B$38)),IF(T346=531,MROUND(U353*0.5,'Start-Options'!$B$38),MROUND(U353*0.6,'Start-Options'!$B$38))))</f>
        <v>75</v>
      </c>
      <c r="D352" s="198"/>
      <c r="E352" s="199">
        <f>IF(S336="Accessory Only","",IF(S336="Boring But Big",10,IF(T346=531,10,8)))</f>
        <v>10</v>
      </c>
      <c r="F352" s="185"/>
      <c r="G352" s="185"/>
      <c r="H352" s="200"/>
      <c r="I352" s="27"/>
      <c r="J352" s="252" t="s">
        <v>53</v>
      </c>
      <c r="K352" s="197" t="str">
        <f>IF(S336="Accessory Only","",IF(S336="Boring But Big",'Start-Options'!$B$7,T353))</f>
        <v>Squat</v>
      </c>
      <c r="L352" s="198">
        <f>IF(S336="Accessory Only","",IF(S336="Boring But Big",IF(V343="","",MROUND(T343*V343,'Start-Options'!$B$38)),IF(T346=531,MROUND(U353*0.6,'Start-Options'!$B$38),MROUND(U353*0.5,'Start-Options'!$B$38))))</f>
        <v>80</v>
      </c>
      <c r="M352" s="243"/>
      <c r="N352" s="244">
        <v>8.0</v>
      </c>
      <c r="O352" s="185"/>
      <c r="P352" s="185"/>
      <c r="Q352" s="187"/>
      <c r="R352" s="27"/>
      <c r="S352" s="25" t="s">
        <v>48</v>
      </c>
      <c r="T352" s="162" t="s">
        <v>212</v>
      </c>
      <c r="U352" s="162">
        <v>100.0</v>
      </c>
      <c r="V352" s="27"/>
      <c r="W352" s="27"/>
      <c r="X352" s="27"/>
      <c r="Y352" s="27"/>
      <c r="Z352" s="27"/>
      <c r="AA352" s="27"/>
    </row>
    <row r="353" ht="12.75" customHeight="1">
      <c r="A353" s="188"/>
      <c r="B353" s="189"/>
      <c r="C353" s="190">
        <f>IF(S336="Accessory Only","",IF(S336="Boring But Big",IF(U343="","",MROUND(T343*U343,'Start-Options'!$B$38)),IF(T346=531,MROUND(U353*0.6,'Start-Options'!$B$38),MROUND(U353*0.7,'Start-Options'!$B$38))))</f>
        <v>75</v>
      </c>
      <c r="D353" s="27"/>
      <c r="E353" s="78">
        <f>IF(S336="Accessory Only","",IF(S336="Boring But Big",10,IF(T346=531,10,8)))</f>
        <v>10</v>
      </c>
      <c r="F353" s="219"/>
      <c r="G353" s="219"/>
      <c r="H353" s="191"/>
      <c r="I353" s="27"/>
      <c r="J353" s="189"/>
      <c r="K353" s="189"/>
      <c r="L353" s="190">
        <f>IF(S336="Accessory Only","",IF(S336="Boring But Big",IF(V343="","",MROUND(T343*V343,'Start-Options'!$B$38)),IF(T346=531,MROUND(U353*0.7,'Start-Options'!$B$38),MROUND(U353*0.6,'Start-Options'!$B$38))))</f>
        <v>80</v>
      </c>
      <c r="M353" s="241"/>
      <c r="N353" s="242">
        <v>8.0</v>
      </c>
      <c r="O353" s="219"/>
      <c r="P353" s="219"/>
      <c r="Q353" s="201"/>
      <c r="R353" s="27"/>
      <c r="S353" s="82" t="s">
        <v>53</v>
      </c>
      <c r="T353" s="155" t="s">
        <v>224</v>
      </c>
      <c r="U353" s="155">
        <v>100.0</v>
      </c>
      <c r="V353" s="27"/>
      <c r="W353" s="27"/>
      <c r="X353" s="27"/>
      <c r="Y353" s="27"/>
      <c r="Z353" s="27"/>
      <c r="AA353" s="27"/>
    </row>
    <row r="354" ht="12.75" customHeight="1">
      <c r="A354" s="188"/>
      <c r="B354" s="189"/>
      <c r="C354" s="190">
        <f>IF(S336="Accessory Only","",IF(S336="Boring But Big",IF(U343="","",MROUND(T343*U343,'Start-Options'!$B$38)),IF(T346=531,MROUND(U353*0.7,'Start-Options'!$B$38),MROUND(U353*0.8,'Start-Options'!$B$38))))</f>
        <v>75</v>
      </c>
      <c r="D354" s="27"/>
      <c r="E354" s="78">
        <f>IF(S336="Accessory Only","",IF(S336="Boring But Big",10,IF(T346=531,10,6)))</f>
        <v>10</v>
      </c>
      <c r="F354" s="219"/>
      <c r="G354" s="219"/>
      <c r="H354" s="191"/>
      <c r="I354" s="27"/>
      <c r="J354" s="189"/>
      <c r="K354" s="189"/>
      <c r="L354" s="190">
        <f>IF(S336="Accessory Only","",IF(S336="Boring But Big",IF(V343="","",MROUND(T343*V343,'Start-Options'!$B$38)),IF(T346=531,MROUND(U353*0.8,'Start-Options'!$B$38),MROUND(U353*0.7,'Start-Options'!$B$38))))</f>
        <v>80</v>
      </c>
      <c r="M354" s="241"/>
      <c r="N354" s="242">
        <v>8.0</v>
      </c>
      <c r="O354" s="219"/>
      <c r="P354" s="219"/>
      <c r="Q354" s="201"/>
      <c r="R354" s="27"/>
      <c r="S354" s="27"/>
      <c r="T354" s="27"/>
      <c r="U354" s="27"/>
      <c r="V354" s="27"/>
      <c r="W354" s="27"/>
      <c r="X354" s="27"/>
      <c r="Y354" s="27"/>
      <c r="Z354" s="27"/>
      <c r="AA354" s="27"/>
    </row>
    <row r="355" ht="12.75" customHeight="1">
      <c r="A355" s="188"/>
      <c r="B355" s="189"/>
      <c r="C355" s="27">
        <f>IF(S336="Boring But Big",IF(U343="","",MROUND(T343*U343,'Start-Options'!$B$38)),"")</f>
        <v>75</v>
      </c>
      <c r="D355" s="27"/>
      <c r="E355" s="78">
        <f>IF(S336="Boring But Big",10,"")</f>
        <v>10</v>
      </c>
      <c r="F355" s="219"/>
      <c r="G355" s="219"/>
      <c r="H355" s="191"/>
      <c r="I355" s="27"/>
      <c r="J355" s="189"/>
      <c r="K355" s="189"/>
      <c r="L355" s="27">
        <f>IF(S336="Boring But Big",IF(V343="","",MROUND(T343*V343,'Start-Options'!$B$38)),"")</f>
        <v>80</v>
      </c>
      <c r="M355" s="241"/>
      <c r="N355" s="242">
        <v>8.0</v>
      </c>
      <c r="O355" s="219"/>
      <c r="P355" s="219"/>
      <c r="Q355" s="201"/>
      <c r="R355" s="27"/>
      <c r="S355" s="27"/>
      <c r="T355" s="27"/>
      <c r="U355" s="27"/>
      <c r="V355" s="27"/>
      <c r="W355" s="27"/>
      <c r="X355" s="27"/>
      <c r="Y355" s="27"/>
      <c r="Z355" s="27"/>
      <c r="AA355" s="27"/>
    </row>
    <row r="356" ht="12.75" customHeight="1">
      <c r="A356" s="194"/>
      <c r="B356" s="195"/>
      <c r="C356" s="208">
        <f>IF(S336="Boring But Big",IF(U343="","",MROUND(T343*U343,'Start-Options'!$B$38)),"")</f>
        <v>75</v>
      </c>
      <c r="D356" s="49"/>
      <c r="E356" s="83">
        <f>IF(S336="Boring But Big",10,"")</f>
        <v>10</v>
      </c>
      <c r="F356" s="154"/>
      <c r="G356" s="154"/>
      <c r="H356" s="155"/>
      <c r="I356" s="27"/>
      <c r="J356" s="195"/>
      <c r="K356" s="195"/>
      <c r="L356" s="208">
        <f>IF(S336="Boring But Big",IF(V343="","",MROUND(T343*V343,'Start-Options'!$B$38)),"")</f>
        <v>80</v>
      </c>
      <c r="M356" s="245"/>
      <c r="N356" s="246">
        <v>8.0</v>
      </c>
      <c r="O356" s="154"/>
      <c r="P356" s="154"/>
      <c r="Q356" s="206"/>
      <c r="R356" s="27"/>
      <c r="S356" s="27"/>
      <c r="T356" s="27"/>
      <c r="U356" s="27"/>
      <c r="V356" s="27"/>
      <c r="W356" s="27"/>
      <c r="X356" s="27"/>
      <c r="Y356" s="27"/>
      <c r="Z356" s="27"/>
      <c r="AA356" s="27"/>
    </row>
    <row r="357" ht="12.75" customHeight="1">
      <c r="A357" s="168"/>
      <c r="B357" s="27"/>
      <c r="C357" s="27"/>
      <c r="D357" s="27"/>
      <c r="E357" s="27"/>
      <c r="F357" s="27"/>
      <c r="G357" s="27"/>
      <c r="H357" s="27"/>
      <c r="I357" s="27"/>
      <c r="J357" s="27"/>
      <c r="K357" s="27"/>
      <c r="L357" s="27"/>
      <c r="M357" s="27"/>
      <c r="N357" s="27"/>
      <c r="O357" s="27"/>
      <c r="P357" s="27"/>
      <c r="Q357" s="209"/>
      <c r="R357" s="27"/>
      <c r="S357" s="27"/>
      <c r="T357" s="27"/>
      <c r="U357" s="27"/>
      <c r="V357" s="27"/>
      <c r="W357" s="27"/>
      <c r="X357" s="27"/>
      <c r="Y357" s="27"/>
      <c r="Z357" s="27"/>
      <c r="AA357" s="27"/>
    </row>
    <row r="358" ht="12.75" customHeight="1">
      <c r="A358" s="210" t="s">
        <v>271</v>
      </c>
      <c r="B358" s="211" t="s">
        <v>177</v>
      </c>
      <c r="C358" s="41"/>
      <c r="D358" s="41"/>
      <c r="E358" s="42"/>
      <c r="F358" s="211" t="s">
        <v>178</v>
      </c>
      <c r="G358" s="41"/>
      <c r="H358" s="42"/>
      <c r="I358" s="27"/>
      <c r="J358" s="212" t="s">
        <v>272</v>
      </c>
      <c r="K358" s="211" t="s">
        <v>177</v>
      </c>
      <c r="L358" s="41"/>
      <c r="M358" s="41"/>
      <c r="N358" s="42"/>
      <c r="O358" s="211" t="s">
        <v>178</v>
      </c>
      <c r="P358" s="41"/>
      <c r="Q358" s="213"/>
      <c r="R358" s="27"/>
      <c r="S358" s="70" t="s">
        <v>93</v>
      </c>
      <c r="T358" s="71"/>
      <c r="U358" s="27"/>
      <c r="V358" s="27"/>
      <c r="W358" s="27"/>
      <c r="X358" s="27"/>
      <c r="Y358" s="27"/>
      <c r="Z358" s="27"/>
      <c r="AA358" s="27"/>
    </row>
    <row r="359" ht="12.75" customHeight="1">
      <c r="A359" s="194"/>
      <c r="B359" s="214" t="s">
        <v>181</v>
      </c>
      <c r="C359" s="215" t="s">
        <v>26</v>
      </c>
      <c r="D359" s="215"/>
      <c r="E359" s="215" t="s">
        <v>27</v>
      </c>
      <c r="F359" s="215" t="s">
        <v>182</v>
      </c>
      <c r="G359" s="216" t="s">
        <v>183</v>
      </c>
      <c r="H359" s="215" t="s">
        <v>26</v>
      </c>
      <c r="I359" s="27"/>
      <c r="J359" s="217"/>
      <c r="K359" s="214" t="s">
        <v>181</v>
      </c>
      <c r="L359" s="215" t="s">
        <v>26</v>
      </c>
      <c r="M359" s="215"/>
      <c r="N359" s="215" t="s">
        <v>27</v>
      </c>
      <c r="O359" s="215" t="s">
        <v>182</v>
      </c>
      <c r="P359" s="216" t="s">
        <v>183</v>
      </c>
      <c r="Q359" s="218" t="s">
        <v>26</v>
      </c>
      <c r="R359" s="27"/>
      <c r="S359" s="25" t="s">
        <v>94</v>
      </c>
      <c r="T359" s="162"/>
      <c r="U359" s="27"/>
      <c r="V359" s="27"/>
      <c r="W359" s="27"/>
      <c r="X359" s="27"/>
      <c r="Y359" s="27"/>
      <c r="Z359" s="27"/>
      <c r="AA359" s="27"/>
    </row>
    <row r="360" ht="12.75" customHeight="1">
      <c r="A360" s="234" t="s">
        <v>36</v>
      </c>
      <c r="B360" s="197" t="str">
        <f>IF(S336="Accessory Only","",IF(S336="Boring But Big",'Start-Options'!$B$4,T350))</f>
        <v>Military</v>
      </c>
      <c r="C360" s="198">
        <f>IF(S336="Accessory Only","",IF(S336="Boring But Big",IF(W340="","",MROUND(T340*W340,'Start-Options'!$B$38)),IF(T346=531,MROUND(U350*0.65,'Start-Options'!$B$38),MROUND(U350*0.65,'Start-Options'!$B$38))))</f>
        <v>50</v>
      </c>
      <c r="D360" s="243"/>
      <c r="E360" s="244">
        <v>5.0</v>
      </c>
      <c r="F360" s="185"/>
      <c r="G360" s="185"/>
      <c r="H360" s="200"/>
      <c r="I360" s="27"/>
      <c r="J360" s="252" t="s">
        <v>36</v>
      </c>
      <c r="K360" s="197" t="str">
        <f>IF(S336="Accessory Only","",IF(S336="Boring But Big",'Start-Options'!$B$4,T350))</f>
        <v>Military</v>
      </c>
      <c r="L360" s="198">
        <f>IF(S336="Accessory Only","",IF(S336="Boring But Big",IF(X340="","",MROUND(T340*X340,'Start-Options'!$B$38)),MROUND(U350*0.4,'Start-Options'!$B$38)))</f>
        <v>35</v>
      </c>
      <c r="M360" s="198"/>
      <c r="N360" s="199">
        <f>IF(S336="Accessory Only","",IF(S336="Boring But Big",10,5))</f>
        <v>10</v>
      </c>
      <c r="O360" s="185"/>
      <c r="P360" s="185"/>
      <c r="Q360" s="187"/>
      <c r="R360" s="27"/>
      <c r="S360" s="77" t="s">
        <v>95</v>
      </c>
      <c r="T360" s="78" t="str">
        <f>IF(T359="","",MROUND(T359*0.4,'Start-Options'!$B$38))</f>
        <v/>
      </c>
      <c r="U360" s="27"/>
      <c r="V360" s="27"/>
      <c r="W360" s="27"/>
      <c r="X360" s="27"/>
      <c r="Y360" s="27"/>
      <c r="Z360" s="27"/>
      <c r="AA360" s="27"/>
    </row>
    <row r="361" ht="12.75" customHeight="1">
      <c r="A361" s="188"/>
      <c r="B361" s="189"/>
      <c r="C361" s="190">
        <f>IF(S336="Accessory Only","",IF(S336="Boring But Big",IF(W340="","",MROUND(T340*W340,'Start-Options'!$B$38)),IF(T346=531,MROUND(U350*0.75,'Start-Options'!$B$38),MROUND(U350*0.75,'Start-Options'!$B$38))))</f>
        <v>50</v>
      </c>
      <c r="D361" s="241"/>
      <c r="E361" s="242">
        <v>5.0</v>
      </c>
      <c r="F361" s="219"/>
      <c r="G361" s="219"/>
      <c r="H361" s="191"/>
      <c r="I361" s="27"/>
      <c r="J361" s="189"/>
      <c r="K361" s="189"/>
      <c r="L361" s="190">
        <f>IF(S336="Accessory Only","",IF(S336="Boring But Big",IF(X340="","",MROUND(T340*X340,'Start-Options'!$B$38)),MROUND(U350*0.5,'Start-Options'!$B$38)))</f>
        <v>35</v>
      </c>
      <c r="M361" s="27"/>
      <c r="N361" s="78">
        <f>IF(S336="Accessory Only","",IF(S336="Boring But Big",10,5))</f>
        <v>10</v>
      </c>
      <c r="O361" s="220"/>
      <c r="P361" s="220"/>
      <c r="Q361" s="221"/>
      <c r="R361" s="27"/>
      <c r="S361" s="77" t="s">
        <v>96</v>
      </c>
      <c r="T361" s="78" t="str">
        <f>IF(T359="","",MROUND(T359*0.5,'Start-Options'!$B$38))</f>
        <v/>
      </c>
      <c r="U361" s="27"/>
      <c r="V361" s="27"/>
      <c r="W361" s="27"/>
      <c r="X361" s="27"/>
      <c r="Y361" s="27"/>
      <c r="Z361" s="27"/>
      <c r="AA361" s="27"/>
    </row>
    <row r="362" ht="12.75" customHeight="1">
      <c r="A362" s="188"/>
      <c r="B362" s="189"/>
      <c r="C362" s="190">
        <f>IF(S336="Accessory Only","",IF(S336="Boring But Big",IF(W340="","",MROUND(T340*W340,'Start-Options'!$B$38)),IF(T346=531,MROUND(U350*0.85,'Start-Options'!$B$38),MROUND(U350*0.85,'Start-Options'!$B$38))))</f>
        <v>50</v>
      </c>
      <c r="D362" s="241"/>
      <c r="E362" s="242">
        <v>5.0</v>
      </c>
      <c r="F362" s="219"/>
      <c r="G362" s="219"/>
      <c r="H362" s="191"/>
      <c r="I362" s="27"/>
      <c r="J362" s="189"/>
      <c r="K362" s="189"/>
      <c r="L362" s="190">
        <f>IF(S336="Accessory Only","",IF(S336="Boring But Big",IF(X340="","",MROUND(T340*X340,'Start-Options'!$B$38)),MROUND(U350*0.6,'Start-Options'!$B$38)))</f>
        <v>35</v>
      </c>
      <c r="M362" s="27"/>
      <c r="N362" s="78">
        <f>IF(S336="Accessory Only","",IF(S336="Boring But Big",10,5))</f>
        <v>10</v>
      </c>
      <c r="O362" s="220"/>
      <c r="P362" s="220"/>
      <c r="Q362" s="222"/>
      <c r="R362" s="27"/>
      <c r="S362" s="82" t="s">
        <v>97</v>
      </c>
      <c r="T362" s="83" t="str">
        <f>IF(T359="","",MROUND(T359*0.6,'Start-Options'!$B$38))</f>
        <v/>
      </c>
      <c r="U362" s="27"/>
      <c r="V362" s="27"/>
      <c r="W362" s="27"/>
      <c r="X362" s="27"/>
      <c r="Y362" s="27"/>
      <c r="Z362" s="27"/>
      <c r="AA362" s="27"/>
    </row>
    <row r="363" ht="12.75" customHeight="1">
      <c r="A363" s="188"/>
      <c r="B363" s="189"/>
      <c r="C363" s="27">
        <f>IF(S336="Boring But Big",IF(W340="","",MROUND(T340*W340,'Start-Options'!$B$38)),"")</f>
        <v>50</v>
      </c>
      <c r="D363" s="241"/>
      <c r="E363" s="242">
        <v>5.0</v>
      </c>
      <c r="F363" s="219"/>
      <c r="G363" s="219"/>
      <c r="H363" s="191"/>
      <c r="I363" s="27"/>
      <c r="J363" s="189"/>
      <c r="K363" s="189"/>
      <c r="L363" s="27">
        <f>IF(S336="Boring But Big",IF(X340="","",MROUND(T340*X340,'Start-Options'!$B$38)),"")</f>
        <v>35</v>
      </c>
      <c r="M363" s="27"/>
      <c r="N363" s="78">
        <f>IF(S336="Boring But Big",10,"")</f>
        <v>10</v>
      </c>
      <c r="O363" s="219"/>
      <c r="P363" s="219"/>
      <c r="Q363" s="201"/>
      <c r="R363" s="27"/>
      <c r="S363" s="27"/>
      <c r="T363" s="27"/>
      <c r="U363" s="27"/>
      <c r="V363" s="27"/>
      <c r="W363" s="27"/>
      <c r="X363" s="27"/>
      <c r="Y363" s="27"/>
      <c r="Z363" s="27"/>
      <c r="AA363" s="27"/>
    </row>
    <row r="364" ht="12.75" customHeight="1">
      <c r="A364" s="194"/>
      <c r="B364" s="195"/>
      <c r="C364" s="27">
        <f>IF(S336="Boring But Big",IF(W340="","",MROUND(T340*W340,'Start-Options'!$B$38)),"")</f>
        <v>50</v>
      </c>
      <c r="D364" s="241"/>
      <c r="E364" s="242">
        <v>5.0</v>
      </c>
      <c r="F364" s="154"/>
      <c r="G364" s="154"/>
      <c r="H364" s="155"/>
      <c r="I364" s="27"/>
      <c r="J364" s="195"/>
      <c r="K364" s="195"/>
      <c r="L364" s="27">
        <f>IF(S336="Boring But Big",IF(X340="","",MROUND(T340*X340,'Start-Options'!$B$38)),"")</f>
        <v>35</v>
      </c>
      <c r="M364" s="27"/>
      <c r="N364" s="78">
        <f>IF(S336="Boring But Big",10,"")</f>
        <v>10</v>
      </c>
      <c r="O364" s="154"/>
      <c r="P364" s="154"/>
      <c r="Q364" s="206"/>
      <c r="R364" s="27"/>
      <c r="S364" s="27"/>
      <c r="T364" s="27"/>
      <c r="U364" s="27"/>
      <c r="V364" s="27"/>
      <c r="W364" s="27"/>
      <c r="X364" s="27"/>
      <c r="Y364" s="27"/>
      <c r="Z364" s="27"/>
      <c r="AA364" s="27"/>
    </row>
    <row r="365" ht="12.75" customHeight="1">
      <c r="A365" s="234" t="s">
        <v>44</v>
      </c>
      <c r="B365" s="197" t="str">
        <f>IF(S336="Accessory Only","",IF(S336="Boring But Big",'Start-Options'!$B$5,T351))</f>
        <v>Deadlift</v>
      </c>
      <c r="C365" s="198">
        <f>IF(S336="Accessory Only","",IF(S336="Boring But Big",IF(W341="","",MROUND(T341*W341,'Start-Options'!$B$38)),IF(T346=531,MROUND(U351*0.65,'Start-Options'!$B$38),MROUND(U351*0.65,'Start-Options'!$B$38))))</f>
        <v>110</v>
      </c>
      <c r="D365" s="243"/>
      <c r="E365" s="244">
        <v>5.0</v>
      </c>
      <c r="F365" s="185"/>
      <c r="G365" s="185"/>
      <c r="H365" s="200"/>
      <c r="I365" s="27"/>
      <c r="J365" s="252" t="s">
        <v>44</v>
      </c>
      <c r="K365" s="197" t="str">
        <f>IF(S336="Accessory Only","",IF(S336="Boring But Big",'Start-Options'!$B$5,T351))</f>
        <v>Deadlift</v>
      </c>
      <c r="L365" s="198">
        <f>IF(S336="Accessory Only","",IF(S336="Boring But Big",IF(X341="","",MROUND(T341*X341,'Start-Options'!$B$38)),MROUND(U351*0.4,'Start-Options'!$B$38)))</f>
        <v>72.5</v>
      </c>
      <c r="M365" s="198"/>
      <c r="N365" s="199">
        <f>IF(S336="Accessory Only","",IF(S336="Boring But Big",10,5))</f>
        <v>10</v>
      </c>
      <c r="O365" s="185"/>
      <c r="P365" s="185"/>
      <c r="Q365" s="187"/>
      <c r="R365" s="27"/>
      <c r="S365" s="27"/>
      <c r="T365" s="27"/>
      <c r="U365" s="27"/>
      <c r="V365" s="27"/>
      <c r="W365" s="27"/>
      <c r="X365" s="27"/>
      <c r="Y365" s="27"/>
      <c r="Z365" s="27"/>
      <c r="AA365" s="27"/>
    </row>
    <row r="366" ht="12.75" customHeight="1">
      <c r="A366" s="188"/>
      <c r="B366" s="189"/>
      <c r="C366" s="190">
        <f>IF(S336="Accessory Only","",IF(S336="Boring But Big",IF(W341="","",MROUND(T341*W341,'Start-Options'!$B$38)),IF(T346=531,MROUND(U351*0.75,'Start-Options'!$B$38),MROUND(U351*0.75,'Start-Options'!$B$38))))</f>
        <v>110</v>
      </c>
      <c r="D366" s="241"/>
      <c r="E366" s="242">
        <v>5.0</v>
      </c>
      <c r="F366" s="219"/>
      <c r="G366" s="219"/>
      <c r="H366" s="191"/>
      <c r="I366" s="27"/>
      <c r="J366" s="189"/>
      <c r="K366" s="189"/>
      <c r="L366" s="190">
        <f>IF(S336="Accessory Only","",IF(S336="Boring But Big",IF(X341="","",MROUND(T341*X341,'Start-Options'!$B$38)),MROUND(U351*0.5,'Start-Options'!$B$38)))</f>
        <v>72.5</v>
      </c>
      <c r="M366" s="27"/>
      <c r="N366" s="78">
        <f>IF(S336="Accessory Only","",IF(S336="Boring But Big",10,5))</f>
        <v>10</v>
      </c>
      <c r="O366" s="220"/>
      <c r="P366" s="220"/>
      <c r="Q366" s="222"/>
      <c r="R366" s="27"/>
      <c r="S366" s="27"/>
      <c r="T366" s="27"/>
      <c r="U366" s="27"/>
      <c r="V366" s="27"/>
      <c r="W366" s="27"/>
      <c r="X366" s="27"/>
      <c r="Y366" s="27"/>
      <c r="Z366" s="27"/>
      <c r="AA366" s="27"/>
    </row>
    <row r="367" ht="12.75" customHeight="1">
      <c r="A367" s="188"/>
      <c r="B367" s="189"/>
      <c r="C367" s="190">
        <f>IF(S336="Accessory Only","",IF(S336="Boring But Big",IF(W341="","",MROUND(T341*W341,'Start-Options'!$B$38)),IF(T346=531,MROUND(U351*0.85,'Start-Options'!$B$38),MROUND(U351*0.85,'Start-Options'!$B$38))))</f>
        <v>110</v>
      </c>
      <c r="D367" s="241"/>
      <c r="E367" s="242">
        <v>5.0</v>
      </c>
      <c r="F367" s="219"/>
      <c r="G367" s="219"/>
      <c r="H367" s="191"/>
      <c r="I367" s="27"/>
      <c r="J367" s="189"/>
      <c r="K367" s="189"/>
      <c r="L367" s="190">
        <f>IF(S336="Accessory Only","",IF(S336="Boring But Big",IF(X341="","",MROUND(T341*X341,'Start-Options'!$B$38)),MROUND(U351*0.6,'Start-Options'!$B$38)))</f>
        <v>72.5</v>
      </c>
      <c r="M367" s="27"/>
      <c r="N367" s="78">
        <f>IF(S336="Accessory Only","",IF(S336="Boring But Big",10,5))</f>
        <v>10</v>
      </c>
      <c r="O367" s="220"/>
      <c r="P367" s="220"/>
      <c r="Q367" s="222"/>
      <c r="R367" s="27"/>
      <c r="S367" s="27"/>
      <c r="T367" s="27"/>
      <c r="U367" s="27"/>
      <c r="V367" s="27"/>
      <c r="W367" s="27"/>
      <c r="X367" s="27"/>
      <c r="Y367" s="27"/>
      <c r="Z367" s="27"/>
      <c r="AA367" s="27"/>
    </row>
    <row r="368" ht="12.75" customHeight="1">
      <c r="A368" s="188"/>
      <c r="B368" s="189"/>
      <c r="C368" s="27">
        <f>IF(S336="Boring But Big",IF(W341="","",MROUND(T341*W341,'Start-Options'!$B$38)),"")</f>
        <v>110</v>
      </c>
      <c r="D368" s="241"/>
      <c r="E368" s="242">
        <v>5.0</v>
      </c>
      <c r="F368" s="219"/>
      <c r="G368" s="219"/>
      <c r="H368" s="191"/>
      <c r="I368" s="27"/>
      <c r="J368" s="189"/>
      <c r="K368" s="189"/>
      <c r="L368" s="27">
        <f>IF(S336="Boring But Big",IF(X341="","",MROUND(T341*X341,'Start-Options'!$B$38)),"")</f>
        <v>72.5</v>
      </c>
      <c r="M368" s="27"/>
      <c r="N368" s="78">
        <f>IF(S336="Boring But Big",10,"")</f>
        <v>10</v>
      </c>
      <c r="O368" s="219"/>
      <c r="P368" s="219"/>
      <c r="Q368" s="201"/>
      <c r="R368" s="27"/>
      <c r="S368" s="27"/>
      <c r="T368" s="27"/>
      <c r="U368" s="27"/>
      <c r="V368" s="27"/>
      <c r="W368" s="27"/>
      <c r="X368" s="27"/>
      <c r="Y368" s="27"/>
      <c r="Z368" s="27"/>
      <c r="AA368" s="27"/>
    </row>
    <row r="369" ht="12.75" customHeight="1">
      <c r="A369" s="188"/>
      <c r="B369" s="195"/>
      <c r="C369" s="27">
        <f>IF(S336="Boring But Big",IF(W341="","",MROUND(T341*W341,'Start-Options'!$B$38)),"")</f>
        <v>110</v>
      </c>
      <c r="D369" s="241"/>
      <c r="E369" s="242">
        <v>5.0</v>
      </c>
      <c r="F369" s="154"/>
      <c r="G369" s="154"/>
      <c r="H369" s="155"/>
      <c r="I369" s="27"/>
      <c r="J369" s="189"/>
      <c r="K369" s="195"/>
      <c r="L369" s="27">
        <f>IF(S336="Boring But Big",IF(X341="","",MROUND(T341*X341,'Start-Options'!$B$38)),"")</f>
        <v>72.5</v>
      </c>
      <c r="M369" s="27"/>
      <c r="N369" s="78">
        <f>IF(S336="Boring But Big",10,"")</f>
        <v>10</v>
      </c>
      <c r="O369" s="154"/>
      <c r="P369" s="154"/>
      <c r="Q369" s="206"/>
      <c r="R369" s="27"/>
      <c r="S369" s="27"/>
      <c r="T369" s="27"/>
      <c r="U369" s="27"/>
      <c r="V369" s="27"/>
      <c r="W369" s="27"/>
      <c r="X369" s="27"/>
      <c r="Y369" s="27"/>
      <c r="Z369" s="27"/>
      <c r="AA369" s="27"/>
    </row>
    <row r="370" ht="12.75" customHeight="1">
      <c r="A370" s="234" t="s">
        <v>48</v>
      </c>
      <c r="B370" s="197" t="str">
        <f>IF(S336="Accessory Only","",IF(S336="Boring But Big",'Start-Options'!$B$6,T352))</f>
        <v>Bench</v>
      </c>
      <c r="C370" s="198">
        <f>IF(S336="Accessory Only","",IF(S336="Boring But Big",IF(W342="","",MROUND(T342*W342,'Start-Options'!$B$38)),IF(T346=531,MROUND(U352*0.65,'Start-Options'!$B$38),MROUND(U352*0.65,'Start-Options'!$B$38))))</f>
        <v>65</v>
      </c>
      <c r="D370" s="243"/>
      <c r="E370" s="244">
        <v>5.0</v>
      </c>
      <c r="F370" s="185"/>
      <c r="G370" s="185"/>
      <c r="H370" s="200"/>
      <c r="I370" s="27"/>
      <c r="J370" s="252" t="s">
        <v>48</v>
      </c>
      <c r="K370" s="197" t="str">
        <f>IF(S336="Accessory Only","",IF(S336="Boring But Big",'Start-Options'!$B$6,T352))</f>
        <v>Bench</v>
      </c>
      <c r="L370" s="198">
        <f>IF(S336="Accessory Only","",IF(S336="Boring But Big",IF(X342="","",MROUND(T342*X342,'Start-Options'!$B$38)),MROUND(U352*0.4,'Start-Options'!$B$38)))</f>
        <v>45</v>
      </c>
      <c r="M370" s="198"/>
      <c r="N370" s="199">
        <f>IF(S336="Accessory Only","",IF(S336="Boring But Big",10,5))</f>
        <v>10</v>
      </c>
      <c r="O370" s="185"/>
      <c r="P370" s="185"/>
      <c r="Q370" s="187"/>
      <c r="R370" s="27"/>
      <c r="S370" s="27"/>
      <c r="T370" s="27"/>
      <c r="U370" s="27"/>
      <c r="V370" s="27"/>
      <c r="W370" s="27"/>
      <c r="X370" s="27"/>
      <c r="Y370" s="27"/>
      <c r="Z370" s="27"/>
      <c r="AA370" s="27"/>
    </row>
    <row r="371" ht="12.75" customHeight="1">
      <c r="A371" s="188"/>
      <c r="B371" s="189"/>
      <c r="C371" s="190">
        <f>IF(S336="Accessory Only","",IF(S336="Boring But Big",IF(W342="","",MROUND(T342*W342,'Start-Options'!$B$38)),IF(T346=531,MROUND(U352*0.75,'Start-Options'!$B$38),MROUND(U352*0.75,'Start-Options'!$B$38))))</f>
        <v>65</v>
      </c>
      <c r="D371" s="241"/>
      <c r="E371" s="242">
        <v>5.0</v>
      </c>
      <c r="F371" s="219"/>
      <c r="G371" s="219"/>
      <c r="H371" s="191"/>
      <c r="I371" s="27"/>
      <c r="J371" s="189"/>
      <c r="K371" s="189"/>
      <c r="L371" s="190">
        <f>IF(S336="Accessory Only","",IF(S336="Boring But Big",IF(X342="","",MROUND(T342*X342,'Start-Options'!$B$38)),MROUND(U352*0.5,'Start-Options'!$B$38)))</f>
        <v>45</v>
      </c>
      <c r="M371" s="27"/>
      <c r="N371" s="78">
        <f>IF(S336="Accessory Only","",IF(S336="Boring But Big",10,5))</f>
        <v>10</v>
      </c>
      <c r="O371" s="220"/>
      <c r="P371" s="220"/>
      <c r="Q371" s="222"/>
      <c r="R371" s="27"/>
      <c r="S371" s="27"/>
      <c r="T371" s="27"/>
      <c r="U371" s="27"/>
      <c r="V371" s="27"/>
      <c r="W371" s="27"/>
      <c r="X371" s="27"/>
      <c r="Y371" s="27"/>
      <c r="Z371" s="27"/>
      <c r="AA371" s="27"/>
    </row>
    <row r="372" ht="12.75" customHeight="1">
      <c r="A372" s="188"/>
      <c r="B372" s="189"/>
      <c r="C372" s="190">
        <f>IF(S336="Accessory Only","",IF(S336="Boring But Big",IF(W342="","",MROUND(T342*W342,'Start-Options'!$B$38)),IF(T346=531,MROUND(U352*0.85,'Start-Options'!$B$38),MROUND(U352*0.85,'Start-Options'!$B$38))))</f>
        <v>65</v>
      </c>
      <c r="D372" s="241"/>
      <c r="E372" s="242">
        <v>5.0</v>
      </c>
      <c r="F372" s="219"/>
      <c r="G372" s="219"/>
      <c r="H372" s="191"/>
      <c r="I372" s="27"/>
      <c r="J372" s="189"/>
      <c r="K372" s="189"/>
      <c r="L372" s="190">
        <f>IF(S336="Accessory Only","",IF(S336="Boring But Big",IF(X342="","",MROUND(T342*X342,'Start-Options'!$B$38)),MROUND(U352*0.6,'Start-Options'!$B$38)))</f>
        <v>45</v>
      </c>
      <c r="M372" s="27"/>
      <c r="N372" s="78">
        <f>IF(S336="Accessory Only","",IF(S336="Boring But Big",10,5))</f>
        <v>10</v>
      </c>
      <c r="O372" s="220"/>
      <c r="P372" s="220"/>
      <c r="Q372" s="222"/>
      <c r="R372" s="27"/>
      <c r="S372" s="27"/>
      <c r="T372" s="27"/>
      <c r="U372" s="27"/>
      <c r="V372" s="27"/>
      <c r="W372" s="27"/>
      <c r="X372" s="27"/>
      <c r="Y372" s="27"/>
      <c r="Z372" s="27"/>
      <c r="AA372" s="27"/>
    </row>
    <row r="373" ht="7.5" customHeight="1">
      <c r="A373" s="188"/>
      <c r="B373" s="189"/>
      <c r="C373" s="27">
        <f>IF(S336="Boring But Big",IF(W342="","",MROUND(T342*W342,'Start-Options'!$B$38)),"")</f>
        <v>65</v>
      </c>
      <c r="D373" s="241"/>
      <c r="E373" s="242">
        <v>5.0</v>
      </c>
      <c r="F373" s="219"/>
      <c r="G373" s="219"/>
      <c r="H373" s="191"/>
      <c r="I373" s="27"/>
      <c r="J373" s="189"/>
      <c r="K373" s="189"/>
      <c r="L373" s="27">
        <f>IF(S336="Boring But Big",IF(X342="","",MROUND(T342*X342,'Start-Options'!$B$38)),"")</f>
        <v>45</v>
      </c>
      <c r="M373" s="27"/>
      <c r="N373" s="78">
        <f>IF(S336="Boring But Big",10,"")</f>
        <v>10</v>
      </c>
      <c r="O373" s="219"/>
      <c r="P373" s="219"/>
      <c r="Q373" s="201"/>
      <c r="R373" s="27"/>
      <c r="S373" s="27"/>
      <c r="T373" s="27"/>
      <c r="U373" s="27"/>
      <c r="V373" s="27"/>
      <c r="W373" s="27"/>
      <c r="X373" s="27"/>
      <c r="Y373" s="27"/>
      <c r="Z373" s="27"/>
      <c r="AA373" s="27"/>
    </row>
    <row r="374" ht="12.75" customHeight="1">
      <c r="A374" s="194"/>
      <c r="B374" s="195"/>
      <c r="C374" s="27">
        <f>IF(S336="Boring But Big",IF(W342="","",MROUND(T342*W342,'Start-Options'!$B$38)),"")</f>
        <v>65</v>
      </c>
      <c r="D374" s="241"/>
      <c r="E374" s="242">
        <v>5.0</v>
      </c>
      <c r="F374" s="154"/>
      <c r="G374" s="154"/>
      <c r="H374" s="155"/>
      <c r="I374" s="27"/>
      <c r="J374" s="195"/>
      <c r="K374" s="195"/>
      <c r="L374" s="27">
        <f>IF(S336="Boring But Big",IF(X342="","",MROUND(T342*X342,'Start-Options'!$B$38)),"")</f>
        <v>45</v>
      </c>
      <c r="M374" s="27"/>
      <c r="N374" s="78">
        <f>IF(S336="Boring But Big",10,"")</f>
        <v>10</v>
      </c>
      <c r="O374" s="154"/>
      <c r="P374" s="154"/>
      <c r="Q374" s="206"/>
      <c r="R374" s="27"/>
      <c r="S374" s="27"/>
      <c r="T374" s="27"/>
      <c r="U374" s="27"/>
      <c r="V374" s="27"/>
      <c r="W374" s="27"/>
      <c r="X374" s="27"/>
      <c r="Y374" s="231"/>
      <c r="Z374" s="231"/>
      <c r="AA374" s="27"/>
    </row>
    <row r="375" ht="12.75" customHeight="1">
      <c r="A375" s="234" t="s">
        <v>53</v>
      </c>
      <c r="B375" s="197" t="str">
        <f>IF(S336="Accessory Only","",IF(S336="Boring But Big",'Start-Options'!$B$7,T353))</f>
        <v>Squat</v>
      </c>
      <c r="C375" s="198">
        <f>IF(S336="Accessory Only","",IF(S336="Boring But Big",IF(W343="","",MROUND(T343*W343,'Start-Options'!$B$38)),IF(T346=531,MROUND(U353*0.65,'Start-Options'!$B$38),MROUND(U353*0.65,'Start-Options'!$B$38))))</f>
        <v>87.5</v>
      </c>
      <c r="D375" s="243"/>
      <c r="E375" s="244">
        <v>5.0</v>
      </c>
      <c r="F375" s="185"/>
      <c r="G375" s="185"/>
      <c r="H375" s="200"/>
      <c r="I375" s="27"/>
      <c r="J375" s="252" t="s">
        <v>53</v>
      </c>
      <c r="K375" s="197" t="str">
        <f>IF(S336="Accessory Only","",IF(S336="Boring But Big",'Start-Options'!$B$7,T353))</f>
        <v>Squat</v>
      </c>
      <c r="L375" s="198">
        <f>IF(S336="Accessory Only","",IF(S336="Boring But Big",IF(X343="","",MROUND(T343*X343,'Start-Options'!$B$38)),MROUND(U353*0.4,'Start-Options'!$B$38)))</f>
        <v>57.5</v>
      </c>
      <c r="M375" s="198"/>
      <c r="N375" s="199">
        <f>IF(S336="Accessory Only","",IF(S336="Boring But Big",10,5))</f>
        <v>10</v>
      </c>
      <c r="O375" s="185"/>
      <c r="P375" s="185"/>
      <c r="Q375" s="187"/>
      <c r="R375" s="27"/>
      <c r="S375" s="27"/>
      <c r="T375" s="27"/>
      <c r="U375" s="27"/>
      <c r="V375" s="27"/>
      <c r="W375" s="27"/>
      <c r="X375" s="27"/>
      <c r="Y375" s="27"/>
      <c r="Z375" s="27"/>
      <c r="AA375" s="27"/>
    </row>
    <row r="376" ht="12.75" customHeight="1">
      <c r="A376" s="188"/>
      <c r="B376" s="189"/>
      <c r="C376" s="190">
        <f>IF(S336="Accessory Only","",IF(S336="Boring But Big",IF(W343="","",MROUND(T343*W343,'Start-Options'!$B$38)),IF(T346=531,MROUND(U353*0.75,'Start-Options'!$B$38),MROUND(U353*0.75,'Start-Options'!$B$38))))</f>
        <v>87.5</v>
      </c>
      <c r="D376" s="241"/>
      <c r="E376" s="242">
        <v>5.0</v>
      </c>
      <c r="F376" s="219"/>
      <c r="G376" s="219"/>
      <c r="H376" s="191"/>
      <c r="I376" s="27"/>
      <c r="J376" s="189"/>
      <c r="K376" s="189"/>
      <c r="L376" s="190">
        <f>IF(S336="Accessory Only","",IF(S336="Boring But Big",IF(X343="","",MROUND(T343*X343,'Start-Options'!$B$38)),MROUND(U353*0.5,'Start-Options'!$B$38)))</f>
        <v>57.5</v>
      </c>
      <c r="M376" s="27"/>
      <c r="N376" s="78">
        <f>IF(S336="Accessory Only","",IF(S336="Boring But Big",10,5))</f>
        <v>10</v>
      </c>
      <c r="O376" s="220"/>
      <c r="P376" s="220"/>
      <c r="Q376" s="222"/>
      <c r="R376" s="27"/>
      <c r="S376" s="27"/>
      <c r="T376" s="27"/>
      <c r="U376" s="27"/>
      <c r="V376" s="27"/>
      <c r="W376" s="27"/>
      <c r="X376" s="27"/>
      <c r="Y376" s="27"/>
      <c r="Z376" s="27"/>
      <c r="AA376" s="27"/>
    </row>
    <row r="377" ht="12.75" customHeight="1">
      <c r="A377" s="188"/>
      <c r="B377" s="189"/>
      <c r="C377" s="190">
        <f>IF(S336="Accessory Only","",IF(S336="Boring But Big",IF(W343="","",MROUND(T343*W343,'Start-Options'!$B$38)),IF(T346=531,MROUND(U353*0.85,'Start-Options'!$B$38),MROUND(U353*0.85,'Start-Options'!$B$38))))</f>
        <v>87.5</v>
      </c>
      <c r="D377" s="241"/>
      <c r="E377" s="242">
        <v>5.0</v>
      </c>
      <c r="F377" s="219"/>
      <c r="G377" s="219"/>
      <c r="H377" s="191"/>
      <c r="I377" s="27"/>
      <c r="J377" s="189"/>
      <c r="K377" s="189"/>
      <c r="L377" s="190">
        <f>IF(S336="Accessory Only","",IF(S336="Boring But Big",IF(X343="","",MROUND(T343*X343,'Start-Options'!$B$38)),MROUND(U353*0.6,'Start-Options'!$B$38)))</f>
        <v>57.5</v>
      </c>
      <c r="M377" s="27"/>
      <c r="N377" s="78">
        <f>IF(S336="Accessory Only","",IF(S336="Boring But Big",10,5))</f>
        <v>10</v>
      </c>
      <c r="O377" s="220"/>
      <c r="P377" s="220"/>
      <c r="Q377" s="222"/>
      <c r="R377" s="27"/>
      <c r="S377" s="27"/>
      <c r="T377" s="27"/>
      <c r="U377" s="27"/>
      <c r="V377" s="27"/>
      <c r="W377" s="27"/>
      <c r="X377" s="27"/>
      <c r="Y377" s="27"/>
      <c r="Z377" s="27"/>
      <c r="AA377" s="27"/>
    </row>
    <row r="378" ht="12.75" customHeight="1">
      <c r="A378" s="188"/>
      <c r="B378" s="189"/>
      <c r="C378" s="27">
        <f>IF(S336="Boring But Big",IF(W343="","",MROUND(T343*W343,'Start-Options'!$B$38)),"")</f>
        <v>87.5</v>
      </c>
      <c r="D378" s="241"/>
      <c r="E378" s="242">
        <v>5.0</v>
      </c>
      <c r="F378" s="219"/>
      <c r="G378" s="219"/>
      <c r="H378" s="147"/>
      <c r="I378" s="27"/>
      <c r="J378" s="189"/>
      <c r="K378" s="189"/>
      <c r="L378" s="27">
        <f>IF(S336="Boring But Big",IF(X343="","",MROUND(T343*X343,'Start-Options'!$B$38)),"")</f>
        <v>57.5</v>
      </c>
      <c r="M378" s="27"/>
      <c r="N378" s="78">
        <f>IF(S336="Boring But Big",10,"")</f>
        <v>10</v>
      </c>
      <c r="O378" s="151"/>
      <c r="P378" s="219"/>
      <c r="Q378" s="224"/>
      <c r="R378" s="27"/>
      <c r="S378" s="27"/>
      <c r="T378" s="27"/>
      <c r="U378" s="27"/>
      <c r="V378" s="27"/>
      <c r="W378" s="27"/>
      <c r="X378" s="27"/>
      <c r="Y378" s="27"/>
      <c r="Z378" s="27"/>
      <c r="AA378" s="27"/>
    </row>
    <row r="379" ht="13.5" customHeight="1">
      <c r="A379" s="176"/>
      <c r="B379" s="225"/>
      <c r="C379" s="226">
        <f>IF(S336="Boring But Big",IF(W343="","",MROUND(T343*W343,'Start-Options'!$B$38)),"")</f>
        <v>87.5</v>
      </c>
      <c r="D379" s="247"/>
      <c r="E379" s="248">
        <v>5.0</v>
      </c>
      <c r="F379" s="228"/>
      <c r="G379" s="228"/>
      <c r="H379" s="229"/>
      <c r="I379" s="158"/>
      <c r="J379" s="225"/>
      <c r="K379" s="225"/>
      <c r="L379" s="226">
        <f>IF(S336="Boring But Big",IF(X343="","",MROUND(T343*X343,'Start-Options'!$B$38)),"")</f>
        <v>57.5</v>
      </c>
      <c r="M379" s="158"/>
      <c r="N379" s="227">
        <f>IF(S336="Boring But Big",10,"")</f>
        <v>10</v>
      </c>
      <c r="O379" s="229"/>
      <c r="P379" s="228"/>
      <c r="Q379" s="230"/>
      <c r="R379" s="27"/>
      <c r="S379" s="27"/>
      <c r="T379" s="27"/>
      <c r="U379" s="27"/>
      <c r="V379" s="27"/>
      <c r="W379" s="27"/>
      <c r="X379" s="27"/>
      <c r="Y379" s="27"/>
      <c r="Z379" s="27"/>
      <c r="AA379" s="27"/>
    </row>
    <row r="380" ht="12.75" customHeight="1">
      <c r="A380" s="240"/>
      <c r="B380" s="235"/>
      <c r="C380" s="27"/>
      <c r="D380" s="27"/>
      <c r="E380" s="27"/>
      <c r="F380" s="27"/>
      <c r="G380" s="27"/>
      <c r="H380" s="27"/>
      <c r="I380" s="27"/>
      <c r="J380" s="240"/>
      <c r="K380" s="235"/>
      <c r="L380" s="27"/>
      <c r="M380" s="27"/>
      <c r="N380" s="27"/>
      <c r="O380" s="27"/>
      <c r="P380" s="27"/>
      <c r="Q380" s="27"/>
      <c r="R380" s="27"/>
      <c r="S380" s="27"/>
      <c r="T380" s="27"/>
      <c r="U380" s="262"/>
      <c r="V380" s="69"/>
      <c r="W380" s="69"/>
      <c r="X380" s="69"/>
      <c r="Y380" s="27"/>
      <c r="Z380" s="27"/>
      <c r="AA380" s="27"/>
    </row>
    <row r="381" ht="21.0" customHeight="1">
      <c r="A381" s="168"/>
      <c r="B381" s="27"/>
      <c r="C381" s="27"/>
      <c r="D381" s="27"/>
      <c r="E381" s="27"/>
      <c r="F381" s="27"/>
      <c r="G381" s="27"/>
      <c r="H381" s="27"/>
      <c r="I381" s="169" t="s">
        <v>142</v>
      </c>
      <c r="J381" s="27"/>
      <c r="K381" s="27"/>
      <c r="L381" s="27"/>
      <c r="M381" s="27"/>
      <c r="N381" s="27"/>
      <c r="O381" s="27"/>
      <c r="P381" s="27"/>
      <c r="Q381" s="27"/>
      <c r="R381" s="27"/>
      <c r="S381" s="27"/>
      <c r="T381" s="27"/>
      <c r="U381" s="27"/>
      <c r="V381" s="27"/>
      <c r="W381" s="27"/>
      <c r="X381" s="27"/>
      <c r="Y381" s="27"/>
      <c r="Z381" s="27"/>
      <c r="AA381" s="27"/>
    </row>
    <row r="382" ht="12.75" customHeight="1">
      <c r="A382" s="170" t="s">
        <v>273</v>
      </c>
      <c r="B382" s="171" t="s">
        <v>177</v>
      </c>
      <c r="C382" s="172"/>
      <c r="D382" s="172"/>
      <c r="E382" s="173"/>
      <c r="F382" s="171" t="s">
        <v>178</v>
      </c>
      <c r="G382" s="172"/>
      <c r="H382" s="173"/>
      <c r="I382" s="91"/>
      <c r="J382" s="174" t="s">
        <v>274</v>
      </c>
      <c r="K382" s="171" t="s">
        <v>177</v>
      </c>
      <c r="L382" s="172"/>
      <c r="M382" s="172"/>
      <c r="N382" s="173"/>
      <c r="O382" s="171" t="s">
        <v>178</v>
      </c>
      <c r="P382" s="172"/>
      <c r="Q382" s="94"/>
      <c r="R382" s="27"/>
      <c r="S382" s="70" t="s">
        <v>180</v>
      </c>
      <c r="T382" s="175"/>
      <c r="U382" s="71"/>
      <c r="V382" s="27"/>
      <c r="W382" s="27"/>
      <c r="X382" s="27"/>
      <c r="Y382" s="27"/>
      <c r="Z382" s="27"/>
      <c r="AA382" s="27"/>
    </row>
    <row r="383" ht="13.5" customHeight="1">
      <c r="A383" s="176"/>
      <c r="B383" s="177" t="s">
        <v>181</v>
      </c>
      <c r="C383" s="178" t="s">
        <v>26</v>
      </c>
      <c r="D383" s="178"/>
      <c r="E383" s="178" t="s">
        <v>27</v>
      </c>
      <c r="F383" s="178" t="s">
        <v>182</v>
      </c>
      <c r="G383" s="178" t="s">
        <v>183</v>
      </c>
      <c r="H383" s="179" t="s">
        <v>26</v>
      </c>
      <c r="I383" s="27"/>
      <c r="J383" s="180"/>
      <c r="K383" s="177" t="s">
        <v>181</v>
      </c>
      <c r="L383" s="178" t="s">
        <v>26</v>
      </c>
      <c r="M383" s="178"/>
      <c r="N383" s="178" t="s">
        <v>27</v>
      </c>
      <c r="O383" s="178" t="s">
        <v>182</v>
      </c>
      <c r="P383" s="179" t="s">
        <v>183</v>
      </c>
      <c r="Q383" s="181" t="s">
        <v>26</v>
      </c>
      <c r="R383" s="27"/>
      <c r="S383" s="182" t="s">
        <v>184</v>
      </c>
      <c r="T383" s="41"/>
      <c r="U383" s="42"/>
      <c r="V383" s="27"/>
      <c r="W383" s="27"/>
      <c r="X383" s="27"/>
      <c r="Y383" s="27"/>
      <c r="Z383" s="27"/>
      <c r="AA383" s="27"/>
    </row>
    <row r="384" ht="12.75" customHeight="1">
      <c r="A384" s="233" t="s">
        <v>36</v>
      </c>
      <c r="B384" s="184" t="str">
        <f>IF(S383="Accessory Only","",IF(S383="Boring But Big",'Start-Options'!$B$4,T397))</f>
        <v>Military</v>
      </c>
      <c r="C384" s="27">
        <f>IF(S383="Accessory Only","",IF(S383="Boring But Big",IF(U387="","",MROUND(T387*U387,'Start-Options'!$B$38)),IF(T393=531,MROUND(U397*0.5,'Start-Options'!$B$38),MROUND(U397*0.6,'Start-Options'!$B$38))))</f>
        <v>45</v>
      </c>
      <c r="D384" s="27"/>
      <c r="E384" s="78">
        <f>IF(S383="Accessory Only","",IF(S383="Boring But Big",10,IF(T393=531,10,8)))</f>
        <v>10</v>
      </c>
      <c r="F384" s="220"/>
      <c r="G384" s="220"/>
      <c r="H384" s="186"/>
      <c r="I384" s="77"/>
      <c r="J384" s="249" t="s">
        <v>36</v>
      </c>
      <c r="K384" s="184" t="str">
        <f>IF(S383="Accessory Only","",IF(S383="Boring But Big",'Start-Options'!$B$4,T397))</f>
        <v>Military</v>
      </c>
      <c r="L384" s="27">
        <f>IF(S383="Accessory Only","",IF(S383="Boring But Big",IF(V387="","",MROUND(T387*V387,'Start-Options'!$B$38)),IF(T393=531,MROUND(U397*0.6,'Start-Options'!$B$38),MROUND(U397*0.5,'Start-Options'!$B$38))))</f>
        <v>50</v>
      </c>
      <c r="M384" s="241"/>
      <c r="N384" s="242">
        <v>8.0</v>
      </c>
      <c r="O384" s="220"/>
      <c r="P384" s="220"/>
      <c r="Q384" s="222"/>
      <c r="R384" s="27"/>
      <c r="S384" s="27"/>
      <c r="T384" s="27"/>
      <c r="U384" s="27"/>
      <c r="V384" s="27"/>
      <c r="W384" s="27"/>
      <c r="X384" s="27"/>
      <c r="Y384" s="27"/>
      <c r="Z384" s="27"/>
      <c r="AA384" s="27"/>
    </row>
    <row r="385" ht="12.75" customHeight="1">
      <c r="A385" s="188"/>
      <c r="B385" s="189"/>
      <c r="C385" s="190">
        <f>IF(S383="Accessory Only","",IF(S383="Boring But Big",IF(U387="","",MROUND(T387*U387,'Start-Options'!$B$38)),IF(T393=531,MROUND(U397*0.6,'Start-Options'!$B$38),MROUND(U397*0.7,'Start-Options'!$B$38))))</f>
        <v>45</v>
      </c>
      <c r="D385" s="27"/>
      <c r="E385" s="78">
        <f>IF(S383="Accessory Only","",IF(S383="Boring But Big",10,IF(T393=531,10,8)))</f>
        <v>10</v>
      </c>
      <c r="F385" s="219"/>
      <c r="G385" s="219"/>
      <c r="H385" s="191"/>
      <c r="I385" s="27"/>
      <c r="J385" s="189"/>
      <c r="K385" s="189"/>
      <c r="L385" s="190">
        <f>IF(S383="Accessory Only","",IF(S383="Boring But Big",IF(V387="","",MROUND(T387*V387,'Start-Options'!$B$38)),IF(T393=531,MROUND(U397*0.7,'Start-Options'!$B$38),MROUND(U397*0.6,'Start-Options'!$B$38))))</f>
        <v>50</v>
      </c>
      <c r="M385" s="241"/>
      <c r="N385" s="242">
        <v>8.0</v>
      </c>
      <c r="O385" s="219"/>
      <c r="P385" s="219"/>
      <c r="Q385" s="201"/>
      <c r="R385" s="27"/>
      <c r="S385" s="70" t="s">
        <v>184</v>
      </c>
      <c r="T385" s="175"/>
      <c r="U385" s="175"/>
      <c r="V385" s="175"/>
      <c r="W385" s="175"/>
      <c r="X385" s="71"/>
      <c r="Y385" s="27"/>
      <c r="Z385" s="27"/>
      <c r="AA385" s="27"/>
    </row>
    <row r="386" ht="12.75" customHeight="1">
      <c r="A386" s="188"/>
      <c r="B386" s="189"/>
      <c r="C386" s="190">
        <f>IF(S383="Accessory Only","",IF(S383="Boring But Big",IF(U387="","",MROUND(T387*U387,'Start-Options'!$B$38)),IF(T393=531,MROUND(U397*0.7,'Start-Options'!$B$38),MROUND(U397*0.8,'Start-Options'!$B$38))))</f>
        <v>45</v>
      </c>
      <c r="D386" s="27"/>
      <c r="E386" s="78">
        <f>IF(S383="Accessory Only","",IF(S383="Boring But Big",10,IF(T393=531,10,6)))</f>
        <v>10</v>
      </c>
      <c r="F386" s="219"/>
      <c r="G386" s="219"/>
      <c r="H386" s="191"/>
      <c r="I386" s="27"/>
      <c r="J386" s="189"/>
      <c r="K386" s="189"/>
      <c r="L386" s="190">
        <f>IF(S383="Accessory Only","",IF(S383="Boring But Big",IF(V387="","",MROUND(T387*V387,'Start-Options'!$B$38)),IF(T393=531,MROUND(U397*0.8,'Start-Options'!$B$38),MROUND(U397*0.7,'Start-Options'!$B$38))))</f>
        <v>50</v>
      </c>
      <c r="M386" s="241"/>
      <c r="N386" s="242">
        <v>8.0</v>
      </c>
      <c r="O386" s="219"/>
      <c r="P386" s="219"/>
      <c r="Q386" s="201"/>
      <c r="R386" s="27"/>
      <c r="S386" s="25" t="s">
        <v>187</v>
      </c>
      <c r="T386" s="25" t="s">
        <v>28</v>
      </c>
      <c r="U386" s="25" t="s">
        <v>188</v>
      </c>
      <c r="V386" s="25" t="s">
        <v>189</v>
      </c>
      <c r="W386" s="192" t="s">
        <v>190</v>
      </c>
      <c r="X386" s="192" t="s">
        <v>191</v>
      </c>
      <c r="Y386" s="27"/>
      <c r="Z386" s="27"/>
      <c r="AA386" s="27"/>
    </row>
    <row r="387" ht="12.75" customHeight="1">
      <c r="A387" s="188"/>
      <c r="B387" s="189"/>
      <c r="C387" s="27">
        <f>IF(S383="Boring But Big",IF(U387="","",MROUND(T387*U387,'Start-Options'!$B$38)),"")</f>
        <v>45</v>
      </c>
      <c r="D387" s="27"/>
      <c r="E387" s="78">
        <f>IF(S383="Boring But Big",10,"")</f>
        <v>10</v>
      </c>
      <c r="F387" s="219"/>
      <c r="G387" s="219"/>
      <c r="H387" s="191"/>
      <c r="I387" s="27"/>
      <c r="J387" s="189"/>
      <c r="K387" s="189"/>
      <c r="L387" s="27">
        <f>IF(S383="Boring But Big",IF(V387="","",MROUND(T387*V387,'Start-Options'!$B$38)),"")</f>
        <v>50</v>
      </c>
      <c r="M387" s="241"/>
      <c r="N387" s="242">
        <v>8.0</v>
      </c>
      <c r="O387" s="219"/>
      <c r="P387" s="219"/>
      <c r="Q387" s="201"/>
      <c r="R387" s="27"/>
      <c r="S387" s="25" t="s">
        <v>30</v>
      </c>
      <c r="T387" s="25">
        <f>'531'!Z141</f>
        <v>70</v>
      </c>
      <c r="U387" s="250">
        <v>0.65</v>
      </c>
      <c r="V387" s="250">
        <v>0.7</v>
      </c>
      <c r="W387" s="251">
        <v>0.75</v>
      </c>
      <c r="X387" s="251">
        <v>0.5</v>
      </c>
      <c r="Y387" s="27"/>
      <c r="Z387" s="27"/>
      <c r="AA387" s="27"/>
    </row>
    <row r="388" ht="12.75" customHeight="1">
      <c r="A388" s="194"/>
      <c r="B388" s="195"/>
      <c r="C388" s="27">
        <f>IF(S383="Boring But Big",IF(U387="","",MROUND(T387*U387,'Start-Options'!$B$38)),"")</f>
        <v>45</v>
      </c>
      <c r="D388" s="27"/>
      <c r="E388" s="78">
        <f>IF(S383="Boring But Big",10,"")</f>
        <v>10</v>
      </c>
      <c r="F388" s="154"/>
      <c r="G388" s="154"/>
      <c r="H388" s="155"/>
      <c r="I388" s="27"/>
      <c r="J388" s="195"/>
      <c r="K388" s="195"/>
      <c r="L388" s="27">
        <f>IF(S383="Boring But Big",IF(V387="","",MROUND(T387*V387,'Start-Options'!$B$38)),"")</f>
        <v>50</v>
      </c>
      <c r="M388" s="241"/>
      <c r="N388" s="242">
        <v>8.0</v>
      </c>
      <c r="O388" s="154"/>
      <c r="P388" s="154"/>
      <c r="Q388" s="206"/>
      <c r="R388" s="27"/>
      <c r="S388" s="25" t="s">
        <v>31</v>
      </c>
      <c r="T388" s="25">
        <f>'531'!Z142</f>
        <v>150</v>
      </c>
      <c r="U388" s="250">
        <v>0.65</v>
      </c>
      <c r="V388" s="250">
        <v>0.7</v>
      </c>
      <c r="W388" s="251">
        <v>0.75</v>
      </c>
      <c r="X388" s="250">
        <v>0.5</v>
      </c>
      <c r="Y388" s="27"/>
      <c r="Z388" s="27"/>
      <c r="AA388" s="27"/>
    </row>
    <row r="389" ht="12.75" customHeight="1">
      <c r="A389" s="234" t="s">
        <v>262</v>
      </c>
      <c r="B389" s="197" t="str">
        <f>IF(S383="Accessory Only","",IF(S383="Boring But Big",'Start-Options'!$B$5,T398))</f>
        <v>Deadlift</v>
      </c>
      <c r="C389" s="198">
        <f>IF(S383="Accessory Only","",IF(S383="Boring But Big",IF(U388="","",MROUND(T388*U388,'Start-Options'!$B$38)),IF(T393=531,MROUND(U398*0.5,'Start-Options'!$B$38),MROUND(U398*0.6,'Start-Options'!$B$38))))</f>
        <v>97.5</v>
      </c>
      <c r="D389" s="198"/>
      <c r="E389" s="199">
        <f>IF(S383="Accessory Only","",IF(S383="Boring But Big",10,IF(T393=531,10,8)))</f>
        <v>10</v>
      </c>
      <c r="F389" s="185"/>
      <c r="G389" s="185"/>
      <c r="H389" s="200"/>
      <c r="I389" s="27"/>
      <c r="J389" s="252" t="s">
        <v>44</v>
      </c>
      <c r="K389" s="197" t="str">
        <f>IF(S383="Accessory Only","",IF(S383="Boring But Big",'Start-Options'!$B$5,T398))</f>
        <v>Deadlift</v>
      </c>
      <c r="L389" s="198">
        <f>IF(S383="Accessory Only","",IF(S383="Boring But Big",IF(V388="","",MROUND(T388*V388,'Start-Options'!$B$38)),IF(T393=531,MROUND(U398*0.6,'Start-Options'!$B$38),MROUND(U398*0.5,'Start-Options'!$B$38))))</f>
        <v>105</v>
      </c>
      <c r="M389" s="243"/>
      <c r="N389" s="244">
        <v>8.0</v>
      </c>
      <c r="O389" s="185"/>
      <c r="P389" s="185"/>
      <c r="Q389" s="187"/>
      <c r="R389" s="27"/>
      <c r="S389" s="25" t="s">
        <v>32</v>
      </c>
      <c r="T389" s="25">
        <f>'531'!Z143</f>
        <v>90</v>
      </c>
      <c r="U389" s="250">
        <v>0.65</v>
      </c>
      <c r="V389" s="250">
        <v>0.7</v>
      </c>
      <c r="W389" s="251">
        <v>0.75</v>
      </c>
      <c r="X389" s="193">
        <v>0.5</v>
      </c>
      <c r="Y389" s="27"/>
      <c r="Z389" s="27"/>
      <c r="AA389" s="27"/>
    </row>
    <row r="390" ht="12.75" customHeight="1">
      <c r="A390" s="188"/>
      <c r="B390" s="189"/>
      <c r="C390" s="190">
        <f>IF(S383="Accessory Only","",IF(S383="Boring But Big",IF(U388="","",MROUND(T388*U388,'Start-Options'!$B$38)),IF(T393=531,MROUND(U398*0.6,'Start-Options'!$B$38),MROUND(U398*0.7,'Start-Options'!$B$38))))</f>
        <v>97.5</v>
      </c>
      <c r="D390" s="27"/>
      <c r="E390" s="78">
        <f>IF(S383="Accessory Only","",IF(S383="Boring But Big",10,IF(T393=531,10,8)))</f>
        <v>10</v>
      </c>
      <c r="F390" s="219"/>
      <c r="G390" s="219"/>
      <c r="H390" s="191"/>
      <c r="I390" s="27"/>
      <c r="J390" s="189"/>
      <c r="K390" s="189"/>
      <c r="L390" s="190">
        <f>IF(S383="Accessory Only","",IF(S383="Boring But Big",IF(V388="","",MROUND(T388*V388,'Start-Options'!$B$38)),IF(T393=531,MROUND(U398*0.7,'Start-Options'!$B$38),MROUND(U398*0.6,'Start-Options'!$B$38))))</f>
        <v>105</v>
      </c>
      <c r="M390" s="241"/>
      <c r="N390" s="242">
        <v>8.0</v>
      </c>
      <c r="O390" s="219"/>
      <c r="P390" s="219"/>
      <c r="Q390" s="201"/>
      <c r="R390" s="27"/>
      <c r="S390" s="25" t="s">
        <v>194</v>
      </c>
      <c r="T390" s="25">
        <f>'531'!Z144</f>
        <v>120</v>
      </c>
      <c r="U390" s="250">
        <v>0.65</v>
      </c>
      <c r="V390" s="250">
        <v>0.7</v>
      </c>
      <c r="W390" s="251">
        <v>0.75</v>
      </c>
      <c r="X390" s="253">
        <v>0.5</v>
      </c>
      <c r="Y390" s="27"/>
      <c r="Z390" s="27"/>
      <c r="AA390" s="27"/>
    </row>
    <row r="391" ht="12.75" customHeight="1">
      <c r="A391" s="188"/>
      <c r="B391" s="189"/>
      <c r="C391" s="190">
        <f>IF(S383="Accessory Only","",IF(S383="Boring But Big",IF(U388="","",MROUND(T388*U388,'Start-Options'!$B$38)),IF(T393=531,MROUND(U398*0.7,'Start-Options'!$B$38),MROUND(U398*0.8,'Start-Options'!$B$38))))</f>
        <v>97.5</v>
      </c>
      <c r="D391" s="27"/>
      <c r="E391" s="78">
        <f>IF(S383="Accessory Only","",IF(S383="Boring But Big",10,IF(T393=531,10,6)))</f>
        <v>10</v>
      </c>
      <c r="F391" s="219"/>
      <c r="G391" s="219"/>
      <c r="H391" s="191"/>
      <c r="I391" s="27"/>
      <c r="J391" s="189"/>
      <c r="K391" s="189"/>
      <c r="L391" s="190">
        <f>IF(S383="Accessory Only","",IF(S383="Boring But Big",IF(V388="","",MROUND(T388*V388,'Start-Options'!$B$38)),IF(T393=531,MROUND(U398*0.8,'Start-Options'!$B$38),MROUND(U398*0.7,'Start-Options'!$B$38))))</f>
        <v>105</v>
      </c>
      <c r="M391" s="241"/>
      <c r="N391" s="242">
        <v>8.0</v>
      </c>
      <c r="O391" s="219"/>
      <c r="P391" s="219"/>
      <c r="Q391" s="201"/>
      <c r="R391" s="27"/>
      <c r="S391" s="27"/>
      <c r="T391" s="27"/>
      <c r="U391" s="27"/>
      <c r="V391" s="27"/>
      <c r="W391" s="27"/>
      <c r="X391" s="27"/>
      <c r="Y391" s="27"/>
      <c r="Z391" s="27"/>
      <c r="AA391" s="27"/>
    </row>
    <row r="392" ht="12.75" customHeight="1">
      <c r="A392" s="188"/>
      <c r="B392" s="189"/>
      <c r="C392" s="27">
        <f>IF(S383="Boring But Big",IF(U388="","",MROUND(T388*U388,'Start-Options'!$B$38)),"")</f>
        <v>97.5</v>
      </c>
      <c r="D392" s="27"/>
      <c r="E392" s="78">
        <f>IF(S383="Boring But Big",10,"")</f>
        <v>10</v>
      </c>
      <c r="F392" s="219"/>
      <c r="G392" s="219"/>
      <c r="H392" s="191"/>
      <c r="I392" s="27"/>
      <c r="J392" s="189"/>
      <c r="K392" s="189"/>
      <c r="L392" s="27">
        <f>IF(S383="Boring But Big",IF(V388="","",MROUND(T388*V388,'Start-Options'!$B$38)),"")</f>
        <v>105</v>
      </c>
      <c r="M392" s="241"/>
      <c r="N392" s="242">
        <v>8.0</v>
      </c>
      <c r="O392" s="219"/>
      <c r="P392" s="219"/>
      <c r="Q392" s="201"/>
      <c r="R392" s="27"/>
      <c r="S392" s="70" t="s">
        <v>204</v>
      </c>
      <c r="T392" s="71"/>
      <c r="U392" s="27"/>
      <c r="V392" s="27"/>
      <c r="W392" s="27"/>
      <c r="X392" s="27"/>
      <c r="Y392" s="27"/>
      <c r="Z392" s="27"/>
      <c r="AA392" s="27"/>
    </row>
    <row r="393" ht="12.75" customHeight="1">
      <c r="A393" s="188"/>
      <c r="B393" s="195"/>
      <c r="C393" s="27">
        <f>IF(S383="Boring But Big",IF(U388="","",MROUND(T388*U388,'Start-Options'!$B$38)),"")</f>
        <v>97.5</v>
      </c>
      <c r="D393" s="27"/>
      <c r="E393" s="78">
        <f>IF(S383="Boring But Big",10,"")</f>
        <v>10</v>
      </c>
      <c r="F393" s="154"/>
      <c r="G393" s="154"/>
      <c r="H393" s="155"/>
      <c r="I393" s="27"/>
      <c r="J393" s="189"/>
      <c r="K393" s="195"/>
      <c r="L393" s="27">
        <f>IF(S383="Boring But Big",IF(V388="","",MROUND(T388*V388,'Start-Options'!$B$38)),"")</f>
        <v>105</v>
      </c>
      <c r="M393" s="241"/>
      <c r="N393" s="242">
        <v>8.0</v>
      </c>
      <c r="O393" s="154"/>
      <c r="P393" s="154"/>
      <c r="Q393" s="206"/>
      <c r="R393" s="27"/>
      <c r="S393" s="25" t="s">
        <v>205</v>
      </c>
      <c r="T393" s="28">
        <v>531.0</v>
      </c>
      <c r="U393" s="27"/>
      <c r="V393" s="27"/>
      <c r="W393" s="27"/>
      <c r="X393" s="27"/>
      <c r="Y393" s="27"/>
      <c r="Z393" s="27"/>
      <c r="AA393" s="27"/>
    </row>
    <row r="394" ht="12.75" customHeight="1">
      <c r="A394" s="234" t="s">
        <v>48</v>
      </c>
      <c r="B394" s="197" t="str">
        <f>IF(S383="Accessory Only","",IF(S383="Boring But Big",'Start-Options'!$B$6,T399))</f>
        <v>Bench</v>
      </c>
      <c r="C394" s="198">
        <f>IF(S383="Accessory Only","",IF(S383="Boring But Big",IF(U389="","",MROUND(T389*U389,'Start-Options'!$B$38)),IF(T393=531,MROUND(U399*0.5,'Start-Options'!$B$38),MROUND(U399*0.6,'Start-Options'!$B$38))))</f>
        <v>57.5</v>
      </c>
      <c r="D394" s="198"/>
      <c r="E394" s="199">
        <f>IF(S383="Accessory Only","",IF(S383="Boring But Big",10,IF(T393=531,10,8)))</f>
        <v>10</v>
      </c>
      <c r="F394" s="185"/>
      <c r="G394" s="185"/>
      <c r="H394" s="200"/>
      <c r="I394" s="27"/>
      <c r="J394" s="252" t="s">
        <v>48</v>
      </c>
      <c r="K394" s="197" t="str">
        <f>IF(S383="Accessory Only","",IF(S383="Boring But Big",'Start-Options'!$B$6,T399))</f>
        <v>Bench</v>
      </c>
      <c r="L394" s="198">
        <f>IF(S383="Accessory Only","",IF(S383="Boring But Big",IF(V389="","",MROUND(T389*V389,'Start-Options'!$B$38)),IF(T393=531,MROUND(U399*0.6,'Start-Options'!$B$38),MROUND(U399*0.5,'Start-Options'!$B$38))))</f>
        <v>62.5</v>
      </c>
      <c r="M394" s="243"/>
      <c r="N394" s="244">
        <v>8.0</v>
      </c>
      <c r="O394" s="185"/>
      <c r="P394" s="185"/>
      <c r="Q394" s="187"/>
      <c r="R394" s="27"/>
      <c r="S394" s="27"/>
      <c r="T394" s="27"/>
      <c r="U394" s="27"/>
      <c r="V394" s="27"/>
      <c r="W394" s="27"/>
      <c r="X394" s="27"/>
      <c r="Y394" s="27"/>
      <c r="Z394" s="27"/>
      <c r="AA394" s="27"/>
    </row>
    <row r="395" ht="12.75" customHeight="1">
      <c r="A395" s="188"/>
      <c r="B395" s="189"/>
      <c r="C395" s="190">
        <f>IF(S383="Accessory Only","",IF(S383="Boring But Big",IF(U389="","",MROUND(T389*U389,'Start-Options'!$B$38)),IF(T393=531,MROUND(U399*0.6,'Start-Options'!$B$38),MROUND(U399*0.7,'Start-Options'!$B$38))))</f>
        <v>57.5</v>
      </c>
      <c r="D395" s="27"/>
      <c r="E395" s="78">
        <f>IF(S383="Accessory Only","",IF(S383="Boring But Big",10,IF(T393=531,10,8)))</f>
        <v>10</v>
      </c>
      <c r="F395" s="219"/>
      <c r="G395" s="219"/>
      <c r="H395" s="191"/>
      <c r="I395" s="27"/>
      <c r="J395" s="189"/>
      <c r="K395" s="189"/>
      <c r="L395" s="190">
        <f>IF(S383="Accessory Only","",IF(S383="Boring But Big",IF(V389="","",MROUND(T389*V389,'Start-Options'!$B$38)),IF(T393=531,MROUND(U399*0.7,'Start-Options'!$B$38),MROUND(U399*0.6,'Start-Options'!$B$38))))</f>
        <v>62.5</v>
      </c>
      <c r="M395" s="241"/>
      <c r="N395" s="242">
        <v>8.0</v>
      </c>
      <c r="O395" s="219"/>
      <c r="P395" s="219"/>
      <c r="Q395" s="201"/>
      <c r="R395" s="27"/>
      <c r="S395" s="70" t="s">
        <v>204</v>
      </c>
      <c r="T395" s="175"/>
      <c r="U395" s="71"/>
      <c r="V395" s="27"/>
      <c r="W395" s="27"/>
      <c r="X395" s="27"/>
      <c r="Y395" s="27"/>
      <c r="Z395" s="27"/>
      <c r="AA395" s="27"/>
    </row>
    <row r="396" ht="12.75" customHeight="1">
      <c r="A396" s="188"/>
      <c r="B396" s="189"/>
      <c r="C396" s="190">
        <f>IF(S383="Accessory Only","",IF(S383="Boring But Big",IF(U389="","",MROUND(T389*U389,'Start-Options'!$B$38)),IF(T393=531,MROUND(U399*0.7,'Start-Options'!$B$38),MROUND(U399*0.8,'Start-Options'!$B$38))))</f>
        <v>57.5</v>
      </c>
      <c r="D396" s="27"/>
      <c r="E396" s="78">
        <f>IF(S383="Accessory Only","",IF(S383="Boring But Big",10,IF(T393=531,10,6)))</f>
        <v>10</v>
      </c>
      <c r="F396" s="219"/>
      <c r="G396" s="219"/>
      <c r="H396" s="191"/>
      <c r="I396" s="27"/>
      <c r="J396" s="189"/>
      <c r="K396" s="189"/>
      <c r="L396" s="190">
        <f>IF(S383="Accessory Only","",IF(S383="Boring But Big",IF(V389="","",MROUND(T389*V389,'Start-Options'!$B$38)),IF(T393=531,MROUND(U399*0.8,'Start-Options'!$B$38),MROUND(U399*0.7,'Start-Options'!$B$38))))</f>
        <v>62.5</v>
      </c>
      <c r="M396" s="241"/>
      <c r="N396" s="242">
        <v>8.0</v>
      </c>
      <c r="O396" s="219"/>
      <c r="P396" s="219"/>
      <c r="Q396" s="201"/>
      <c r="R396" s="27"/>
      <c r="S396" s="25"/>
      <c r="T396" s="223" t="s">
        <v>182</v>
      </c>
      <c r="U396" s="223" t="s">
        <v>28</v>
      </c>
      <c r="V396" s="27"/>
      <c r="W396" s="27"/>
      <c r="X396" s="27"/>
      <c r="Y396" s="27"/>
      <c r="Z396" s="27"/>
      <c r="AA396" s="27"/>
    </row>
    <row r="397" ht="12.75" customHeight="1">
      <c r="A397" s="188"/>
      <c r="B397" s="189"/>
      <c r="C397" s="27">
        <f>IF(S383="Boring But Big",IF(U389="","",MROUND(T389*U389,'Start-Options'!$B$38)),"")</f>
        <v>57.5</v>
      </c>
      <c r="D397" s="27"/>
      <c r="E397" s="27">
        <f>IF(S383="Boring But Big",10,"")</f>
        <v>10</v>
      </c>
      <c r="F397" s="219"/>
      <c r="G397" s="219"/>
      <c r="H397" s="207"/>
      <c r="I397" s="77"/>
      <c r="J397" s="189"/>
      <c r="K397" s="189"/>
      <c r="L397" s="27">
        <f>IF(S383="Boring But Big",IF(V389="","",MROUND(T389*V389,'Start-Options'!$B$38)),"")</f>
        <v>62.5</v>
      </c>
      <c r="M397" s="241"/>
      <c r="N397" s="242">
        <v>8.0</v>
      </c>
      <c r="O397" s="219"/>
      <c r="P397" s="219"/>
      <c r="Q397" s="201"/>
      <c r="R397" s="27"/>
      <c r="S397" s="77" t="s">
        <v>36</v>
      </c>
      <c r="T397" s="147" t="s">
        <v>208</v>
      </c>
      <c r="U397" s="147">
        <v>100.0</v>
      </c>
      <c r="V397" s="27"/>
      <c r="W397" s="27"/>
      <c r="X397" s="27"/>
      <c r="Y397" s="27"/>
      <c r="Z397" s="27"/>
      <c r="AA397" s="27"/>
    </row>
    <row r="398" ht="12.75" customHeight="1">
      <c r="A398" s="194"/>
      <c r="B398" s="195"/>
      <c r="C398" s="27">
        <f>IF(S383="Boring But Big",IF(U389="","",MROUND(T389*U389,'Start-Options'!$B$38)),"")</f>
        <v>57.5</v>
      </c>
      <c r="D398" s="27"/>
      <c r="E398" s="78">
        <f>IF(S383="Boring But Big",10,"")</f>
        <v>10</v>
      </c>
      <c r="F398" s="154"/>
      <c r="G398" s="154"/>
      <c r="H398" s="155"/>
      <c r="I398" s="27"/>
      <c r="J398" s="195"/>
      <c r="K398" s="195"/>
      <c r="L398" s="27">
        <f>IF(S383="Boring But Big",IF(V389="","",MROUND(T389*V389,'Start-Options'!$B$38)),"")</f>
        <v>62.5</v>
      </c>
      <c r="M398" s="241"/>
      <c r="N398" s="242">
        <v>8.0</v>
      </c>
      <c r="O398" s="154"/>
      <c r="P398" s="154"/>
      <c r="Q398" s="206"/>
      <c r="R398" s="27"/>
      <c r="S398" s="25" t="s">
        <v>44</v>
      </c>
      <c r="T398" s="162" t="s">
        <v>210</v>
      </c>
      <c r="U398" s="162">
        <v>100.0</v>
      </c>
      <c r="V398" s="27"/>
      <c r="W398" s="27"/>
      <c r="X398" s="27"/>
      <c r="Y398" s="27"/>
      <c r="Z398" s="27"/>
      <c r="AA398" s="27"/>
    </row>
    <row r="399" ht="12.75" customHeight="1">
      <c r="A399" s="234" t="s">
        <v>53</v>
      </c>
      <c r="B399" s="197" t="str">
        <f>IF(S383="Accessory Only","",IF(S383="Boring But Big",'Start-Options'!$B$7,T400))</f>
        <v>Squat</v>
      </c>
      <c r="C399" s="198">
        <f>IF(S383="Accessory Only","",IF(S383="Boring But Big",IF(U390="","",MROUND(T390*U390,'Start-Options'!$B$38)),IF(T393=531,MROUND(U400*0.5,'Start-Options'!$B$38),MROUND(U400*0.6,'Start-Options'!$B$38))))</f>
        <v>77.5</v>
      </c>
      <c r="D399" s="198"/>
      <c r="E399" s="199">
        <f>IF(S383="Accessory Only","",IF(S383="Boring But Big",10,IF(T393=531,10,8)))</f>
        <v>10</v>
      </c>
      <c r="F399" s="185"/>
      <c r="G399" s="185"/>
      <c r="H399" s="200"/>
      <c r="I399" s="27"/>
      <c r="J399" s="252" t="s">
        <v>53</v>
      </c>
      <c r="K399" s="197" t="str">
        <f>IF(S383="Accessory Only","",IF(S383="Boring But Big",'Start-Options'!$B$7,T400))</f>
        <v>Squat</v>
      </c>
      <c r="L399" s="198">
        <f>IF(S383="Accessory Only","",IF(S383="Boring But Big",IF(V390="","",MROUND(T390*V390,'Start-Options'!$B$38)),IF(T393=531,MROUND(U400*0.6,'Start-Options'!$B$38),MROUND(U400*0.5,'Start-Options'!$B$38))))</f>
        <v>85</v>
      </c>
      <c r="M399" s="243"/>
      <c r="N399" s="244">
        <v>8.0</v>
      </c>
      <c r="O399" s="185"/>
      <c r="P399" s="185"/>
      <c r="Q399" s="187"/>
      <c r="R399" s="27"/>
      <c r="S399" s="25" t="s">
        <v>48</v>
      </c>
      <c r="T399" s="162" t="s">
        <v>212</v>
      </c>
      <c r="U399" s="162">
        <v>100.0</v>
      </c>
      <c r="V399" s="27"/>
      <c r="W399" s="27"/>
      <c r="X399" s="27"/>
      <c r="Y399" s="27"/>
      <c r="Z399" s="27"/>
      <c r="AA399" s="27"/>
    </row>
    <row r="400" ht="12.75" customHeight="1">
      <c r="A400" s="188"/>
      <c r="B400" s="189"/>
      <c r="C400" s="190">
        <f>IF(S383="Accessory Only","",IF(S383="Boring But Big",IF(U390="","",MROUND(T390*U390,'Start-Options'!$B$38)),IF(T393=531,MROUND(U400*0.6,'Start-Options'!$B$38),MROUND(U400*0.7,'Start-Options'!$B$38))))</f>
        <v>77.5</v>
      </c>
      <c r="D400" s="27"/>
      <c r="E400" s="78">
        <f>IF(S383="Accessory Only","",IF(S383="Boring But Big",10,IF(T393=531,10,8)))</f>
        <v>10</v>
      </c>
      <c r="F400" s="219"/>
      <c r="G400" s="219"/>
      <c r="H400" s="191"/>
      <c r="I400" s="27"/>
      <c r="J400" s="189"/>
      <c r="K400" s="189"/>
      <c r="L400" s="190">
        <f>IF(S383="Accessory Only","",IF(S383="Boring But Big",IF(V390="","",MROUND(T390*V390,'Start-Options'!$B$38)),IF(T393=531,MROUND(U400*0.7,'Start-Options'!$B$38),MROUND(U400*0.6,'Start-Options'!$B$38))))</f>
        <v>85</v>
      </c>
      <c r="M400" s="241"/>
      <c r="N400" s="242">
        <v>8.0</v>
      </c>
      <c r="O400" s="219"/>
      <c r="P400" s="219"/>
      <c r="Q400" s="201"/>
      <c r="R400" s="27"/>
      <c r="S400" s="82" t="s">
        <v>53</v>
      </c>
      <c r="T400" s="155" t="s">
        <v>224</v>
      </c>
      <c r="U400" s="155">
        <v>100.0</v>
      </c>
      <c r="V400" s="27"/>
      <c r="W400" s="27"/>
      <c r="X400" s="27"/>
      <c r="Y400" s="27"/>
      <c r="Z400" s="27"/>
      <c r="AA400" s="27"/>
    </row>
    <row r="401" ht="12.75" customHeight="1">
      <c r="A401" s="188"/>
      <c r="B401" s="189"/>
      <c r="C401" s="190">
        <f>IF(S383="Accessory Only","",IF(S383="Boring But Big",IF(U390="","",MROUND(T390*U390,'Start-Options'!$B$38)),IF(T393=531,MROUND(U400*0.7,'Start-Options'!$B$38),MROUND(U400*0.8,'Start-Options'!$B$38))))</f>
        <v>77.5</v>
      </c>
      <c r="D401" s="27"/>
      <c r="E401" s="78">
        <f>IF(S383="Accessory Only","",IF(S383="Boring But Big",10,IF(T393=531,10,6)))</f>
        <v>10</v>
      </c>
      <c r="F401" s="219"/>
      <c r="G401" s="219"/>
      <c r="H401" s="191"/>
      <c r="I401" s="27"/>
      <c r="J401" s="189"/>
      <c r="K401" s="189"/>
      <c r="L401" s="190">
        <f>IF(S383="Accessory Only","",IF(S383="Boring But Big",IF(V390="","",MROUND(T390*V390,'Start-Options'!$B$38)),IF(T393=531,MROUND(U400*0.8,'Start-Options'!$B$38),MROUND(U400*0.7,'Start-Options'!$B$38))))</f>
        <v>85</v>
      </c>
      <c r="M401" s="241"/>
      <c r="N401" s="242">
        <v>8.0</v>
      </c>
      <c r="O401" s="219"/>
      <c r="P401" s="219"/>
      <c r="Q401" s="201"/>
      <c r="R401" s="27"/>
      <c r="S401" s="27"/>
      <c r="T401" s="27"/>
      <c r="U401" s="27"/>
      <c r="V401" s="27"/>
      <c r="W401" s="27"/>
      <c r="X401" s="27"/>
      <c r="Y401" s="27"/>
      <c r="Z401" s="27"/>
      <c r="AA401" s="27"/>
    </row>
    <row r="402" ht="12.75" customHeight="1">
      <c r="A402" s="188"/>
      <c r="B402" s="189"/>
      <c r="C402" s="27">
        <f>IF(S383="Boring But Big",IF(U390="","",MROUND(T390*U390,'Start-Options'!$B$38)),"")</f>
        <v>77.5</v>
      </c>
      <c r="D402" s="27"/>
      <c r="E402" s="78">
        <f>IF(S383="Boring But Big",10,"")</f>
        <v>10</v>
      </c>
      <c r="F402" s="219"/>
      <c r="G402" s="219"/>
      <c r="H402" s="191"/>
      <c r="I402" s="27"/>
      <c r="J402" s="189"/>
      <c r="K402" s="189"/>
      <c r="L402" s="27">
        <f>IF(S383="Boring But Big",IF(V390="","",MROUND(T390*V390,'Start-Options'!$B$38)),"")</f>
        <v>85</v>
      </c>
      <c r="M402" s="241"/>
      <c r="N402" s="242">
        <v>8.0</v>
      </c>
      <c r="O402" s="219"/>
      <c r="P402" s="219"/>
      <c r="Q402" s="201"/>
      <c r="R402" s="27"/>
      <c r="S402" s="27"/>
      <c r="T402" s="27"/>
      <c r="U402" s="27"/>
      <c r="V402" s="27"/>
      <c r="W402" s="27"/>
      <c r="X402" s="27"/>
      <c r="Y402" s="27"/>
      <c r="Z402" s="27"/>
      <c r="AA402" s="27"/>
    </row>
    <row r="403" ht="12.75" customHeight="1">
      <c r="A403" s="194"/>
      <c r="B403" s="195"/>
      <c r="C403" s="208">
        <f>IF(S383="Boring But Big",IF(U390="","",MROUND(T390*U390,'Start-Options'!$B$38)),"")</f>
        <v>77.5</v>
      </c>
      <c r="D403" s="49"/>
      <c r="E403" s="83">
        <f>IF(S383="Boring But Big",10,"")</f>
        <v>10</v>
      </c>
      <c r="F403" s="154"/>
      <c r="G403" s="154"/>
      <c r="H403" s="155"/>
      <c r="I403" s="27"/>
      <c r="J403" s="195"/>
      <c r="K403" s="195"/>
      <c r="L403" s="208">
        <f>IF(S383="Boring But Big",IF(V390="","",MROUND(T390*V390,'Start-Options'!$B$38)),"")</f>
        <v>85</v>
      </c>
      <c r="M403" s="245"/>
      <c r="N403" s="246">
        <v>8.0</v>
      </c>
      <c r="O403" s="154"/>
      <c r="P403" s="154"/>
      <c r="Q403" s="206"/>
      <c r="R403" s="27"/>
      <c r="S403" s="27"/>
      <c r="T403" s="27"/>
      <c r="U403" s="27"/>
      <c r="V403" s="27"/>
      <c r="W403" s="27"/>
      <c r="X403" s="27"/>
      <c r="Y403" s="27"/>
      <c r="Z403" s="27"/>
      <c r="AA403" s="27"/>
    </row>
    <row r="404" ht="12.75" customHeight="1">
      <c r="A404" s="168"/>
      <c r="B404" s="27"/>
      <c r="C404" s="27"/>
      <c r="D404" s="27"/>
      <c r="E404" s="27"/>
      <c r="F404" s="27"/>
      <c r="G404" s="27"/>
      <c r="H404" s="27"/>
      <c r="I404" s="27"/>
      <c r="J404" s="27"/>
      <c r="K404" s="27"/>
      <c r="L404" s="27"/>
      <c r="M404" s="27"/>
      <c r="N404" s="27"/>
      <c r="O404" s="27"/>
      <c r="P404" s="27"/>
      <c r="Q404" s="209"/>
      <c r="R404" s="27"/>
      <c r="S404" s="27"/>
      <c r="T404" s="27"/>
      <c r="U404" s="27"/>
      <c r="V404" s="27"/>
      <c r="W404" s="27"/>
      <c r="X404" s="27"/>
      <c r="Y404" s="27"/>
      <c r="Z404" s="27"/>
      <c r="AA404" s="27"/>
    </row>
    <row r="405" ht="12.75" customHeight="1">
      <c r="A405" s="210" t="s">
        <v>275</v>
      </c>
      <c r="B405" s="211" t="s">
        <v>177</v>
      </c>
      <c r="C405" s="41"/>
      <c r="D405" s="41"/>
      <c r="E405" s="42"/>
      <c r="F405" s="211" t="s">
        <v>178</v>
      </c>
      <c r="G405" s="41"/>
      <c r="H405" s="42"/>
      <c r="I405" s="27"/>
      <c r="J405" s="212" t="s">
        <v>276</v>
      </c>
      <c r="K405" s="211" t="s">
        <v>177</v>
      </c>
      <c r="L405" s="41"/>
      <c r="M405" s="41"/>
      <c r="N405" s="42"/>
      <c r="O405" s="211" t="s">
        <v>178</v>
      </c>
      <c r="P405" s="41"/>
      <c r="Q405" s="213"/>
      <c r="R405" s="27"/>
      <c r="S405" s="70" t="s">
        <v>93</v>
      </c>
      <c r="T405" s="71"/>
      <c r="U405" s="27"/>
      <c r="V405" s="27"/>
      <c r="W405" s="27"/>
      <c r="X405" s="27"/>
      <c r="Y405" s="27"/>
      <c r="Z405" s="27"/>
      <c r="AA405" s="27"/>
    </row>
    <row r="406" ht="12.75" customHeight="1">
      <c r="A406" s="194"/>
      <c r="B406" s="214" t="s">
        <v>181</v>
      </c>
      <c r="C406" s="215" t="s">
        <v>26</v>
      </c>
      <c r="D406" s="215"/>
      <c r="E406" s="215" t="s">
        <v>27</v>
      </c>
      <c r="F406" s="215" t="s">
        <v>182</v>
      </c>
      <c r="G406" s="216" t="s">
        <v>183</v>
      </c>
      <c r="H406" s="215" t="s">
        <v>26</v>
      </c>
      <c r="I406" s="27"/>
      <c r="J406" s="217"/>
      <c r="K406" s="214" t="s">
        <v>181</v>
      </c>
      <c r="L406" s="215" t="s">
        <v>26</v>
      </c>
      <c r="M406" s="215"/>
      <c r="N406" s="215" t="s">
        <v>27</v>
      </c>
      <c r="O406" s="215" t="s">
        <v>182</v>
      </c>
      <c r="P406" s="216" t="s">
        <v>183</v>
      </c>
      <c r="Q406" s="218" t="s">
        <v>26</v>
      </c>
      <c r="R406" s="27"/>
      <c r="S406" s="25" t="s">
        <v>94</v>
      </c>
      <c r="T406" s="162"/>
      <c r="U406" s="27"/>
      <c r="V406" s="27"/>
      <c r="W406" s="27"/>
      <c r="X406" s="27"/>
      <c r="Y406" s="27"/>
      <c r="Z406" s="27"/>
      <c r="AA406" s="27"/>
    </row>
    <row r="407" ht="12.75" customHeight="1">
      <c r="A407" s="234" t="s">
        <v>36</v>
      </c>
      <c r="B407" s="197" t="str">
        <f>IF(S383="Accessory Only","",IF(S383="Boring But Big",'Start-Options'!$B$4,T397))</f>
        <v>Military</v>
      </c>
      <c r="C407" s="198">
        <f>IF(S383="Accessory Only","",IF(S383="Boring But Big",IF(W387="","",MROUND(T387*W387,'Start-Options'!$B$38)),IF(T393=531,MROUND(U397*0.65,'Start-Options'!$B$38),MROUND(U397*0.65,'Start-Options'!$B$38))))</f>
        <v>52.5</v>
      </c>
      <c r="D407" s="243"/>
      <c r="E407" s="244">
        <v>5.0</v>
      </c>
      <c r="F407" s="185"/>
      <c r="G407" s="185"/>
      <c r="H407" s="200"/>
      <c r="I407" s="27"/>
      <c r="J407" s="252" t="s">
        <v>36</v>
      </c>
      <c r="K407" s="197" t="str">
        <f>IF(S383="Accessory Only","",IF(S383="Boring But Big",'Start-Options'!$B$4,T397))</f>
        <v>Military</v>
      </c>
      <c r="L407" s="198">
        <f>IF(S383="Accessory Only","",IF(S383="Boring But Big",IF(X387="","",MROUND(T387*X387,'Start-Options'!$B$38)),MROUND(U397*0.4,'Start-Options'!$B$38)))</f>
        <v>35</v>
      </c>
      <c r="M407" s="198"/>
      <c r="N407" s="199">
        <f>IF(S383="Accessory Only","",IF(S383="Boring But Big",10,5))</f>
        <v>10</v>
      </c>
      <c r="O407" s="185"/>
      <c r="P407" s="185"/>
      <c r="Q407" s="187"/>
      <c r="R407" s="27"/>
      <c r="S407" s="77" t="s">
        <v>95</v>
      </c>
      <c r="T407" s="78" t="str">
        <f>IF(T406="","",MROUND(T406*0.4,'Start-Options'!$B$38))</f>
        <v/>
      </c>
      <c r="U407" s="27"/>
      <c r="V407" s="27"/>
      <c r="W407" s="27"/>
      <c r="X407" s="27"/>
      <c r="Y407" s="27"/>
      <c r="Z407" s="27"/>
      <c r="AA407" s="27"/>
    </row>
    <row r="408" ht="12.75" customHeight="1">
      <c r="A408" s="188"/>
      <c r="B408" s="189"/>
      <c r="C408" s="190">
        <f>IF(S383="Accessory Only","",IF(S383="Boring But Big",IF(W387="","",MROUND(T387*W387,'Start-Options'!$B$38)),IF(T393=531,MROUND(U397*0.75,'Start-Options'!$B$38),MROUND(U397*0.75,'Start-Options'!$B$38))))</f>
        <v>52.5</v>
      </c>
      <c r="D408" s="241"/>
      <c r="E408" s="242">
        <v>5.0</v>
      </c>
      <c r="F408" s="219"/>
      <c r="G408" s="219"/>
      <c r="H408" s="191"/>
      <c r="I408" s="27"/>
      <c r="J408" s="189"/>
      <c r="K408" s="189"/>
      <c r="L408" s="190">
        <f>IF(S383="Accessory Only","",IF(S383="Boring But Big",IF(X387="","",MROUND(T387*X387,'Start-Options'!$B$38)),MROUND(U397*0.5,'Start-Options'!$B$38)))</f>
        <v>35</v>
      </c>
      <c r="M408" s="27"/>
      <c r="N408" s="78">
        <f>IF(S383="Accessory Only","",IF(S383="Boring But Big",10,5))</f>
        <v>10</v>
      </c>
      <c r="O408" s="220"/>
      <c r="P408" s="220"/>
      <c r="Q408" s="221"/>
      <c r="R408" s="27"/>
      <c r="S408" s="77" t="s">
        <v>96</v>
      </c>
      <c r="T408" s="78" t="str">
        <f>IF(T406="","",MROUND(T406*0.5,'Start-Options'!$B$38))</f>
        <v/>
      </c>
      <c r="U408" s="27"/>
      <c r="V408" s="27"/>
      <c r="W408" s="27"/>
      <c r="X408" s="27"/>
      <c r="Y408" s="27"/>
      <c r="Z408" s="27"/>
      <c r="AA408" s="27"/>
    </row>
    <row r="409" ht="12.75" customHeight="1">
      <c r="A409" s="188"/>
      <c r="B409" s="189"/>
      <c r="C409" s="190">
        <f>IF(S383="Accessory Only","",IF(S383="Boring But Big",IF(W387="","",MROUND(T387*W387,'Start-Options'!$B$38)),IF(T393=531,MROUND(U397*0.85,'Start-Options'!$B$38),MROUND(U397*0.85,'Start-Options'!$B$38))))</f>
        <v>52.5</v>
      </c>
      <c r="D409" s="241"/>
      <c r="E409" s="242">
        <v>5.0</v>
      </c>
      <c r="F409" s="219"/>
      <c r="G409" s="219"/>
      <c r="H409" s="191"/>
      <c r="I409" s="27"/>
      <c r="J409" s="189"/>
      <c r="K409" s="189"/>
      <c r="L409" s="190">
        <f>IF(S383="Accessory Only","",IF(S383="Boring But Big",IF(X387="","",MROUND(T387*X387,'Start-Options'!$B$38)),MROUND(U397*0.6,'Start-Options'!$B$38)))</f>
        <v>35</v>
      </c>
      <c r="M409" s="27"/>
      <c r="N409" s="78">
        <f>IF(S383="Accessory Only","",IF(S383="Boring But Big",10,5))</f>
        <v>10</v>
      </c>
      <c r="O409" s="220"/>
      <c r="P409" s="220"/>
      <c r="Q409" s="222"/>
      <c r="R409" s="27"/>
      <c r="S409" s="82" t="s">
        <v>97</v>
      </c>
      <c r="T409" s="83" t="str">
        <f>IF(T406="","",MROUND(T406*0.6,'Start-Options'!$B$38))</f>
        <v/>
      </c>
      <c r="U409" s="27"/>
      <c r="V409" s="27"/>
      <c r="W409" s="27"/>
      <c r="X409" s="27"/>
      <c r="Y409" s="27"/>
      <c r="Z409" s="27"/>
      <c r="AA409" s="27"/>
    </row>
    <row r="410" ht="12.75" customHeight="1">
      <c r="A410" s="188"/>
      <c r="B410" s="189"/>
      <c r="C410" s="27">
        <f>IF(S383="Boring But Big",IF(W387="","",MROUND(T387*W387,'Start-Options'!$B$38)),"")</f>
        <v>52.5</v>
      </c>
      <c r="D410" s="241"/>
      <c r="E410" s="242">
        <v>5.0</v>
      </c>
      <c r="F410" s="219"/>
      <c r="G410" s="219"/>
      <c r="H410" s="191"/>
      <c r="I410" s="27"/>
      <c r="J410" s="189"/>
      <c r="K410" s="189"/>
      <c r="L410" s="27">
        <f>IF(S383="Boring But Big",IF(X387="","",MROUND(T387*X387,'Start-Options'!$B$38)),"")</f>
        <v>35</v>
      </c>
      <c r="M410" s="27"/>
      <c r="N410" s="78">
        <f>IF(S383="Boring But Big",10,"")</f>
        <v>10</v>
      </c>
      <c r="O410" s="219"/>
      <c r="P410" s="219"/>
      <c r="Q410" s="201"/>
      <c r="R410" s="27"/>
      <c r="S410" s="27"/>
      <c r="T410" s="27"/>
      <c r="U410" s="27"/>
      <c r="V410" s="27"/>
      <c r="W410" s="27"/>
      <c r="X410" s="27"/>
      <c r="Y410" s="27"/>
      <c r="Z410" s="27"/>
      <c r="AA410" s="27"/>
    </row>
    <row r="411" ht="12.75" customHeight="1">
      <c r="A411" s="194"/>
      <c r="B411" s="195"/>
      <c r="C411" s="27">
        <f>IF(S383="Boring But Big",IF(W387="","",MROUND(T387*W387,'Start-Options'!$B$38)),"")</f>
        <v>52.5</v>
      </c>
      <c r="D411" s="241"/>
      <c r="E411" s="242">
        <v>5.0</v>
      </c>
      <c r="F411" s="154"/>
      <c r="G411" s="154"/>
      <c r="H411" s="155"/>
      <c r="I411" s="27"/>
      <c r="J411" s="195"/>
      <c r="K411" s="195"/>
      <c r="L411" s="27">
        <f>IF(S383="Boring But Big",IF(X387="","",MROUND(T387*X387,'Start-Options'!$B$38)),"")</f>
        <v>35</v>
      </c>
      <c r="M411" s="27"/>
      <c r="N411" s="78">
        <f>IF(S383="Boring But Big",10,"")</f>
        <v>10</v>
      </c>
      <c r="O411" s="154"/>
      <c r="P411" s="154"/>
      <c r="Q411" s="206"/>
      <c r="R411" s="27"/>
      <c r="S411" s="27"/>
      <c r="T411" s="27"/>
      <c r="U411" s="27"/>
      <c r="V411" s="27"/>
      <c r="W411" s="27"/>
      <c r="X411" s="27"/>
      <c r="Y411" s="27"/>
      <c r="Z411" s="27"/>
      <c r="AA411" s="27"/>
    </row>
    <row r="412" ht="12.75" customHeight="1">
      <c r="A412" s="234" t="s">
        <v>44</v>
      </c>
      <c r="B412" s="197" t="str">
        <f>IF(S383="Accessory Only","",IF(S383="Boring But Big",'Start-Options'!$B$5,T398))</f>
        <v>Deadlift</v>
      </c>
      <c r="C412" s="198">
        <f>IF(S383="Accessory Only","",IF(S383="Boring But Big",IF(W388="","",MROUND(T388*W388,'Start-Options'!$B$38)),IF(T393=531,MROUND(U398*0.65,'Start-Options'!$B$38),MROUND(U398*0.65,'Start-Options'!$B$38))))</f>
        <v>112.5</v>
      </c>
      <c r="D412" s="243"/>
      <c r="E412" s="244">
        <v>5.0</v>
      </c>
      <c r="F412" s="185"/>
      <c r="G412" s="185"/>
      <c r="H412" s="200"/>
      <c r="I412" s="27"/>
      <c r="J412" s="252" t="s">
        <v>44</v>
      </c>
      <c r="K412" s="197" t="str">
        <f>IF(S383="Accessory Only","",IF(S383="Boring But Big",'Start-Options'!$B$5,T398))</f>
        <v>Deadlift</v>
      </c>
      <c r="L412" s="198">
        <f>IF(S383="Accessory Only","",IF(S383="Boring But Big",IF(X388="","",MROUND(T388*X388,'Start-Options'!$B$38)),MROUND(U398*0.4,'Start-Options'!$B$38)))</f>
        <v>75</v>
      </c>
      <c r="M412" s="198"/>
      <c r="N412" s="199">
        <f>IF(S383="Accessory Only","",IF(S383="Boring But Big",10,5))</f>
        <v>10</v>
      </c>
      <c r="O412" s="185"/>
      <c r="P412" s="185"/>
      <c r="Q412" s="187"/>
      <c r="R412" s="27"/>
      <c r="S412" s="27"/>
      <c r="T412" s="27"/>
      <c r="U412" s="27"/>
      <c r="V412" s="27"/>
      <c r="W412" s="27"/>
      <c r="X412" s="27"/>
      <c r="Y412" s="27"/>
      <c r="Z412" s="27"/>
      <c r="AA412" s="27"/>
    </row>
    <row r="413" ht="12.75" customHeight="1">
      <c r="A413" s="188"/>
      <c r="B413" s="189"/>
      <c r="C413" s="190">
        <f>IF(S383="Accessory Only","",IF(S383="Boring But Big",IF(W388="","",MROUND(T388*W388,'Start-Options'!$B$38)),IF(T393=531,MROUND(U398*0.75,'Start-Options'!$B$38),MROUND(U398*0.75,'Start-Options'!$B$38))))</f>
        <v>112.5</v>
      </c>
      <c r="D413" s="241"/>
      <c r="E413" s="242">
        <v>5.0</v>
      </c>
      <c r="F413" s="219"/>
      <c r="G413" s="219"/>
      <c r="H413" s="191"/>
      <c r="I413" s="27"/>
      <c r="J413" s="189"/>
      <c r="K413" s="189"/>
      <c r="L413" s="190">
        <f>IF(S383="Accessory Only","",IF(S383="Boring But Big",IF(X388="","",MROUND(T388*X388,'Start-Options'!$B$38)),MROUND(U398*0.5,'Start-Options'!$B$38)))</f>
        <v>75</v>
      </c>
      <c r="M413" s="27"/>
      <c r="N413" s="78">
        <f>IF(S383="Accessory Only","",IF(S383="Boring But Big",10,5))</f>
        <v>10</v>
      </c>
      <c r="O413" s="220"/>
      <c r="P413" s="220"/>
      <c r="Q413" s="222"/>
      <c r="R413" s="27"/>
      <c r="S413" s="27"/>
      <c r="T413" s="27"/>
      <c r="U413" s="27"/>
      <c r="V413" s="27"/>
      <c r="W413" s="27"/>
      <c r="X413" s="27"/>
      <c r="Y413" s="27"/>
      <c r="Z413" s="27"/>
      <c r="AA413" s="27"/>
    </row>
    <row r="414" ht="12.75" customHeight="1">
      <c r="A414" s="188"/>
      <c r="B414" s="189"/>
      <c r="C414" s="190">
        <f>IF(S383="Accessory Only","",IF(S383="Boring But Big",IF(W388="","",MROUND(T388*W388,'Start-Options'!$B$38)),IF(T393=531,MROUND(U398*0.85,'Start-Options'!$B$38),MROUND(U398*0.85,'Start-Options'!$B$38))))</f>
        <v>112.5</v>
      </c>
      <c r="D414" s="241"/>
      <c r="E414" s="242">
        <v>5.0</v>
      </c>
      <c r="F414" s="219"/>
      <c r="G414" s="219"/>
      <c r="H414" s="191"/>
      <c r="I414" s="27"/>
      <c r="J414" s="189"/>
      <c r="K414" s="189"/>
      <c r="L414" s="190">
        <f>IF(S383="Accessory Only","",IF(S383="Boring But Big",IF(X388="","",MROUND(T388*X388,'Start-Options'!$B$38)),MROUND(U398*0.6,'Start-Options'!$B$38)))</f>
        <v>75</v>
      </c>
      <c r="M414" s="27"/>
      <c r="N414" s="78">
        <f>IF(S383="Accessory Only","",IF(S383="Boring But Big",10,5))</f>
        <v>10</v>
      </c>
      <c r="O414" s="220"/>
      <c r="P414" s="220"/>
      <c r="Q414" s="222"/>
      <c r="R414" s="27"/>
      <c r="S414" s="27"/>
      <c r="T414" s="27"/>
      <c r="U414" s="27"/>
      <c r="V414" s="27"/>
      <c r="W414" s="27"/>
      <c r="X414" s="27"/>
      <c r="Y414" s="231"/>
      <c r="Z414" s="231"/>
      <c r="AA414" s="27"/>
    </row>
    <row r="415" ht="12.75" customHeight="1">
      <c r="A415" s="188"/>
      <c r="B415" s="189"/>
      <c r="C415" s="27">
        <f>IF(S383="Boring But Big",IF(W388="","",MROUND(T388*W388,'Start-Options'!$B$38)),"")</f>
        <v>112.5</v>
      </c>
      <c r="D415" s="241"/>
      <c r="E415" s="242">
        <v>5.0</v>
      </c>
      <c r="F415" s="219"/>
      <c r="G415" s="219"/>
      <c r="H415" s="191"/>
      <c r="I415" s="27"/>
      <c r="J415" s="189"/>
      <c r="K415" s="189"/>
      <c r="L415" s="27">
        <f>IF(S383="Boring But Big",IF(X388="","",MROUND(T388*X388,'Start-Options'!$B$38)),"")</f>
        <v>75</v>
      </c>
      <c r="M415" s="27"/>
      <c r="N415" s="78">
        <f>IF(S383="Boring But Big",10,"")</f>
        <v>10</v>
      </c>
      <c r="O415" s="219"/>
      <c r="P415" s="219"/>
      <c r="Q415" s="201"/>
      <c r="R415" s="27"/>
      <c r="S415" s="27"/>
      <c r="T415" s="27"/>
      <c r="U415" s="27"/>
      <c r="V415" s="27"/>
      <c r="W415" s="27"/>
      <c r="X415" s="27"/>
      <c r="Y415" s="27"/>
      <c r="Z415" s="27"/>
      <c r="AA415" s="27"/>
    </row>
    <row r="416" ht="12.75" customHeight="1">
      <c r="A416" s="188"/>
      <c r="B416" s="195"/>
      <c r="C416" s="27">
        <f>IF(S383="Boring But Big",IF(W388="","",MROUND(T388*W388,'Start-Options'!$B$38)),"")</f>
        <v>112.5</v>
      </c>
      <c r="D416" s="241"/>
      <c r="E416" s="242">
        <v>5.0</v>
      </c>
      <c r="F416" s="154"/>
      <c r="G416" s="154"/>
      <c r="H416" s="155"/>
      <c r="I416" s="27"/>
      <c r="J416" s="189"/>
      <c r="K416" s="195"/>
      <c r="L416" s="27">
        <f>IF(S383="Boring But Big",IF(X388="","",MROUND(T388*X388,'Start-Options'!$B$38)),"")</f>
        <v>75</v>
      </c>
      <c r="M416" s="27"/>
      <c r="N416" s="78">
        <f>IF(S383="Boring But Big",10,"")</f>
        <v>10</v>
      </c>
      <c r="O416" s="154"/>
      <c r="P416" s="154"/>
      <c r="Q416" s="206"/>
      <c r="R416" s="27"/>
      <c r="S416" s="27"/>
      <c r="T416" s="27"/>
      <c r="U416" s="27"/>
      <c r="V416" s="27"/>
      <c r="W416" s="27"/>
      <c r="X416" s="27"/>
      <c r="Y416" s="27"/>
      <c r="Z416" s="27"/>
      <c r="AA416" s="27"/>
    </row>
    <row r="417" ht="12.75" customHeight="1">
      <c r="A417" s="234" t="s">
        <v>48</v>
      </c>
      <c r="B417" s="197" t="str">
        <f>IF(S383="Accessory Only","",IF(S383="Boring But Big",'Start-Options'!$B$6,T399))</f>
        <v>Bench</v>
      </c>
      <c r="C417" s="198">
        <f>IF(S383="Accessory Only","",IF(S383="Boring But Big",IF(W389="","",MROUND(T389*W389,'Start-Options'!$B$38)),IF(T393=531,MROUND(U399*0.65,'Start-Options'!$B$38),MROUND(U399*0.65,'Start-Options'!$B$38))))</f>
        <v>67.5</v>
      </c>
      <c r="D417" s="243"/>
      <c r="E417" s="244">
        <v>5.0</v>
      </c>
      <c r="F417" s="185"/>
      <c r="G417" s="185"/>
      <c r="H417" s="200"/>
      <c r="I417" s="27"/>
      <c r="J417" s="252" t="s">
        <v>48</v>
      </c>
      <c r="K417" s="197" t="str">
        <f>IF(S383="Accessory Only","",IF(S383="Boring But Big",'Start-Options'!$B$6,T399))</f>
        <v>Bench</v>
      </c>
      <c r="L417" s="198">
        <f>IF(S383="Accessory Only","",IF(S383="Boring But Big",IF(X389="","",MROUND(T389*X389,'Start-Options'!$B$38)),MROUND(U399*0.4,'Start-Options'!$B$38)))</f>
        <v>45</v>
      </c>
      <c r="M417" s="198"/>
      <c r="N417" s="199">
        <f>IF(S383="Accessory Only","",IF(S383="Boring But Big",10,5))</f>
        <v>10</v>
      </c>
      <c r="O417" s="185"/>
      <c r="P417" s="185"/>
      <c r="Q417" s="187"/>
      <c r="R417" s="27"/>
      <c r="S417" s="27"/>
      <c r="T417" s="27"/>
      <c r="U417" s="27"/>
      <c r="V417" s="27"/>
      <c r="W417" s="27"/>
      <c r="X417" s="27"/>
      <c r="Y417" s="27"/>
      <c r="Z417" s="27"/>
      <c r="AA417" s="27"/>
    </row>
    <row r="418" ht="12.75" customHeight="1">
      <c r="A418" s="188"/>
      <c r="B418" s="189"/>
      <c r="C418" s="190">
        <f>IF(S383="Accessory Only","",IF(S383="Boring But Big",IF(W389="","",MROUND(T389*W389,'Start-Options'!$B$38)),IF(T393=531,MROUND(U399*0.75,'Start-Options'!$B$38),MROUND(U399*0.75,'Start-Options'!$B$38))))</f>
        <v>67.5</v>
      </c>
      <c r="D418" s="241"/>
      <c r="E418" s="242">
        <v>5.0</v>
      </c>
      <c r="F418" s="219"/>
      <c r="G418" s="219"/>
      <c r="H418" s="191"/>
      <c r="I418" s="27"/>
      <c r="J418" s="189"/>
      <c r="K418" s="189"/>
      <c r="L418" s="190">
        <f>IF(S383="Accessory Only","",IF(S383="Boring But Big",IF(X389="","",MROUND(T389*X389,'Start-Options'!$B$38)),MROUND(U399*0.5,'Start-Options'!$B$38)))</f>
        <v>45</v>
      </c>
      <c r="M418" s="27"/>
      <c r="N418" s="78">
        <f>IF(S383="Accessory Only","",IF(S383="Boring But Big",10,5))</f>
        <v>10</v>
      </c>
      <c r="O418" s="220"/>
      <c r="P418" s="220"/>
      <c r="Q418" s="222"/>
      <c r="R418" s="27"/>
      <c r="S418" s="27"/>
      <c r="T418" s="27"/>
      <c r="U418" s="27"/>
      <c r="V418" s="27"/>
      <c r="W418" s="27"/>
      <c r="X418" s="27"/>
      <c r="Y418" s="27"/>
      <c r="Z418" s="27"/>
      <c r="AA418" s="27"/>
    </row>
    <row r="419" ht="12.75" customHeight="1">
      <c r="A419" s="188"/>
      <c r="B419" s="189"/>
      <c r="C419" s="190">
        <f>IF(S383="Accessory Only","",IF(S383="Boring But Big",IF(W389="","",MROUND(T389*W389,'Start-Options'!$B$38)),IF(T393=531,MROUND(U399*0.85,'Start-Options'!$B$38),MROUND(U399*0.85,'Start-Options'!$B$38))))</f>
        <v>67.5</v>
      </c>
      <c r="D419" s="241"/>
      <c r="E419" s="242">
        <v>5.0</v>
      </c>
      <c r="F419" s="219"/>
      <c r="G419" s="219"/>
      <c r="H419" s="191"/>
      <c r="I419" s="27"/>
      <c r="J419" s="189"/>
      <c r="K419" s="189"/>
      <c r="L419" s="190">
        <f>IF(S383="Accessory Only","",IF(S383="Boring But Big",IF(X389="","",MROUND(T389*X389,'Start-Options'!$B$38)),MROUND(U399*0.6,'Start-Options'!$B$38)))</f>
        <v>45</v>
      </c>
      <c r="M419" s="27"/>
      <c r="N419" s="78">
        <f>IF(S383="Accessory Only","",IF(S383="Boring But Big",10,5))</f>
        <v>10</v>
      </c>
      <c r="O419" s="220"/>
      <c r="P419" s="220"/>
      <c r="Q419" s="222"/>
      <c r="R419" s="27"/>
      <c r="S419" s="27"/>
      <c r="T419" s="27"/>
      <c r="U419" s="27"/>
      <c r="V419" s="27"/>
      <c r="W419" s="27"/>
      <c r="X419" s="27"/>
      <c r="Y419" s="27"/>
      <c r="Z419" s="27"/>
      <c r="AA419" s="27"/>
    </row>
    <row r="420" ht="12.75" customHeight="1">
      <c r="A420" s="188"/>
      <c r="B420" s="189"/>
      <c r="C420" s="27">
        <f>IF(S383="Boring But Big",IF(W389="","",MROUND(T389*W389,'Start-Options'!$B$38)),"")</f>
        <v>67.5</v>
      </c>
      <c r="D420" s="241"/>
      <c r="E420" s="242">
        <v>5.0</v>
      </c>
      <c r="F420" s="219"/>
      <c r="G420" s="219"/>
      <c r="H420" s="191"/>
      <c r="I420" s="27"/>
      <c r="J420" s="189"/>
      <c r="K420" s="189"/>
      <c r="L420" s="27">
        <f>IF(S383="Boring But Big",IF(X389="","",MROUND(T389*X389,'Start-Options'!$B$38)),"")</f>
        <v>45</v>
      </c>
      <c r="M420" s="27"/>
      <c r="N420" s="78">
        <f>IF(S383="Boring But Big",10,"")</f>
        <v>10</v>
      </c>
      <c r="O420" s="219"/>
      <c r="P420" s="219"/>
      <c r="Q420" s="201"/>
      <c r="R420" s="27"/>
      <c r="S420" s="27"/>
      <c r="T420" s="27"/>
      <c r="U420" s="27"/>
      <c r="V420" s="27"/>
      <c r="W420" s="27"/>
      <c r="X420" s="27"/>
      <c r="Y420" s="27"/>
      <c r="Z420" s="27"/>
      <c r="AA420" s="27"/>
    </row>
    <row r="421" ht="12.75" customHeight="1">
      <c r="A421" s="194"/>
      <c r="B421" s="195"/>
      <c r="C421" s="27">
        <f>IF(S383="Boring But Big",IF(W389="","",MROUND(T389*W389,'Start-Options'!$B$38)),"")</f>
        <v>67.5</v>
      </c>
      <c r="D421" s="241"/>
      <c r="E421" s="242">
        <v>5.0</v>
      </c>
      <c r="F421" s="154"/>
      <c r="G421" s="154"/>
      <c r="H421" s="155"/>
      <c r="I421" s="27"/>
      <c r="J421" s="195"/>
      <c r="K421" s="195"/>
      <c r="L421" s="27">
        <f>IF(S383="Boring But Big",IF(X389="","",MROUND(T389*X389,'Start-Options'!$B$38)),"")</f>
        <v>45</v>
      </c>
      <c r="M421" s="27"/>
      <c r="N421" s="78">
        <f>IF(S383="Boring But Big",10,"")</f>
        <v>10</v>
      </c>
      <c r="O421" s="154"/>
      <c r="P421" s="154"/>
      <c r="Q421" s="206"/>
      <c r="R421" s="27"/>
      <c r="S421" s="27"/>
      <c r="T421" s="27"/>
      <c r="U421" s="27"/>
      <c r="V421" s="27"/>
      <c r="W421" s="27"/>
      <c r="X421" s="27"/>
      <c r="Y421" s="27"/>
      <c r="Z421" s="27"/>
      <c r="AA421" s="27"/>
    </row>
    <row r="422" ht="12.75" customHeight="1">
      <c r="A422" s="234" t="s">
        <v>53</v>
      </c>
      <c r="B422" s="197" t="str">
        <f>IF(S383="Accessory Only","",IF(S383="Boring But Big",'Start-Options'!$B$7,T400))</f>
        <v>Squat</v>
      </c>
      <c r="C422" s="198">
        <f>IF(S383="Accessory Only","",IF(S383="Boring But Big",IF(W390="","",MROUND(T390*W390,'Start-Options'!$B$38)),IF(T393=531,MROUND(U400*0.65,'Start-Options'!$B$38),MROUND(U400*0.65,'Start-Options'!$B$38))))</f>
        <v>90</v>
      </c>
      <c r="D422" s="243"/>
      <c r="E422" s="244">
        <v>5.0</v>
      </c>
      <c r="F422" s="185"/>
      <c r="G422" s="185"/>
      <c r="H422" s="200"/>
      <c r="I422" s="27"/>
      <c r="J422" s="252" t="s">
        <v>53</v>
      </c>
      <c r="K422" s="197" t="str">
        <f>IF(S383="Accessory Only","",IF(S383="Boring But Big",'Start-Options'!$B$7,T400))</f>
        <v>Squat</v>
      </c>
      <c r="L422" s="198">
        <f>IF(S383="Accessory Only","",IF(S383="Boring But Big",IF(X390="","",MROUND(T390*X390,'Start-Options'!$B$38)),MROUND(U400*0.4,'Start-Options'!$B$38)))</f>
        <v>60</v>
      </c>
      <c r="M422" s="198"/>
      <c r="N422" s="199">
        <f>IF(S383="Accessory Only","",IF(S383="Boring But Big",10,5))</f>
        <v>10</v>
      </c>
      <c r="O422" s="185"/>
      <c r="P422" s="185"/>
      <c r="Q422" s="187"/>
      <c r="R422" s="27"/>
      <c r="S422" s="27"/>
      <c r="T422" s="27"/>
      <c r="U422" s="27"/>
      <c r="V422" s="27"/>
      <c r="W422" s="27"/>
      <c r="X422" s="27"/>
      <c r="Y422" s="27"/>
      <c r="Z422" s="27"/>
      <c r="AA422" s="27"/>
    </row>
    <row r="423" ht="12.75" customHeight="1">
      <c r="A423" s="188"/>
      <c r="B423" s="189"/>
      <c r="C423" s="190">
        <f>IF(S383="Accessory Only","",IF(S383="Boring But Big",IF(W390="","",MROUND(T390*W390,'Start-Options'!$B$38)),IF(T393=531,MROUND(U400*0.75,'Start-Options'!$B$38),MROUND(U400*0.75,'Start-Options'!$B$38))))</f>
        <v>90</v>
      </c>
      <c r="D423" s="241"/>
      <c r="E423" s="242">
        <v>5.0</v>
      </c>
      <c r="F423" s="219"/>
      <c r="G423" s="219"/>
      <c r="H423" s="191"/>
      <c r="I423" s="27"/>
      <c r="J423" s="189"/>
      <c r="K423" s="189"/>
      <c r="L423" s="190">
        <f>IF(S383="Accessory Only","",IF(S383="Boring But Big",IF(X390="","",MROUND(T390*X390,'Start-Options'!$B$38)),MROUND(U400*0.5,'Start-Options'!$B$38)))</f>
        <v>60</v>
      </c>
      <c r="M423" s="27"/>
      <c r="N423" s="78">
        <f>IF(S383="Accessory Only","",IF(S383="Boring But Big",10,5))</f>
        <v>10</v>
      </c>
      <c r="O423" s="220"/>
      <c r="P423" s="220"/>
      <c r="Q423" s="222"/>
      <c r="R423" s="27"/>
      <c r="S423" s="27"/>
      <c r="T423" s="27"/>
      <c r="U423" s="27"/>
      <c r="V423" s="27"/>
      <c r="W423" s="27"/>
      <c r="X423" s="27"/>
      <c r="Y423" s="27"/>
      <c r="Z423" s="27"/>
      <c r="AA423" s="27"/>
    </row>
    <row r="424" ht="12.75" customHeight="1">
      <c r="A424" s="188"/>
      <c r="B424" s="189"/>
      <c r="C424" s="190">
        <f>IF(S383="Accessory Only","",IF(S383="Boring But Big",IF(W390="","",MROUND(T390*W390,'Start-Options'!$B$38)),IF(T393=531,MROUND(U400*0.85,'Start-Options'!$B$38),MROUND(U400*0.85,'Start-Options'!$B$38))))</f>
        <v>90</v>
      </c>
      <c r="D424" s="241"/>
      <c r="E424" s="242">
        <v>5.0</v>
      </c>
      <c r="F424" s="219"/>
      <c r="G424" s="219"/>
      <c r="H424" s="191"/>
      <c r="I424" s="27"/>
      <c r="J424" s="189"/>
      <c r="K424" s="189"/>
      <c r="L424" s="190">
        <f>IF(S383="Accessory Only","",IF(S383="Boring But Big",IF(X390="","",MROUND(T390*X390,'Start-Options'!$B$38)),MROUND(U400*0.6,'Start-Options'!$B$38)))</f>
        <v>60</v>
      </c>
      <c r="M424" s="27"/>
      <c r="N424" s="78">
        <f>IF(S383="Accessory Only","",IF(S383="Boring But Big",10,5))</f>
        <v>10</v>
      </c>
      <c r="O424" s="220"/>
      <c r="P424" s="220"/>
      <c r="Q424" s="222"/>
      <c r="R424" s="27"/>
      <c r="S424" s="27"/>
      <c r="T424" s="27"/>
      <c r="U424" s="27"/>
      <c r="V424" s="27"/>
      <c r="W424" s="27"/>
      <c r="X424" s="27"/>
      <c r="Y424" s="27"/>
      <c r="Z424" s="27"/>
      <c r="AA424" s="27"/>
    </row>
    <row r="425" ht="12.75" customHeight="1">
      <c r="A425" s="188"/>
      <c r="B425" s="189"/>
      <c r="C425" s="27">
        <f>IF(S383="Boring But Big",IF(W390="","",MROUND(T390*W390,'Start-Options'!$B$38)),"")</f>
        <v>90</v>
      </c>
      <c r="D425" s="241"/>
      <c r="E425" s="242">
        <v>5.0</v>
      </c>
      <c r="F425" s="219"/>
      <c r="G425" s="219"/>
      <c r="H425" s="147"/>
      <c r="I425" s="27"/>
      <c r="J425" s="189"/>
      <c r="K425" s="189"/>
      <c r="L425" s="27">
        <f>IF(S383="Boring But Big",IF(X390="","",MROUND(T390*X390,'Start-Options'!$B$38)),"")</f>
        <v>60</v>
      </c>
      <c r="M425" s="27"/>
      <c r="N425" s="78">
        <f>IF(S383="Boring But Big",10,"")</f>
        <v>10</v>
      </c>
      <c r="O425" s="151"/>
      <c r="P425" s="219"/>
      <c r="Q425" s="224"/>
      <c r="R425" s="27"/>
      <c r="S425" s="27"/>
      <c r="T425" s="27"/>
      <c r="U425" s="27"/>
      <c r="V425" s="27"/>
      <c r="W425" s="27"/>
      <c r="X425" s="27"/>
      <c r="Y425" s="27"/>
      <c r="Z425" s="27"/>
      <c r="AA425" s="27"/>
    </row>
    <row r="426" ht="13.5" customHeight="1">
      <c r="A426" s="176"/>
      <c r="B426" s="225"/>
      <c r="C426" s="226">
        <f>IF(S383="Boring But Big",IF(W390="","",MROUND(T390*W390,'Start-Options'!$B$38)),"")</f>
        <v>90</v>
      </c>
      <c r="D426" s="247"/>
      <c r="E426" s="248">
        <v>5.0</v>
      </c>
      <c r="F426" s="228"/>
      <c r="G426" s="228"/>
      <c r="H426" s="229"/>
      <c r="I426" s="158"/>
      <c r="J426" s="225"/>
      <c r="K426" s="225"/>
      <c r="L426" s="226">
        <f>IF(S383="Boring But Big",IF(X390="","",MROUND(T390*X390,'Start-Options'!$B$38)),"")</f>
        <v>60</v>
      </c>
      <c r="M426" s="158"/>
      <c r="N426" s="227">
        <f>IF(S383="Boring But Big",10,"")</f>
        <v>10</v>
      </c>
      <c r="O426" s="229"/>
      <c r="P426" s="228"/>
      <c r="Q426" s="230"/>
      <c r="R426" s="27"/>
      <c r="S426" s="27"/>
      <c r="T426" s="27"/>
      <c r="U426" s="27"/>
      <c r="V426" s="27"/>
      <c r="W426" s="27"/>
      <c r="X426" s="27"/>
      <c r="Y426" s="27"/>
      <c r="Z426" s="27"/>
      <c r="AA426" s="27"/>
    </row>
    <row r="427" ht="12.75" customHeight="1">
      <c r="A427" s="235"/>
      <c r="B427" s="235"/>
      <c r="C427" s="27"/>
      <c r="D427" s="27"/>
      <c r="E427" s="27"/>
      <c r="F427" s="27"/>
      <c r="G427" s="27"/>
      <c r="H427" s="27"/>
      <c r="I427" s="27"/>
      <c r="J427" s="235"/>
      <c r="K427" s="235"/>
      <c r="L427" s="27"/>
      <c r="M427" s="27"/>
      <c r="N427" s="27"/>
      <c r="O427" s="27"/>
      <c r="P427" s="27"/>
      <c r="Q427" s="27"/>
      <c r="R427" s="27"/>
      <c r="S427" s="27"/>
      <c r="T427" s="27"/>
      <c r="U427" s="27"/>
      <c r="V427" s="27"/>
      <c r="W427" s="27"/>
      <c r="X427" s="27"/>
      <c r="Y427" s="27"/>
      <c r="Z427" s="27"/>
      <c r="AA427" s="27"/>
    </row>
    <row r="428" ht="21.0" customHeight="1">
      <c r="A428" s="168"/>
      <c r="B428" s="27"/>
      <c r="C428" s="27"/>
      <c r="D428" s="27"/>
      <c r="E428" s="27"/>
      <c r="F428" s="27"/>
      <c r="G428" s="27"/>
      <c r="H428" s="27"/>
      <c r="I428" s="169" t="s">
        <v>148</v>
      </c>
      <c r="J428" s="27"/>
      <c r="K428" s="27"/>
      <c r="L428" s="27"/>
      <c r="M428" s="27"/>
      <c r="N428" s="27"/>
      <c r="O428" s="27"/>
      <c r="P428" s="27"/>
      <c r="Q428" s="27"/>
      <c r="R428" s="27"/>
      <c r="S428" s="27"/>
      <c r="T428" s="27"/>
      <c r="U428" s="27"/>
      <c r="V428" s="27"/>
      <c r="W428" s="27"/>
      <c r="X428" s="27"/>
      <c r="Y428" s="27"/>
      <c r="Z428" s="27"/>
      <c r="AA428" s="27"/>
    </row>
    <row r="429" ht="12.75" customHeight="1">
      <c r="A429" s="170" t="s">
        <v>277</v>
      </c>
      <c r="B429" s="171" t="s">
        <v>177</v>
      </c>
      <c r="C429" s="172"/>
      <c r="D429" s="172"/>
      <c r="E429" s="173"/>
      <c r="F429" s="171" t="s">
        <v>178</v>
      </c>
      <c r="G429" s="172"/>
      <c r="H429" s="173"/>
      <c r="I429" s="91"/>
      <c r="J429" s="174" t="s">
        <v>278</v>
      </c>
      <c r="K429" s="171" t="s">
        <v>177</v>
      </c>
      <c r="L429" s="172"/>
      <c r="M429" s="172"/>
      <c r="N429" s="173"/>
      <c r="O429" s="171" t="s">
        <v>178</v>
      </c>
      <c r="P429" s="172"/>
      <c r="Q429" s="94"/>
      <c r="R429" s="27"/>
      <c r="S429" s="70" t="s">
        <v>180</v>
      </c>
      <c r="T429" s="175"/>
      <c r="U429" s="71"/>
      <c r="V429" s="27"/>
      <c r="W429" s="27"/>
      <c r="X429" s="27"/>
      <c r="Y429" s="27"/>
      <c r="Z429" s="27"/>
      <c r="AA429" s="27"/>
    </row>
    <row r="430" ht="13.5" customHeight="1">
      <c r="A430" s="176"/>
      <c r="B430" s="177" t="s">
        <v>181</v>
      </c>
      <c r="C430" s="178" t="s">
        <v>26</v>
      </c>
      <c r="D430" s="178"/>
      <c r="E430" s="178" t="s">
        <v>27</v>
      </c>
      <c r="F430" s="178" t="s">
        <v>182</v>
      </c>
      <c r="G430" s="178" t="s">
        <v>183</v>
      </c>
      <c r="H430" s="179" t="s">
        <v>26</v>
      </c>
      <c r="I430" s="27"/>
      <c r="J430" s="180"/>
      <c r="K430" s="177" t="s">
        <v>181</v>
      </c>
      <c r="L430" s="178" t="s">
        <v>26</v>
      </c>
      <c r="M430" s="178"/>
      <c r="N430" s="178" t="s">
        <v>27</v>
      </c>
      <c r="O430" s="178" t="s">
        <v>182</v>
      </c>
      <c r="P430" s="179" t="s">
        <v>183</v>
      </c>
      <c r="Q430" s="181" t="s">
        <v>26</v>
      </c>
      <c r="R430" s="27"/>
      <c r="S430" s="182" t="s">
        <v>184</v>
      </c>
      <c r="T430" s="41"/>
      <c r="U430" s="42"/>
      <c r="V430" s="27"/>
      <c r="W430" s="27"/>
      <c r="X430" s="27"/>
      <c r="Y430" s="27"/>
      <c r="Z430" s="27"/>
      <c r="AA430" s="27"/>
    </row>
    <row r="431" ht="12.75" customHeight="1">
      <c r="A431" s="233" t="s">
        <v>36</v>
      </c>
      <c r="B431" s="184" t="str">
        <f>IF(S430="Accessory Only","",IF(S430="Boring But Big",'Start-Options'!$B$4,T444))</f>
        <v>Military</v>
      </c>
      <c r="C431" s="27">
        <f>IF(S430="Accessory Only","",IF(S430="Boring But Big",IF(U434="","",MROUND(T434*U434,'Start-Options'!$B$38)),IF(T440=531,MROUND(U444*0.5,'Start-Options'!$B$38),MROUND(U444*0.6,'Start-Options'!$B$38))))</f>
        <v>47.5</v>
      </c>
      <c r="D431" s="27"/>
      <c r="E431" s="78">
        <f>IF(S430="Accessory Only","",IF(S430="Boring But Big",10,IF(T440=531,10,8)))</f>
        <v>10</v>
      </c>
      <c r="F431" s="220"/>
      <c r="G431" s="220"/>
      <c r="H431" s="186"/>
      <c r="I431" s="77"/>
      <c r="J431" s="249" t="s">
        <v>36</v>
      </c>
      <c r="K431" s="184" t="str">
        <f>IF(S430="Accessory Only","",IF(S430="Boring But Big",'Start-Options'!$B$4,T444))</f>
        <v>Military</v>
      </c>
      <c r="L431" s="27">
        <f>IF(S430="Accessory Only","",IF(S430="Boring But Big",IF(V434="","",MROUND(T434*V434,'Start-Options'!$B$38)),IF(T440=531,MROUND(U444*0.6,'Start-Options'!$B$38),MROUND(U444*0.5,'Start-Options'!$B$38))))</f>
        <v>50</v>
      </c>
      <c r="M431" s="241"/>
      <c r="N431" s="242">
        <v>8.0</v>
      </c>
      <c r="O431" s="220"/>
      <c r="P431" s="220"/>
      <c r="Q431" s="222"/>
      <c r="R431" s="27"/>
      <c r="S431" s="27"/>
      <c r="T431" s="27"/>
      <c r="U431" s="27"/>
      <c r="V431" s="27"/>
      <c r="W431" s="27"/>
      <c r="X431" s="27"/>
      <c r="Y431" s="27"/>
      <c r="Z431" s="27"/>
      <c r="AA431" s="27"/>
    </row>
    <row r="432" ht="12.75" customHeight="1">
      <c r="A432" s="188"/>
      <c r="B432" s="189"/>
      <c r="C432" s="190">
        <f>IF(S430="Accessory Only","",IF(S430="Boring But Big",IF(U434="","",MROUND(T434*U434,'Start-Options'!$B$38)),IF(T440=531,MROUND(U444*0.6,'Start-Options'!$B$38),MROUND(U444*0.7,'Start-Options'!$B$38))))</f>
        <v>47.5</v>
      </c>
      <c r="D432" s="27"/>
      <c r="E432" s="78">
        <f>IF(S430="Accessory Only","",IF(S430="Boring But Big",10,IF(T440=531,10,8)))</f>
        <v>10</v>
      </c>
      <c r="F432" s="219"/>
      <c r="G432" s="219"/>
      <c r="H432" s="191"/>
      <c r="I432" s="27"/>
      <c r="J432" s="189"/>
      <c r="K432" s="189"/>
      <c r="L432" s="190">
        <f>IF(S430="Accessory Only","",IF(S430="Boring But Big",IF(V434="","",MROUND(T434*V434,'Start-Options'!$B$38)),IF(T440=531,MROUND(U444*0.7,'Start-Options'!$B$38),MROUND(U444*0.6,'Start-Options'!$B$38))))</f>
        <v>50</v>
      </c>
      <c r="M432" s="241"/>
      <c r="N432" s="242">
        <v>8.0</v>
      </c>
      <c r="O432" s="219"/>
      <c r="P432" s="219"/>
      <c r="Q432" s="201"/>
      <c r="R432" s="27"/>
      <c r="S432" s="70" t="s">
        <v>184</v>
      </c>
      <c r="T432" s="175"/>
      <c r="U432" s="175"/>
      <c r="V432" s="175"/>
      <c r="W432" s="175"/>
      <c r="X432" s="71"/>
      <c r="Y432" s="27"/>
      <c r="Z432" s="27"/>
      <c r="AA432" s="27"/>
    </row>
    <row r="433" ht="12.75" customHeight="1">
      <c r="A433" s="188"/>
      <c r="B433" s="189"/>
      <c r="C433" s="190">
        <f>IF(S430="Accessory Only","",IF(S430="Boring But Big",IF(U434="","",MROUND(T434*U434,'Start-Options'!$B$38)),IF(T440=531,MROUND(U444*0.7,'Start-Options'!$B$38),MROUND(U444*0.8,'Start-Options'!$B$38))))</f>
        <v>47.5</v>
      </c>
      <c r="D433" s="27"/>
      <c r="E433" s="78">
        <f>IF(S430="Accessory Only","",IF(S430="Boring But Big",10,IF(T440=531,10,6)))</f>
        <v>10</v>
      </c>
      <c r="F433" s="219"/>
      <c r="G433" s="219"/>
      <c r="H433" s="191"/>
      <c r="I433" s="27"/>
      <c r="J433" s="189"/>
      <c r="K433" s="189"/>
      <c r="L433" s="190">
        <f>IF(S430="Accessory Only","",IF(S430="Boring But Big",IF(V434="","",MROUND(T434*V434,'Start-Options'!$B$38)),IF(T440=531,MROUND(U444*0.8,'Start-Options'!$B$38),MROUND(U444*0.7,'Start-Options'!$B$38))))</f>
        <v>50</v>
      </c>
      <c r="M433" s="241"/>
      <c r="N433" s="242">
        <v>8.0</v>
      </c>
      <c r="O433" s="219"/>
      <c r="P433" s="219"/>
      <c r="Q433" s="201"/>
      <c r="R433" s="27"/>
      <c r="S433" s="25" t="s">
        <v>187</v>
      </c>
      <c r="T433" s="25" t="s">
        <v>28</v>
      </c>
      <c r="U433" s="25" t="s">
        <v>188</v>
      </c>
      <c r="V433" s="25" t="s">
        <v>189</v>
      </c>
      <c r="W433" s="192" t="s">
        <v>190</v>
      </c>
      <c r="X433" s="192" t="s">
        <v>191</v>
      </c>
      <c r="Y433" s="27"/>
      <c r="Z433" s="27"/>
      <c r="AA433" s="27"/>
    </row>
    <row r="434" ht="12.75" customHeight="1">
      <c r="A434" s="188"/>
      <c r="B434" s="189"/>
      <c r="C434" s="27">
        <f>IF(S430="Boring But Big",IF(U434="","",MROUND(T434*U434,'Start-Options'!$B$38)),"")</f>
        <v>47.5</v>
      </c>
      <c r="D434" s="27"/>
      <c r="E434" s="78">
        <f>IF(S430="Boring But Big",10,"")</f>
        <v>10</v>
      </c>
      <c r="F434" s="219"/>
      <c r="G434" s="219"/>
      <c r="H434" s="191"/>
      <c r="I434" s="27"/>
      <c r="J434" s="189"/>
      <c r="K434" s="189"/>
      <c r="L434" s="27">
        <f>IF(S430="Boring But Big",IF(V434="","",MROUND(T434*V434,'Start-Options'!$B$38)),"")</f>
        <v>50</v>
      </c>
      <c r="M434" s="241"/>
      <c r="N434" s="242">
        <v>8.0</v>
      </c>
      <c r="O434" s="219"/>
      <c r="P434" s="219"/>
      <c r="Q434" s="201"/>
      <c r="R434" s="27"/>
      <c r="S434" s="25" t="s">
        <v>30</v>
      </c>
      <c r="T434" s="25">
        <f>'531'!Z157</f>
        <v>72.5</v>
      </c>
      <c r="U434" s="250">
        <v>0.65</v>
      </c>
      <c r="V434" s="250">
        <v>0.7</v>
      </c>
      <c r="W434" s="251">
        <v>0.75</v>
      </c>
      <c r="X434" s="251">
        <v>0.5</v>
      </c>
      <c r="Y434" s="27"/>
      <c r="Z434" s="27"/>
      <c r="AA434" s="27"/>
    </row>
    <row r="435" ht="12.75" customHeight="1">
      <c r="A435" s="194"/>
      <c r="B435" s="195"/>
      <c r="C435" s="27">
        <f>IF(S430="Boring But Big",IF(U434="","",MROUND(T434*U434,'Start-Options'!$B$38)),"")</f>
        <v>47.5</v>
      </c>
      <c r="D435" s="27"/>
      <c r="E435" s="78">
        <f>IF(S430="Boring But Big",10,"")</f>
        <v>10</v>
      </c>
      <c r="F435" s="154"/>
      <c r="G435" s="154"/>
      <c r="H435" s="155"/>
      <c r="I435" s="27"/>
      <c r="J435" s="195"/>
      <c r="K435" s="195"/>
      <c r="L435" s="27">
        <f>IF(S430="Boring But Big",IF(V434="","",MROUND(T434*V434,'Start-Options'!$B$38)),"")</f>
        <v>50</v>
      </c>
      <c r="M435" s="241"/>
      <c r="N435" s="242">
        <v>8.0</v>
      </c>
      <c r="O435" s="154"/>
      <c r="P435" s="154"/>
      <c r="Q435" s="206"/>
      <c r="R435" s="27"/>
      <c r="S435" s="25" t="s">
        <v>31</v>
      </c>
      <c r="T435" s="25">
        <f>'531'!Z158</f>
        <v>155</v>
      </c>
      <c r="U435" s="250">
        <v>0.65</v>
      </c>
      <c r="V435" s="250">
        <v>0.7</v>
      </c>
      <c r="W435" s="251">
        <v>0.75</v>
      </c>
      <c r="X435" s="250">
        <v>0.5</v>
      </c>
      <c r="Y435" s="27"/>
      <c r="Z435" s="27"/>
      <c r="AA435" s="27"/>
    </row>
    <row r="436" ht="12.75" customHeight="1">
      <c r="A436" s="234" t="s">
        <v>262</v>
      </c>
      <c r="B436" s="197" t="str">
        <f>IF(S430="Accessory Only","",IF(S430="Boring But Big",'Start-Options'!$B$5,T445))</f>
        <v>Deadlift</v>
      </c>
      <c r="C436" s="198">
        <f>IF(S430="Accessory Only","",IF(S430="Boring But Big",IF(U435="","",MROUND(T435*U435,'Start-Options'!$B$38)),IF(T440=531,MROUND(U445*0.5,'Start-Options'!$B$38),MROUND(U445*0.6,'Start-Options'!$B$38))))</f>
        <v>100</v>
      </c>
      <c r="D436" s="198"/>
      <c r="E436" s="199">
        <f>IF(S430="Accessory Only","",IF(S430="Boring But Big",10,IF(T440=531,10,8)))</f>
        <v>10</v>
      </c>
      <c r="F436" s="185"/>
      <c r="G436" s="185"/>
      <c r="H436" s="200"/>
      <c r="I436" s="27"/>
      <c r="J436" s="252" t="s">
        <v>44</v>
      </c>
      <c r="K436" s="197" t="str">
        <f>IF(S430="Accessory Only","",IF(S430="Boring But Big",'Start-Options'!$B$5,T445))</f>
        <v>Deadlift</v>
      </c>
      <c r="L436" s="198">
        <f>IF(S430="Accessory Only","",IF(S430="Boring But Big",IF(V435="","",MROUND(T435*V435,'Start-Options'!$B$38)),IF(T440=531,MROUND(U445*0.6,'Start-Options'!$B$38),MROUND(U445*0.5,'Start-Options'!$B$38))))</f>
        <v>107.5</v>
      </c>
      <c r="M436" s="243"/>
      <c r="N436" s="244">
        <v>8.0</v>
      </c>
      <c r="O436" s="185"/>
      <c r="P436" s="185"/>
      <c r="Q436" s="187"/>
      <c r="R436" s="27"/>
      <c r="S436" s="25" t="s">
        <v>32</v>
      </c>
      <c r="T436" s="25">
        <f>'531'!Z159</f>
        <v>92.5</v>
      </c>
      <c r="U436" s="250">
        <v>0.65</v>
      </c>
      <c r="V436" s="250">
        <v>0.7</v>
      </c>
      <c r="W436" s="251">
        <v>0.75</v>
      </c>
      <c r="X436" s="193">
        <v>0.5</v>
      </c>
      <c r="Y436" s="27"/>
      <c r="Z436" s="27"/>
      <c r="AA436" s="27"/>
    </row>
    <row r="437" ht="12.75" customHeight="1">
      <c r="A437" s="188"/>
      <c r="B437" s="189"/>
      <c r="C437" s="190">
        <f>IF(S430="Accessory Only","",IF(S430="Boring But Big",IF(U435="","",MROUND(T435*U435,'Start-Options'!$B$38)),IF(T440=531,MROUND(U445*0.6,'Start-Options'!$B$38),MROUND(U445*0.7,'Start-Options'!$B$38))))</f>
        <v>100</v>
      </c>
      <c r="D437" s="27"/>
      <c r="E437" s="78">
        <f>IF(S430="Accessory Only","",IF(S430="Boring But Big",10,IF(T440=531,10,8)))</f>
        <v>10</v>
      </c>
      <c r="F437" s="219"/>
      <c r="G437" s="219"/>
      <c r="H437" s="191"/>
      <c r="I437" s="27"/>
      <c r="J437" s="189"/>
      <c r="K437" s="189"/>
      <c r="L437" s="190">
        <f>IF(S430="Accessory Only","",IF(S430="Boring But Big",IF(V435="","",MROUND(T435*V435,'Start-Options'!$B$38)),IF(T440=531,MROUND(U445*0.7,'Start-Options'!$B$38),MROUND(U445*0.6,'Start-Options'!$B$38))))</f>
        <v>107.5</v>
      </c>
      <c r="M437" s="241"/>
      <c r="N437" s="242">
        <v>8.0</v>
      </c>
      <c r="O437" s="219"/>
      <c r="P437" s="219"/>
      <c r="Q437" s="201"/>
      <c r="R437" s="27"/>
      <c r="S437" s="25" t="s">
        <v>194</v>
      </c>
      <c r="T437" s="25">
        <f>'531'!Z160</f>
        <v>125</v>
      </c>
      <c r="U437" s="250">
        <v>0.65</v>
      </c>
      <c r="V437" s="250">
        <v>0.7</v>
      </c>
      <c r="W437" s="251">
        <v>0.75</v>
      </c>
      <c r="X437" s="253">
        <v>0.5</v>
      </c>
      <c r="Y437" s="27"/>
      <c r="Z437" s="27"/>
      <c r="AA437" s="27"/>
    </row>
    <row r="438" ht="12.75" customHeight="1">
      <c r="A438" s="188"/>
      <c r="B438" s="189"/>
      <c r="C438" s="190">
        <f>IF(S430="Accessory Only","",IF(S430="Boring But Big",IF(U435="","",MROUND(T435*U435,'Start-Options'!$B$38)),IF(T440=531,MROUND(U445*0.7,'Start-Options'!$B$38),MROUND(U445*0.8,'Start-Options'!$B$38))))</f>
        <v>100</v>
      </c>
      <c r="D438" s="27"/>
      <c r="E438" s="78">
        <f>IF(S430="Accessory Only","",IF(S430="Boring But Big",10,IF(T440=531,10,6)))</f>
        <v>10</v>
      </c>
      <c r="F438" s="219"/>
      <c r="G438" s="219"/>
      <c r="H438" s="191"/>
      <c r="I438" s="27"/>
      <c r="J438" s="189"/>
      <c r="K438" s="189"/>
      <c r="L438" s="190">
        <f>IF(S430="Accessory Only","",IF(S430="Boring But Big",IF(V435="","",MROUND(T435*V435,'Start-Options'!$B$38)),IF(T440=531,MROUND(U445*0.8,'Start-Options'!$B$38),MROUND(U445*0.7,'Start-Options'!$B$38))))</f>
        <v>107.5</v>
      </c>
      <c r="M438" s="241"/>
      <c r="N438" s="242">
        <v>8.0</v>
      </c>
      <c r="O438" s="219"/>
      <c r="P438" s="219"/>
      <c r="Q438" s="201"/>
      <c r="R438" s="27"/>
      <c r="S438" s="27"/>
      <c r="T438" s="27"/>
      <c r="U438" s="27"/>
      <c r="V438" s="27"/>
      <c r="W438" s="27"/>
      <c r="X438" s="27"/>
      <c r="Y438" s="27"/>
      <c r="Z438" s="27"/>
      <c r="AA438" s="27"/>
    </row>
    <row r="439" ht="12.75" customHeight="1">
      <c r="A439" s="188"/>
      <c r="B439" s="189"/>
      <c r="C439" s="27">
        <f>IF(S430="Boring But Big",IF(U435="","",MROUND(T435*U435,'Start-Options'!$B$38)),"")</f>
        <v>100</v>
      </c>
      <c r="D439" s="27"/>
      <c r="E439" s="78">
        <f>IF(S430="Boring But Big",10,"")</f>
        <v>10</v>
      </c>
      <c r="F439" s="219"/>
      <c r="G439" s="219"/>
      <c r="H439" s="191"/>
      <c r="I439" s="27"/>
      <c r="J439" s="189"/>
      <c r="K439" s="189"/>
      <c r="L439" s="27">
        <f>IF(S430="Boring But Big",IF(V435="","",MROUND(T435*V435,'Start-Options'!$B$38)),"")</f>
        <v>107.5</v>
      </c>
      <c r="M439" s="241"/>
      <c r="N439" s="242">
        <v>8.0</v>
      </c>
      <c r="O439" s="219"/>
      <c r="P439" s="219"/>
      <c r="Q439" s="201"/>
      <c r="R439" s="27"/>
      <c r="S439" s="70" t="s">
        <v>204</v>
      </c>
      <c r="T439" s="71"/>
      <c r="U439" s="27"/>
      <c r="V439" s="27"/>
      <c r="W439" s="27"/>
      <c r="X439" s="27"/>
      <c r="Y439" s="27"/>
      <c r="Z439" s="27"/>
      <c r="AA439" s="27"/>
    </row>
    <row r="440" ht="12.75" customHeight="1">
      <c r="A440" s="188"/>
      <c r="B440" s="195"/>
      <c r="C440" s="27">
        <f>IF(S430="Boring But Big",IF(U435="","",MROUND(T435*U435,'Start-Options'!$B$38)),"")</f>
        <v>100</v>
      </c>
      <c r="D440" s="27"/>
      <c r="E440" s="78">
        <f>IF(S430="Boring But Big",10,"")</f>
        <v>10</v>
      </c>
      <c r="F440" s="154"/>
      <c r="G440" s="154"/>
      <c r="H440" s="155"/>
      <c r="I440" s="27"/>
      <c r="J440" s="189"/>
      <c r="K440" s="195"/>
      <c r="L440" s="27">
        <f>IF(S430="Boring But Big",IF(V435="","",MROUND(T435*V435,'Start-Options'!$B$38)),"")</f>
        <v>107.5</v>
      </c>
      <c r="M440" s="241"/>
      <c r="N440" s="242">
        <v>8.0</v>
      </c>
      <c r="O440" s="154"/>
      <c r="P440" s="154"/>
      <c r="Q440" s="206"/>
      <c r="R440" s="27"/>
      <c r="S440" s="25" t="s">
        <v>205</v>
      </c>
      <c r="T440" s="28">
        <v>531.0</v>
      </c>
      <c r="U440" s="27"/>
      <c r="V440" s="27"/>
      <c r="W440" s="27"/>
      <c r="X440" s="27"/>
      <c r="Y440" s="27"/>
      <c r="Z440" s="27"/>
      <c r="AA440" s="27"/>
    </row>
    <row r="441" ht="12.75" customHeight="1">
      <c r="A441" s="234" t="s">
        <v>48</v>
      </c>
      <c r="B441" s="197" t="str">
        <f>IF(S430="Accessory Only","",IF(S430="Boring But Big",'Start-Options'!$B$6,T446))</f>
        <v>Bench</v>
      </c>
      <c r="C441" s="198">
        <f>IF(S430="Accessory Only","",IF(S430="Boring But Big",IF(U436="","",MROUND(T436*U436,'Start-Options'!$B$38)),IF(T440=531,MROUND(U446*0.5,'Start-Options'!$B$38),MROUND(U446*0.6,'Start-Options'!$B$38))))</f>
        <v>60</v>
      </c>
      <c r="D441" s="198"/>
      <c r="E441" s="199">
        <f>IF(S430="Accessory Only","",IF(S430="Boring But Big",10,IF(T440=531,10,8)))</f>
        <v>10</v>
      </c>
      <c r="F441" s="185"/>
      <c r="G441" s="185"/>
      <c r="H441" s="200"/>
      <c r="I441" s="27"/>
      <c r="J441" s="252" t="s">
        <v>48</v>
      </c>
      <c r="K441" s="197" t="str">
        <f>IF(S430="Accessory Only","",IF(S430="Boring But Big",'Start-Options'!$B$6,T446))</f>
        <v>Bench</v>
      </c>
      <c r="L441" s="198">
        <f>IF(S430="Accessory Only","",IF(S430="Boring But Big",IF(V436="","",MROUND(T436*V436,'Start-Options'!$B$38)),IF(T440=531,MROUND(U446*0.6,'Start-Options'!$B$38),MROUND(U446*0.5,'Start-Options'!$B$38))))</f>
        <v>65</v>
      </c>
      <c r="M441" s="243"/>
      <c r="N441" s="244">
        <v>8.0</v>
      </c>
      <c r="O441" s="185"/>
      <c r="P441" s="185"/>
      <c r="Q441" s="187"/>
      <c r="R441" s="27"/>
      <c r="S441" s="27"/>
      <c r="T441" s="27"/>
      <c r="U441" s="27"/>
      <c r="V441" s="27"/>
      <c r="W441" s="27"/>
      <c r="X441" s="27"/>
      <c r="Y441" s="27"/>
      <c r="Z441" s="27"/>
      <c r="AA441" s="27"/>
    </row>
    <row r="442" ht="12.75" customHeight="1">
      <c r="A442" s="188"/>
      <c r="B442" s="189"/>
      <c r="C442" s="190">
        <f>IF(S430="Accessory Only","",IF(S430="Boring But Big",IF(U436="","",MROUND(T436*U436,'Start-Options'!$B$38)),IF(T440=531,MROUND(U446*0.6,'Start-Options'!$B$38),MROUND(U446*0.7,'Start-Options'!$B$38))))</f>
        <v>60</v>
      </c>
      <c r="D442" s="27"/>
      <c r="E442" s="78">
        <f>IF(S430="Accessory Only","",IF(S430="Boring But Big",10,IF(T440=531,10,8)))</f>
        <v>10</v>
      </c>
      <c r="F442" s="219"/>
      <c r="G442" s="219"/>
      <c r="H442" s="191"/>
      <c r="I442" s="27"/>
      <c r="J442" s="189"/>
      <c r="K442" s="189"/>
      <c r="L442" s="190">
        <f>IF(S430="Accessory Only","",IF(S430="Boring But Big",IF(V436="","",MROUND(T436*V436,'Start-Options'!$B$38)),IF(T440=531,MROUND(U446*0.7,'Start-Options'!$B$38),MROUND(U446*0.6,'Start-Options'!$B$38))))</f>
        <v>65</v>
      </c>
      <c r="M442" s="241"/>
      <c r="N442" s="242">
        <v>8.0</v>
      </c>
      <c r="O442" s="219"/>
      <c r="P442" s="219"/>
      <c r="Q442" s="201"/>
      <c r="R442" s="27"/>
      <c r="S442" s="70" t="s">
        <v>204</v>
      </c>
      <c r="T442" s="175"/>
      <c r="U442" s="71"/>
      <c r="V442" s="27"/>
      <c r="W442" s="27"/>
      <c r="X442" s="27"/>
      <c r="Y442" s="27"/>
      <c r="Z442" s="27"/>
      <c r="AA442" s="27"/>
    </row>
    <row r="443" ht="12.75" customHeight="1">
      <c r="A443" s="188"/>
      <c r="B443" s="189"/>
      <c r="C443" s="190">
        <f>IF(S430="Accessory Only","",IF(S430="Boring But Big",IF(U436="","",MROUND(T436*U436,'Start-Options'!$B$38)),IF(T440=531,MROUND(U446*0.7,'Start-Options'!$B$38),MROUND(U446*0.8,'Start-Options'!$B$38))))</f>
        <v>60</v>
      </c>
      <c r="D443" s="27"/>
      <c r="E443" s="78">
        <f>IF(S430="Accessory Only","",IF(S430="Boring But Big",10,IF(T440=531,10,6)))</f>
        <v>10</v>
      </c>
      <c r="F443" s="219"/>
      <c r="G443" s="219"/>
      <c r="H443" s="191"/>
      <c r="I443" s="27"/>
      <c r="J443" s="189"/>
      <c r="K443" s="189"/>
      <c r="L443" s="190">
        <f>IF(S430="Accessory Only","",IF(S430="Boring But Big",IF(V436="","",MROUND(T436*V436,'Start-Options'!$B$38)),IF(T440=531,MROUND(U446*0.8,'Start-Options'!$B$38),MROUND(U446*0.7,'Start-Options'!$B$38))))</f>
        <v>65</v>
      </c>
      <c r="M443" s="241"/>
      <c r="N443" s="242">
        <v>8.0</v>
      </c>
      <c r="O443" s="219"/>
      <c r="P443" s="219"/>
      <c r="Q443" s="201"/>
      <c r="R443" s="27"/>
      <c r="S443" s="25"/>
      <c r="T443" s="223" t="s">
        <v>182</v>
      </c>
      <c r="U443" s="223" t="s">
        <v>28</v>
      </c>
      <c r="V443" s="27"/>
      <c r="W443" s="27"/>
      <c r="X443" s="27"/>
      <c r="Y443" s="27"/>
      <c r="Z443" s="27"/>
      <c r="AA443" s="27"/>
    </row>
    <row r="444" ht="12.75" customHeight="1">
      <c r="A444" s="188"/>
      <c r="B444" s="189"/>
      <c r="C444" s="27">
        <f>IF(S430="Boring But Big",IF(U436="","",MROUND(T436*U436,'Start-Options'!$B$38)),"")</f>
        <v>60</v>
      </c>
      <c r="D444" s="27"/>
      <c r="E444" s="27">
        <f>IF(S430="Boring But Big",10,"")</f>
        <v>10</v>
      </c>
      <c r="F444" s="219"/>
      <c r="G444" s="219"/>
      <c r="H444" s="207"/>
      <c r="I444" s="77"/>
      <c r="J444" s="189"/>
      <c r="K444" s="189"/>
      <c r="L444" s="27">
        <f>IF(S430="Boring But Big",IF(V436="","",MROUND(T436*V436,'Start-Options'!$B$38)),"")</f>
        <v>65</v>
      </c>
      <c r="M444" s="241"/>
      <c r="N444" s="242">
        <v>8.0</v>
      </c>
      <c r="O444" s="219"/>
      <c r="P444" s="219"/>
      <c r="Q444" s="201"/>
      <c r="R444" s="27"/>
      <c r="S444" s="77" t="s">
        <v>36</v>
      </c>
      <c r="T444" s="147" t="s">
        <v>208</v>
      </c>
      <c r="U444" s="147">
        <v>100.0</v>
      </c>
      <c r="V444" s="27"/>
      <c r="W444" s="27"/>
      <c r="X444" s="27"/>
      <c r="Y444" s="27"/>
      <c r="Z444" s="27"/>
      <c r="AA444" s="27"/>
    </row>
    <row r="445" ht="12.75" customHeight="1">
      <c r="A445" s="194"/>
      <c r="B445" s="195"/>
      <c r="C445" s="27">
        <f>IF(S430="Boring But Big",IF(U436="","",MROUND(T436*U436,'Start-Options'!$B$38)),"")</f>
        <v>60</v>
      </c>
      <c r="D445" s="27"/>
      <c r="E445" s="78">
        <f>IF(S430="Boring But Big",10,"")</f>
        <v>10</v>
      </c>
      <c r="F445" s="154"/>
      <c r="G445" s="154"/>
      <c r="H445" s="155"/>
      <c r="I445" s="27"/>
      <c r="J445" s="195"/>
      <c r="K445" s="195"/>
      <c r="L445" s="27">
        <f>IF(S430="Boring But Big",IF(V436="","",MROUND(T436*V436,'Start-Options'!$B$38)),"")</f>
        <v>65</v>
      </c>
      <c r="M445" s="241"/>
      <c r="N445" s="242">
        <v>8.0</v>
      </c>
      <c r="O445" s="154"/>
      <c r="P445" s="154"/>
      <c r="Q445" s="206"/>
      <c r="R445" s="27"/>
      <c r="S445" s="25" t="s">
        <v>44</v>
      </c>
      <c r="T445" s="162" t="s">
        <v>210</v>
      </c>
      <c r="U445" s="162">
        <v>100.0</v>
      </c>
      <c r="V445" s="27"/>
      <c r="W445" s="27"/>
      <c r="X445" s="27"/>
      <c r="Y445" s="27"/>
      <c r="Z445" s="27"/>
      <c r="AA445" s="27"/>
    </row>
    <row r="446" ht="12.75" customHeight="1">
      <c r="A446" s="234" t="s">
        <v>53</v>
      </c>
      <c r="B446" s="197" t="str">
        <f>IF(S430="Accessory Only","",IF(S430="Boring But Big",'Start-Options'!$B$7,T447))</f>
        <v>Squat</v>
      </c>
      <c r="C446" s="198">
        <f>IF(S430="Accessory Only","",IF(S430="Boring But Big",IF(U437="","",MROUND(T437*U437,'Start-Options'!$B$38)),IF(T440=531,MROUND(U447*0.5,'Start-Options'!$B$38),MROUND(U447*0.6,'Start-Options'!$B$38))))</f>
        <v>82.5</v>
      </c>
      <c r="D446" s="198"/>
      <c r="E446" s="199">
        <f>IF(S430="Accessory Only","",IF(S430="Boring But Big",10,IF(T440=531,10,8)))</f>
        <v>10</v>
      </c>
      <c r="F446" s="185"/>
      <c r="G446" s="185"/>
      <c r="H446" s="200"/>
      <c r="I446" s="27"/>
      <c r="J446" s="252" t="s">
        <v>53</v>
      </c>
      <c r="K446" s="197" t="str">
        <f>IF(S430="Accessory Only","",IF(S430="Boring But Big",'Start-Options'!$B$7,T447))</f>
        <v>Squat</v>
      </c>
      <c r="L446" s="198">
        <f>IF(S430="Accessory Only","",IF(S430="Boring But Big",IF(V437="","",MROUND(T437*V437,'Start-Options'!$B$38)),IF(T440=531,MROUND(U447*0.6,'Start-Options'!$B$38),MROUND(U447*0.5,'Start-Options'!$B$38))))</f>
        <v>87.5</v>
      </c>
      <c r="M446" s="243"/>
      <c r="N446" s="244">
        <v>8.0</v>
      </c>
      <c r="O446" s="185"/>
      <c r="P446" s="185"/>
      <c r="Q446" s="187"/>
      <c r="R446" s="27"/>
      <c r="S446" s="25" t="s">
        <v>48</v>
      </c>
      <c r="T446" s="162" t="s">
        <v>212</v>
      </c>
      <c r="U446" s="162">
        <v>100.0</v>
      </c>
      <c r="V446" s="27"/>
      <c r="W446" s="27"/>
      <c r="X446" s="27"/>
      <c r="Y446" s="27"/>
      <c r="Z446" s="27"/>
      <c r="AA446" s="27"/>
    </row>
    <row r="447" ht="12.75" customHeight="1">
      <c r="A447" s="188"/>
      <c r="B447" s="189"/>
      <c r="C447" s="190">
        <f>IF(S430="Accessory Only","",IF(S430="Boring But Big",IF(U437="","",MROUND(T437*U437,'Start-Options'!$B$38)),IF(T440=531,MROUND(U447*0.6,'Start-Options'!$B$38),MROUND(U447*0.7,'Start-Options'!$B$38))))</f>
        <v>82.5</v>
      </c>
      <c r="D447" s="27"/>
      <c r="E447" s="78">
        <f>IF(S430="Accessory Only","",IF(S430="Boring But Big",10,IF(T440=531,10,8)))</f>
        <v>10</v>
      </c>
      <c r="F447" s="219"/>
      <c r="G447" s="219"/>
      <c r="H447" s="191"/>
      <c r="I447" s="27"/>
      <c r="J447" s="189"/>
      <c r="K447" s="189"/>
      <c r="L447" s="190">
        <f>IF(S430="Accessory Only","",IF(S430="Boring But Big",IF(V437="","",MROUND(T437*V437,'Start-Options'!$B$38)),IF(T440=531,MROUND(U447*0.7,'Start-Options'!$B$38),MROUND(U447*0.6,'Start-Options'!$B$38))))</f>
        <v>87.5</v>
      </c>
      <c r="M447" s="241"/>
      <c r="N447" s="242">
        <v>8.0</v>
      </c>
      <c r="O447" s="219"/>
      <c r="P447" s="219"/>
      <c r="Q447" s="201"/>
      <c r="R447" s="27"/>
      <c r="S447" s="82" t="s">
        <v>53</v>
      </c>
      <c r="T447" s="155" t="s">
        <v>224</v>
      </c>
      <c r="U447" s="155">
        <v>100.0</v>
      </c>
      <c r="V447" s="27"/>
      <c r="W447" s="27"/>
      <c r="X447" s="27"/>
      <c r="Y447" s="27"/>
      <c r="Z447" s="27"/>
      <c r="AA447" s="27"/>
    </row>
    <row r="448" ht="12.75" customHeight="1">
      <c r="A448" s="188"/>
      <c r="B448" s="189"/>
      <c r="C448" s="190">
        <f>IF(S430="Accessory Only","",IF(S430="Boring But Big",IF(U437="","",MROUND(T437*U437,'Start-Options'!$B$38)),IF(T440=531,MROUND(U447*0.7,'Start-Options'!$B$38),MROUND(U447*0.8,'Start-Options'!$B$38))))</f>
        <v>82.5</v>
      </c>
      <c r="D448" s="27"/>
      <c r="E448" s="78">
        <f>IF(S430="Accessory Only","",IF(S430="Boring But Big",10,IF(T440=531,10,6)))</f>
        <v>10</v>
      </c>
      <c r="F448" s="219"/>
      <c r="G448" s="219"/>
      <c r="H448" s="191"/>
      <c r="I448" s="27"/>
      <c r="J448" s="189"/>
      <c r="K448" s="189"/>
      <c r="L448" s="190">
        <f>IF(S430="Accessory Only","",IF(S430="Boring But Big",IF(V437="","",MROUND(T437*V437,'Start-Options'!$B$38)),IF(T440=531,MROUND(U447*0.8,'Start-Options'!$B$38),MROUND(U447*0.7,'Start-Options'!$B$38))))</f>
        <v>87.5</v>
      </c>
      <c r="M448" s="241"/>
      <c r="N448" s="242">
        <v>8.0</v>
      </c>
      <c r="O448" s="219"/>
      <c r="P448" s="219"/>
      <c r="Q448" s="201"/>
      <c r="R448" s="27"/>
      <c r="S448" s="27"/>
      <c r="T448" s="27"/>
      <c r="U448" s="27"/>
      <c r="V448" s="27"/>
      <c r="W448" s="27"/>
      <c r="X448" s="27"/>
      <c r="Y448" s="27"/>
      <c r="Z448" s="27"/>
      <c r="AA448" s="27"/>
    </row>
    <row r="449" ht="12.75" customHeight="1">
      <c r="A449" s="188"/>
      <c r="B449" s="189"/>
      <c r="C449" s="27">
        <f>IF(S430="Boring But Big",IF(U437="","",MROUND(T437*U437,'Start-Options'!$B$38)),"")</f>
        <v>82.5</v>
      </c>
      <c r="D449" s="27"/>
      <c r="E449" s="78">
        <f>IF(S430="Boring But Big",10,"")</f>
        <v>10</v>
      </c>
      <c r="F449" s="219"/>
      <c r="G449" s="219"/>
      <c r="H449" s="191"/>
      <c r="I449" s="27"/>
      <c r="J449" s="189"/>
      <c r="K449" s="189"/>
      <c r="L449" s="27">
        <f>IF(S430="Boring But Big",IF(V437="","",MROUND(T437*V437,'Start-Options'!$B$38)),"")</f>
        <v>87.5</v>
      </c>
      <c r="M449" s="241"/>
      <c r="N449" s="242">
        <v>8.0</v>
      </c>
      <c r="O449" s="219"/>
      <c r="P449" s="219"/>
      <c r="Q449" s="201"/>
      <c r="R449" s="27"/>
      <c r="S449" s="27"/>
      <c r="T449" s="27"/>
      <c r="U449" s="27"/>
      <c r="V449" s="27"/>
      <c r="W449" s="27"/>
      <c r="X449" s="27"/>
      <c r="Y449" s="27"/>
      <c r="Z449" s="27"/>
      <c r="AA449" s="27"/>
    </row>
    <row r="450" ht="12.75" customHeight="1">
      <c r="A450" s="194"/>
      <c r="B450" s="195"/>
      <c r="C450" s="208">
        <f>IF(S430="Boring But Big",IF(U437="","",MROUND(T437*U437,'Start-Options'!$B$38)),"")</f>
        <v>82.5</v>
      </c>
      <c r="D450" s="49"/>
      <c r="E450" s="83">
        <f>IF(S430="Boring But Big",10,"")</f>
        <v>10</v>
      </c>
      <c r="F450" s="154"/>
      <c r="G450" s="154"/>
      <c r="H450" s="155"/>
      <c r="I450" s="27"/>
      <c r="J450" s="195"/>
      <c r="K450" s="195"/>
      <c r="L450" s="208">
        <f>IF(S430="Boring But Big",IF(V437="","",MROUND(T437*V437,'Start-Options'!$B$38)),"")</f>
        <v>87.5</v>
      </c>
      <c r="M450" s="245"/>
      <c r="N450" s="246">
        <v>8.0</v>
      </c>
      <c r="O450" s="154"/>
      <c r="P450" s="154"/>
      <c r="Q450" s="206"/>
      <c r="R450" s="27"/>
      <c r="S450" s="27"/>
      <c r="T450" s="27"/>
      <c r="U450" s="27"/>
      <c r="V450" s="27"/>
      <c r="W450" s="27"/>
      <c r="X450" s="27"/>
      <c r="Y450" s="27"/>
      <c r="Z450" s="27"/>
      <c r="AA450" s="27"/>
    </row>
    <row r="451" ht="12.75" customHeight="1">
      <c r="A451" s="168"/>
      <c r="B451" s="27"/>
      <c r="C451" s="27"/>
      <c r="D451" s="27"/>
      <c r="E451" s="27"/>
      <c r="F451" s="27"/>
      <c r="G451" s="27"/>
      <c r="H451" s="27"/>
      <c r="I451" s="27"/>
      <c r="J451" s="27"/>
      <c r="K451" s="27"/>
      <c r="L451" s="27"/>
      <c r="M451" s="27"/>
      <c r="N451" s="27"/>
      <c r="O451" s="27"/>
      <c r="P451" s="27"/>
      <c r="Q451" s="209"/>
      <c r="R451" s="27"/>
      <c r="S451" s="27"/>
      <c r="T451" s="27"/>
      <c r="U451" s="27"/>
      <c r="V451" s="27"/>
      <c r="W451" s="27"/>
      <c r="X451" s="27"/>
      <c r="Y451" s="27"/>
      <c r="Z451" s="27"/>
      <c r="AA451" s="27"/>
    </row>
    <row r="452" ht="12.75" customHeight="1">
      <c r="A452" s="210" t="s">
        <v>279</v>
      </c>
      <c r="B452" s="211" t="s">
        <v>177</v>
      </c>
      <c r="C452" s="41"/>
      <c r="D452" s="41"/>
      <c r="E452" s="42"/>
      <c r="F452" s="211" t="s">
        <v>178</v>
      </c>
      <c r="G452" s="41"/>
      <c r="H452" s="42"/>
      <c r="I452" s="27"/>
      <c r="J452" s="212" t="s">
        <v>280</v>
      </c>
      <c r="K452" s="211" t="s">
        <v>177</v>
      </c>
      <c r="L452" s="41"/>
      <c r="M452" s="41"/>
      <c r="N452" s="42"/>
      <c r="O452" s="211" t="s">
        <v>178</v>
      </c>
      <c r="P452" s="41"/>
      <c r="Q452" s="213"/>
      <c r="R452" s="27"/>
      <c r="S452" s="70" t="s">
        <v>93</v>
      </c>
      <c r="T452" s="71"/>
      <c r="U452" s="27"/>
      <c r="V452" s="27"/>
      <c r="W452" s="27"/>
      <c r="X452" s="27"/>
      <c r="Y452" s="27"/>
      <c r="Z452" s="27"/>
      <c r="AA452" s="27"/>
    </row>
    <row r="453" ht="12.75" customHeight="1">
      <c r="A453" s="194"/>
      <c r="B453" s="214" t="s">
        <v>181</v>
      </c>
      <c r="C453" s="215" t="s">
        <v>26</v>
      </c>
      <c r="D453" s="215"/>
      <c r="E453" s="215" t="s">
        <v>27</v>
      </c>
      <c r="F453" s="215" t="s">
        <v>182</v>
      </c>
      <c r="G453" s="216" t="s">
        <v>183</v>
      </c>
      <c r="H453" s="215" t="s">
        <v>26</v>
      </c>
      <c r="I453" s="27"/>
      <c r="J453" s="217"/>
      <c r="K453" s="214" t="s">
        <v>181</v>
      </c>
      <c r="L453" s="215" t="s">
        <v>26</v>
      </c>
      <c r="M453" s="215"/>
      <c r="N453" s="215" t="s">
        <v>27</v>
      </c>
      <c r="O453" s="215" t="s">
        <v>182</v>
      </c>
      <c r="P453" s="216" t="s">
        <v>183</v>
      </c>
      <c r="Q453" s="218" t="s">
        <v>26</v>
      </c>
      <c r="R453" s="27"/>
      <c r="S453" s="25" t="s">
        <v>94</v>
      </c>
      <c r="T453" s="162"/>
      <c r="U453" s="27"/>
      <c r="V453" s="27"/>
      <c r="W453" s="27"/>
      <c r="X453" s="27"/>
      <c r="Y453" s="27"/>
      <c r="Z453" s="27"/>
      <c r="AA453" s="27"/>
    </row>
    <row r="454" ht="12.75" customHeight="1">
      <c r="A454" s="234" t="s">
        <v>36</v>
      </c>
      <c r="B454" s="197" t="str">
        <f>IF(S430="Accessory Only","",IF(S430="Boring But Big",'Start-Options'!$B$4,T444))</f>
        <v>Military</v>
      </c>
      <c r="C454" s="198">
        <f>IF(S430="Accessory Only","",IF(S430="Boring But Big",IF(W434="","",MROUND(T434*W434,'Start-Options'!$B$38)),IF(T440=531,MROUND(U444*0.65,'Start-Options'!$B$38),MROUND(U444*0.65,'Start-Options'!$B$38))))</f>
        <v>55</v>
      </c>
      <c r="D454" s="243"/>
      <c r="E454" s="244">
        <v>5.0</v>
      </c>
      <c r="F454" s="185"/>
      <c r="G454" s="185"/>
      <c r="H454" s="200"/>
      <c r="I454" s="27"/>
      <c r="J454" s="252" t="s">
        <v>36</v>
      </c>
      <c r="K454" s="197" t="str">
        <f>IF(S430="Accessory Only","",IF(S430="Boring But Big",'Start-Options'!$B$4,T444))</f>
        <v>Military</v>
      </c>
      <c r="L454" s="198">
        <f>IF(S430="Accessory Only","",IF(S430="Boring But Big",IF(X434="","",MROUND(T434*X434,'Start-Options'!$B$38)),MROUND(U444*0.4,'Start-Options'!$B$38)))</f>
        <v>37.5</v>
      </c>
      <c r="M454" s="198"/>
      <c r="N454" s="199">
        <f>IF(S430="Accessory Only","",IF(S430="Boring But Big",10,5))</f>
        <v>10</v>
      </c>
      <c r="O454" s="185"/>
      <c r="P454" s="185"/>
      <c r="Q454" s="187"/>
      <c r="R454" s="27"/>
      <c r="S454" s="77" t="s">
        <v>95</v>
      </c>
      <c r="T454" s="78" t="str">
        <f>IF(T453="","",MROUND(T453*0.4,'Start-Options'!$B$38))</f>
        <v/>
      </c>
      <c r="U454" s="27"/>
      <c r="V454" s="27"/>
      <c r="W454" s="27"/>
      <c r="X454" s="27"/>
      <c r="Y454" s="231"/>
      <c r="Z454" s="231"/>
      <c r="AA454" s="27"/>
    </row>
    <row r="455" ht="12.75" customHeight="1">
      <c r="A455" s="188"/>
      <c r="B455" s="189"/>
      <c r="C455" s="190">
        <f>IF(S430="Accessory Only","",IF(S430="Boring But Big",IF(W434="","",MROUND(T434*W434,'Start-Options'!$B$38)),IF(T440=531,MROUND(U444*0.75,'Start-Options'!$B$38),MROUND(U444*0.75,'Start-Options'!$B$38))))</f>
        <v>55</v>
      </c>
      <c r="D455" s="241"/>
      <c r="E455" s="242">
        <v>5.0</v>
      </c>
      <c r="F455" s="219"/>
      <c r="G455" s="219"/>
      <c r="H455" s="191"/>
      <c r="I455" s="27"/>
      <c r="J455" s="189"/>
      <c r="K455" s="189"/>
      <c r="L455" s="190">
        <f>IF(S430="Accessory Only","",IF(S430="Boring But Big",IF(X434="","",MROUND(T434*X434,'Start-Options'!$B$38)),MROUND(U444*0.5,'Start-Options'!$B$38)))</f>
        <v>37.5</v>
      </c>
      <c r="M455" s="27"/>
      <c r="N455" s="78">
        <f>IF(S430="Accessory Only","",IF(S430="Boring But Big",10,5))</f>
        <v>10</v>
      </c>
      <c r="O455" s="220"/>
      <c r="P455" s="220"/>
      <c r="Q455" s="221"/>
      <c r="R455" s="27"/>
      <c r="S455" s="77" t="s">
        <v>96</v>
      </c>
      <c r="T455" s="78" t="str">
        <f>IF(T453="","",MROUND(T453*0.5,'Start-Options'!$B$38))</f>
        <v/>
      </c>
      <c r="U455" s="27"/>
      <c r="V455" s="27"/>
      <c r="W455" s="27"/>
      <c r="X455" s="27"/>
      <c r="Y455" s="27"/>
      <c r="Z455" s="27"/>
      <c r="AA455" s="27"/>
    </row>
    <row r="456" ht="12.75" customHeight="1">
      <c r="A456" s="188"/>
      <c r="B456" s="189"/>
      <c r="C456" s="190">
        <f>IF(S430="Accessory Only","",IF(S430="Boring But Big",IF(W434="","",MROUND(T434*W434,'Start-Options'!$B$38)),IF(T440=531,MROUND(U444*0.85,'Start-Options'!$B$38),MROUND(U444*0.85,'Start-Options'!$B$38))))</f>
        <v>55</v>
      </c>
      <c r="D456" s="241"/>
      <c r="E456" s="242">
        <v>5.0</v>
      </c>
      <c r="F456" s="219"/>
      <c r="G456" s="219"/>
      <c r="H456" s="191"/>
      <c r="I456" s="27"/>
      <c r="J456" s="189"/>
      <c r="K456" s="189"/>
      <c r="L456" s="190">
        <f>IF(S430="Accessory Only","",IF(S430="Boring But Big",IF(X434="","",MROUND(T434*X434,'Start-Options'!$B$38)),MROUND(U444*0.6,'Start-Options'!$B$38)))</f>
        <v>37.5</v>
      </c>
      <c r="M456" s="27"/>
      <c r="N456" s="78">
        <f>IF(S430="Accessory Only","",IF(S430="Boring But Big",10,5))</f>
        <v>10</v>
      </c>
      <c r="O456" s="220"/>
      <c r="P456" s="220"/>
      <c r="Q456" s="222"/>
      <c r="R456" s="27"/>
      <c r="S456" s="82" t="s">
        <v>97</v>
      </c>
      <c r="T456" s="83" t="str">
        <f>IF(T453="","",MROUND(T453*0.6,'Start-Options'!$B$38))</f>
        <v/>
      </c>
      <c r="U456" s="27"/>
      <c r="V456" s="27"/>
      <c r="W456" s="27"/>
      <c r="X456" s="27"/>
      <c r="Y456" s="27"/>
      <c r="Z456" s="27"/>
      <c r="AA456" s="27"/>
    </row>
    <row r="457" ht="12.75" customHeight="1">
      <c r="A457" s="188"/>
      <c r="B457" s="189"/>
      <c r="C457" s="27">
        <f>IF(S430="Boring But Big",IF(W434="","",MROUND(T434*W434,'Start-Options'!$B$38)),"")</f>
        <v>55</v>
      </c>
      <c r="D457" s="241"/>
      <c r="E457" s="242">
        <v>5.0</v>
      </c>
      <c r="F457" s="219"/>
      <c r="G457" s="219"/>
      <c r="H457" s="191"/>
      <c r="I457" s="27"/>
      <c r="J457" s="189"/>
      <c r="K457" s="189"/>
      <c r="L457" s="27">
        <f>IF(S430="Boring But Big",IF(X434="","",MROUND(T434*X434,'Start-Options'!$B$38)),"")</f>
        <v>37.5</v>
      </c>
      <c r="M457" s="27"/>
      <c r="N457" s="78">
        <f>IF(S430="Boring But Big",10,"")</f>
        <v>10</v>
      </c>
      <c r="O457" s="219"/>
      <c r="P457" s="219"/>
      <c r="Q457" s="201"/>
      <c r="R457" s="27"/>
      <c r="S457" s="27"/>
      <c r="T457" s="27"/>
      <c r="U457" s="27"/>
      <c r="V457" s="27"/>
      <c r="W457" s="27"/>
      <c r="X457" s="27"/>
      <c r="Y457" s="27"/>
      <c r="Z457" s="27"/>
      <c r="AA457" s="27"/>
    </row>
    <row r="458" ht="12.75" customHeight="1">
      <c r="A458" s="194"/>
      <c r="B458" s="195"/>
      <c r="C458" s="27">
        <f>IF(S430="Boring But Big",IF(W434="","",MROUND(T434*W434,'Start-Options'!$B$38)),"")</f>
        <v>55</v>
      </c>
      <c r="D458" s="241"/>
      <c r="E458" s="242">
        <v>5.0</v>
      </c>
      <c r="F458" s="154"/>
      <c r="G458" s="154"/>
      <c r="H458" s="155"/>
      <c r="I458" s="27"/>
      <c r="J458" s="195"/>
      <c r="K458" s="195"/>
      <c r="L458" s="27">
        <f>IF(S430="Boring But Big",IF(X434="","",MROUND(T434*X434,'Start-Options'!$B$38)),"")</f>
        <v>37.5</v>
      </c>
      <c r="M458" s="27"/>
      <c r="N458" s="78">
        <f>IF(S430="Boring But Big",10,"")</f>
        <v>10</v>
      </c>
      <c r="O458" s="154"/>
      <c r="P458" s="154"/>
      <c r="Q458" s="206"/>
      <c r="R458" s="27"/>
      <c r="S458" s="27"/>
      <c r="T458" s="27"/>
      <c r="U458" s="27"/>
      <c r="V458" s="27"/>
      <c r="W458" s="27"/>
      <c r="X458" s="27"/>
      <c r="Y458" s="27"/>
      <c r="Z458" s="27"/>
      <c r="AA458" s="27"/>
    </row>
    <row r="459" ht="12.75" customHeight="1">
      <c r="A459" s="234" t="s">
        <v>44</v>
      </c>
      <c r="B459" s="197" t="str">
        <f>IF(S430="Accessory Only","",IF(S430="Boring But Big",'Start-Options'!$B$5,T445))</f>
        <v>Deadlift</v>
      </c>
      <c r="C459" s="198">
        <f>IF(S430="Accessory Only","",IF(S430="Boring But Big",IF(W435="","",MROUND(T435*W435,'Start-Options'!$B$38)),IF(T440=531,MROUND(U445*0.65,'Start-Options'!$B$38),MROUND(U445*0.65,'Start-Options'!$B$38))))</f>
        <v>117.5</v>
      </c>
      <c r="D459" s="243"/>
      <c r="E459" s="244">
        <v>5.0</v>
      </c>
      <c r="F459" s="185"/>
      <c r="G459" s="185"/>
      <c r="H459" s="200"/>
      <c r="I459" s="27"/>
      <c r="J459" s="252" t="s">
        <v>44</v>
      </c>
      <c r="K459" s="197" t="str">
        <f>IF(S430="Accessory Only","",IF(S430="Boring But Big",'Start-Options'!$B$5,T445))</f>
        <v>Deadlift</v>
      </c>
      <c r="L459" s="198">
        <f>IF(S430="Accessory Only","",IF(S430="Boring But Big",IF(X435="","",MROUND(T435*X435,'Start-Options'!$B$38)),MROUND(U445*0.4,'Start-Options'!$B$38)))</f>
        <v>77.5</v>
      </c>
      <c r="M459" s="198"/>
      <c r="N459" s="199">
        <f>IF(S430="Accessory Only","",IF(S430="Boring But Big",10,5))</f>
        <v>10</v>
      </c>
      <c r="O459" s="185"/>
      <c r="P459" s="185"/>
      <c r="Q459" s="187"/>
      <c r="R459" s="27"/>
      <c r="S459" s="27"/>
      <c r="T459" s="27"/>
      <c r="U459" s="27"/>
      <c r="V459" s="27"/>
      <c r="W459" s="27"/>
      <c r="X459" s="27"/>
      <c r="Y459" s="27"/>
      <c r="Z459" s="27"/>
      <c r="AA459" s="27"/>
    </row>
    <row r="460" ht="12.75" customHeight="1">
      <c r="A460" s="188"/>
      <c r="B460" s="189"/>
      <c r="C460" s="190">
        <f>IF(S430="Accessory Only","",IF(S430="Boring But Big",IF(W435="","",MROUND(T435*W435,'Start-Options'!$B$38)),IF(T440=531,MROUND(U445*0.75,'Start-Options'!$B$38),MROUND(U445*0.75,'Start-Options'!$B$38))))</f>
        <v>117.5</v>
      </c>
      <c r="D460" s="241"/>
      <c r="E460" s="242">
        <v>5.0</v>
      </c>
      <c r="F460" s="219"/>
      <c r="G460" s="219"/>
      <c r="H460" s="191"/>
      <c r="I460" s="27"/>
      <c r="J460" s="189"/>
      <c r="K460" s="189"/>
      <c r="L460" s="190">
        <f>IF(S430="Accessory Only","",IF(S430="Boring But Big",IF(X435="","",MROUND(T435*X435,'Start-Options'!$B$38)),MROUND(U445*0.5,'Start-Options'!$B$38)))</f>
        <v>77.5</v>
      </c>
      <c r="M460" s="27"/>
      <c r="N460" s="78">
        <f>IF(S430="Accessory Only","",IF(S430="Boring But Big",10,5))</f>
        <v>10</v>
      </c>
      <c r="O460" s="220"/>
      <c r="P460" s="220"/>
      <c r="Q460" s="222"/>
      <c r="R460" s="27"/>
      <c r="S460" s="27"/>
      <c r="T460" s="27"/>
      <c r="U460" s="27"/>
      <c r="V460" s="27"/>
      <c r="W460" s="27"/>
      <c r="X460" s="27"/>
      <c r="Y460" s="27"/>
      <c r="Z460" s="27"/>
      <c r="AA460" s="27"/>
    </row>
    <row r="461" ht="12.75" customHeight="1">
      <c r="A461" s="188"/>
      <c r="B461" s="189"/>
      <c r="C461" s="190">
        <f>IF(S430="Accessory Only","",IF(S430="Boring But Big",IF(W435="","",MROUND(T435*W435,'Start-Options'!$B$38)),IF(T440=531,MROUND(U445*0.85,'Start-Options'!$B$38),MROUND(U445*0.85,'Start-Options'!$B$38))))</f>
        <v>117.5</v>
      </c>
      <c r="D461" s="241"/>
      <c r="E461" s="242">
        <v>5.0</v>
      </c>
      <c r="F461" s="219"/>
      <c r="G461" s="219"/>
      <c r="H461" s="191"/>
      <c r="I461" s="27"/>
      <c r="J461" s="189"/>
      <c r="K461" s="189"/>
      <c r="L461" s="190">
        <f>IF(S430="Accessory Only","",IF(S430="Boring But Big",IF(X435="","",MROUND(T435*X435,'Start-Options'!$B$38)),MROUND(U445*0.6,'Start-Options'!$B$38)))</f>
        <v>77.5</v>
      </c>
      <c r="M461" s="27"/>
      <c r="N461" s="78">
        <f>IF(S430="Accessory Only","",IF(S430="Boring But Big",10,5))</f>
        <v>10</v>
      </c>
      <c r="O461" s="220"/>
      <c r="P461" s="220"/>
      <c r="Q461" s="222"/>
      <c r="R461" s="27"/>
      <c r="S461" s="27"/>
      <c r="T461" s="27"/>
      <c r="U461" s="27"/>
      <c r="V461" s="27"/>
      <c r="W461" s="27"/>
      <c r="X461" s="27"/>
      <c r="Y461" s="27"/>
      <c r="Z461" s="27"/>
      <c r="AA461" s="27"/>
    </row>
    <row r="462" ht="12.75" customHeight="1">
      <c r="A462" s="188"/>
      <c r="B462" s="189"/>
      <c r="C462" s="27">
        <f>IF(S430="Boring But Big",IF(W435="","",MROUND(T435*W435,'Start-Options'!$B$38)),"")</f>
        <v>117.5</v>
      </c>
      <c r="D462" s="241"/>
      <c r="E462" s="242">
        <v>5.0</v>
      </c>
      <c r="F462" s="219"/>
      <c r="G462" s="219"/>
      <c r="H462" s="191"/>
      <c r="I462" s="27"/>
      <c r="J462" s="189"/>
      <c r="K462" s="189"/>
      <c r="L462" s="27">
        <f>IF(S430="Boring But Big",IF(X435="","",MROUND(T435*X435,'Start-Options'!$B$38)),"")</f>
        <v>77.5</v>
      </c>
      <c r="M462" s="27"/>
      <c r="N462" s="78">
        <f>IF(S430="Boring But Big",10,"")</f>
        <v>10</v>
      </c>
      <c r="O462" s="219"/>
      <c r="P462" s="219"/>
      <c r="Q462" s="201"/>
      <c r="R462" s="27"/>
      <c r="S462" s="27"/>
      <c r="T462" s="27"/>
      <c r="U462" s="27"/>
      <c r="V462" s="27"/>
      <c r="W462" s="27"/>
      <c r="X462" s="27"/>
      <c r="Y462" s="27"/>
      <c r="Z462" s="27"/>
      <c r="AA462" s="27"/>
    </row>
    <row r="463" ht="12.75" customHeight="1">
      <c r="A463" s="188"/>
      <c r="B463" s="195"/>
      <c r="C463" s="27">
        <f>IF(S430="Boring But Big",IF(W435="","",MROUND(T435*W435,'Start-Options'!$B$38)),"")</f>
        <v>117.5</v>
      </c>
      <c r="D463" s="241"/>
      <c r="E463" s="242">
        <v>5.0</v>
      </c>
      <c r="F463" s="154"/>
      <c r="G463" s="154"/>
      <c r="H463" s="155"/>
      <c r="I463" s="27"/>
      <c r="J463" s="189"/>
      <c r="K463" s="195"/>
      <c r="L463" s="27">
        <f>IF(S430="Boring But Big",IF(X435="","",MROUND(T435*X435,'Start-Options'!$B$38)),"")</f>
        <v>77.5</v>
      </c>
      <c r="M463" s="27"/>
      <c r="N463" s="78">
        <f>IF(S430="Boring But Big",10,"")</f>
        <v>10</v>
      </c>
      <c r="O463" s="154"/>
      <c r="P463" s="154"/>
      <c r="Q463" s="206"/>
      <c r="R463" s="27"/>
      <c r="S463" s="27"/>
      <c r="T463" s="27"/>
      <c r="U463" s="27"/>
      <c r="V463" s="27"/>
      <c r="W463" s="27"/>
      <c r="X463" s="27"/>
      <c r="Y463" s="27"/>
      <c r="Z463" s="27"/>
      <c r="AA463" s="27"/>
    </row>
    <row r="464" ht="12.75" customHeight="1">
      <c r="A464" s="234" t="s">
        <v>48</v>
      </c>
      <c r="B464" s="197" t="str">
        <f>IF(S430="Accessory Only","",IF(S430="Boring But Big",'Start-Options'!$B$6,T446))</f>
        <v>Bench</v>
      </c>
      <c r="C464" s="198">
        <f>IF(S430="Accessory Only","",IF(S430="Boring But Big",IF(W436="","",MROUND(T436*W436,'Start-Options'!$B$38)),IF(T440=531,MROUND(U446*0.65,'Start-Options'!$B$38),MROUND(U446*0.65,'Start-Options'!$B$38))))</f>
        <v>70</v>
      </c>
      <c r="D464" s="243"/>
      <c r="E464" s="244">
        <v>5.0</v>
      </c>
      <c r="F464" s="185"/>
      <c r="G464" s="185"/>
      <c r="H464" s="200"/>
      <c r="I464" s="27"/>
      <c r="J464" s="252" t="s">
        <v>48</v>
      </c>
      <c r="K464" s="197" t="str">
        <f>IF(S430="Accessory Only","",IF(S430="Boring But Big",'Start-Options'!$B$6,T446))</f>
        <v>Bench</v>
      </c>
      <c r="L464" s="198">
        <f>IF(S430="Accessory Only","",IF(S430="Boring But Big",IF(X436="","",MROUND(T436*X436,'Start-Options'!$B$38)),MROUND(U446*0.4,'Start-Options'!$B$38)))</f>
        <v>47.5</v>
      </c>
      <c r="M464" s="198"/>
      <c r="N464" s="199">
        <f>IF(S430="Accessory Only","",IF(S430="Boring But Big",10,5))</f>
        <v>10</v>
      </c>
      <c r="O464" s="185"/>
      <c r="P464" s="185"/>
      <c r="Q464" s="187"/>
      <c r="R464" s="27"/>
      <c r="S464" s="27"/>
      <c r="T464" s="27"/>
      <c r="U464" s="27"/>
      <c r="V464" s="27"/>
      <c r="W464" s="27"/>
      <c r="X464" s="27"/>
      <c r="Y464" s="27"/>
      <c r="Z464" s="27"/>
      <c r="AA464" s="27"/>
    </row>
    <row r="465" ht="12.75" customHeight="1">
      <c r="A465" s="188"/>
      <c r="B465" s="189"/>
      <c r="C465" s="190">
        <f>IF(S430="Accessory Only","",IF(S430="Boring But Big",IF(W436="","",MROUND(T436*W436,'Start-Options'!$B$38)),IF(T440=531,MROUND(U446*0.75,'Start-Options'!$B$38),MROUND(U446*0.75,'Start-Options'!$B$38))))</f>
        <v>70</v>
      </c>
      <c r="D465" s="241"/>
      <c r="E465" s="242">
        <v>5.0</v>
      </c>
      <c r="F465" s="219"/>
      <c r="G465" s="219"/>
      <c r="H465" s="191"/>
      <c r="I465" s="27"/>
      <c r="J465" s="189"/>
      <c r="K465" s="189"/>
      <c r="L465" s="190">
        <f>IF(S430="Accessory Only","",IF(S430="Boring But Big",IF(X436="","",MROUND(T436*X436,'Start-Options'!$B$38)),MROUND(U446*0.5,'Start-Options'!$B$38)))</f>
        <v>47.5</v>
      </c>
      <c r="M465" s="27"/>
      <c r="N465" s="78">
        <f>IF(S430="Accessory Only","",IF(S430="Boring But Big",10,5))</f>
        <v>10</v>
      </c>
      <c r="O465" s="220"/>
      <c r="P465" s="220"/>
      <c r="Q465" s="222"/>
      <c r="R465" s="27"/>
      <c r="S465" s="27"/>
      <c r="T465" s="27"/>
      <c r="U465" s="27"/>
      <c r="V465" s="27"/>
      <c r="W465" s="27"/>
      <c r="X465" s="27"/>
      <c r="Y465" s="27"/>
      <c r="Z465" s="27"/>
      <c r="AA465" s="27"/>
    </row>
    <row r="466" ht="12.75" customHeight="1">
      <c r="A466" s="188"/>
      <c r="B466" s="189"/>
      <c r="C466" s="190">
        <f>IF(S430="Accessory Only","",IF(S430="Boring But Big",IF(W436="","",MROUND(T436*W436,'Start-Options'!$B$38)),IF(T440=531,MROUND(U446*0.85,'Start-Options'!$B$38),MROUND(U446*0.85,'Start-Options'!$B$38))))</f>
        <v>70</v>
      </c>
      <c r="D466" s="241"/>
      <c r="E466" s="242">
        <v>5.0</v>
      </c>
      <c r="F466" s="219"/>
      <c r="G466" s="219"/>
      <c r="H466" s="191"/>
      <c r="I466" s="27"/>
      <c r="J466" s="189"/>
      <c r="K466" s="189"/>
      <c r="L466" s="190">
        <f>IF(S430="Accessory Only","",IF(S430="Boring But Big",IF(X436="","",MROUND(T436*X436,'Start-Options'!$B$38)),MROUND(U446*0.6,'Start-Options'!$B$38)))</f>
        <v>47.5</v>
      </c>
      <c r="M466" s="27"/>
      <c r="N466" s="78">
        <f>IF(S430="Accessory Only","",IF(S430="Boring But Big",10,5))</f>
        <v>10</v>
      </c>
      <c r="O466" s="220"/>
      <c r="P466" s="220"/>
      <c r="Q466" s="222"/>
      <c r="R466" s="27"/>
      <c r="S466" s="27"/>
      <c r="T466" s="27"/>
      <c r="U466" s="27"/>
      <c r="V466" s="27"/>
      <c r="W466" s="27"/>
      <c r="X466" s="27"/>
      <c r="Y466" s="27"/>
      <c r="Z466" s="27"/>
      <c r="AA466" s="27"/>
    </row>
    <row r="467" ht="12.75" customHeight="1">
      <c r="A467" s="188"/>
      <c r="B467" s="189"/>
      <c r="C467" s="27">
        <f>IF(S430="Boring But Big",IF(W436="","",MROUND(T436*W436,'Start-Options'!$B$38)),"")</f>
        <v>70</v>
      </c>
      <c r="D467" s="241"/>
      <c r="E467" s="242">
        <v>5.0</v>
      </c>
      <c r="F467" s="219"/>
      <c r="G467" s="219"/>
      <c r="H467" s="191"/>
      <c r="I467" s="27"/>
      <c r="J467" s="189"/>
      <c r="K467" s="189"/>
      <c r="L467" s="27">
        <f>IF(S430="Boring But Big",IF(X436="","",MROUND(T436*X436,'Start-Options'!$B$38)),"")</f>
        <v>47.5</v>
      </c>
      <c r="M467" s="27"/>
      <c r="N467" s="78">
        <f>IF(S430="Boring But Big",10,"")</f>
        <v>10</v>
      </c>
      <c r="O467" s="219"/>
      <c r="P467" s="219"/>
      <c r="Q467" s="201"/>
      <c r="R467" s="27"/>
      <c r="S467" s="27"/>
      <c r="T467" s="27"/>
      <c r="U467" s="27"/>
      <c r="V467" s="27"/>
      <c r="W467" s="27"/>
      <c r="X467" s="27"/>
      <c r="Y467" s="27"/>
      <c r="Z467" s="27"/>
      <c r="AA467" s="27"/>
    </row>
    <row r="468" ht="12.75" customHeight="1">
      <c r="A468" s="194"/>
      <c r="B468" s="195"/>
      <c r="C468" s="27">
        <f>IF(S430="Boring But Big",IF(W436="","",MROUND(T436*W436,'Start-Options'!$B$38)),"")</f>
        <v>70</v>
      </c>
      <c r="D468" s="241"/>
      <c r="E468" s="242">
        <v>5.0</v>
      </c>
      <c r="F468" s="154"/>
      <c r="G468" s="154"/>
      <c r="H468" s="155"/>
      <c r="I468" s="27"/>
      <c r="J468" s="195"/>
      <c r="K468" s="195"/>
      <c r="L468" s="27">
        <f>IF(S430="Boring But Big",IF(X436="","",MROUND(T436*X436,'Start-Options'!$B$38)),"")</f>
        <v>47.5</v>
      </c>
      <c r="M468" s="27"/>
      <c r="N468" s="78">
        <f>IF(S430="Boring But Big",10,"")</f>
        <v>10</v>
      </c>
      <c r="O468" s="154"/>
      <c r="P468" s="154"/>
      <c r="Q468" s="206"/>
      <c r="R468" s="27"/>
      <c r="S468" s="27"/>
      <c r="T468" s="27"/>
      <c r="U468" s="27"/>
      <c r="V468" s="27"/>
      <c r="W468" s="27"/>
      <c r="X468" s="27"/>
      <c r="Y468" s="27"/>
      <c r="Z468" s="27"/>
      <c r="AA468" s="27"/>
    </row>
    <row r="469" ht="12.75" customHeight="1">
      <c r="A469" s="234" t="s">
        <v>53</v>
      </c>
      <c r="B469" s="197" t="str">
        <f>IF(S430="Accessory Only","",IF(S430="Boring But Big",'Start-Options'!$B$7,T447))</f>
        <v>Squat</v>
      </c>
      <c r="C469" s="198">
        <f>IF(S430="Accessory Only","",IF(S430="Boring But Big",IF(W437="","",MROUND(T437*W437,'Start-Options'!$B$38)),IF(T440=531,MROUND(U447*0.65,'Start-Options'!$B$38),MROUND(U447*0.65,'Start-Options'!$B$38))))</f>
        <v>95</v>
      </c>
      <c r="D469" s="243"/>
      <c r="E469" s="244">
        <v>5.0</v>
      </c>
      <c r="F469" s="185"/>
      <c r="G469" s="185"/>
      <c r="H469" s="200"/>
      <c r="I469" s="27"/>
      <c r="J469" s="252" t="s">
        <v>53</v>
      </c>
      <c r="K469" s="197" t="str">
        <f>IF(S430="Accessory Only","",IF(S430="Boring But Big",'Start-Options'!$B$7,T447))</f>
        <v>Squat</v>
      </c>
      <c r="L469" s="198">
        <f>IF(S430="Accessory Only","",IF(S430="Boring But Big",IF(X437="","",MROUND(T437*X437,'Start-Options'!$B$38)),MROUND(U447*0.4,'Start-Options'!$B$38)))</f>
        <v>62.5</v>
      </c>
      <c r="M469" s="198"/>
      <c r="N469" s="199">
        <f>IF(S430="Accessory Only","",IF(S430="Boring But Big",10,5))</f>
        <v>10</v>
      </c>
      <c r="O469" s="185"/>
      <c r="P469" s="185"/>
      <c r="Q469" s="187"/>
      <c r="R469" s="27"/>
      <c r="S469" s="27"/>
      <c r="T469" s="27"/>
      <c r="U469" s="27"/>
      <c r="V469" s="27"/>
      <c r="W469" s="27"/>
      <c r="X469" s="27"/>
      <c r="Y469" s="27"/>
      <c r="Z469" s="27"/>
      <c r="AA469" s="27"/>
    </row>
    <row r="470" ht="12.75" customHeight="1">
      <c r="A470" s="188"/>
      <c r="B470" s="189"/>
      <c r="C470" s="190">
        <f>IF(S430="Accessory Only","",IF(S430="Boring But Big",IF(W437="","",MROUND(T437*W437,'Start-Options'!$B$38)),IF(T440=531,MROUND(U447*0.75,'Start-Options'!$B$38),MROUND(U447*0.75,'Start-Options'!$B$38))))</f>
        <v>95</v>
      </c>
      <c r="D470" s="241"/>
      <c r="E470" s="242">
        <v>5.0</v>
      </c>
      <c r="F470" s="219"/>
      <c r="G470" s="219"/>
      <c r="H470" s="191"/>
      <c r="I470" s="27"/>
      <c r="J470" s="189"/>
      <c r="K470" s="189"/>
      <c r="L470" s="190">
        <f>IF(S430="Accessory Only","",IF(S430="Boring But Big",IF(X437="","",MROUND(T437*X437,'Start-Options'!$B$38)),MROUND(U447*0.5,'Start-Options'!$B$38)))</f>
        <v>62.5</v>
      </c>
      <c r="M470" s="27"/>
      <c r="N470" s="78">
        <f>IF(S430="Accessory Only","",IF(S430="Boring But Big",10,5))</f>
        <v>10</v>
      </c>
      <c r="O470" s="220"/>
      <c r="P470" s="220"/>
      <c r="Q470" s="222"/>
      <c r="R470" s="27"/>
      <c r="S470" s="27"/>
      <c r="T470" s="27"/>
      <c r="U470" s="27"/>
      <c r="V470" s="27"/>
      <c r="W470" s="27"/>
      <c r="X470" s="27"/>
      <c r="Y470" s="27"/>
      <c r="Z470" s="27"/>
      <c r="AA470" s="27"/>
    </row>
    <row r="471" ht="12.75" customHeight="1">
      <c r="A471" s="188"/>
      <c r="B471" s="189"/>
      <c r="C471" s="190">
        <f>IF(S430="Accessory Only","",IF(S430="Boring But Big",IF(W437="","",MROUND(T437*W437,'Start-Options'!$B$38)),IF(T440=531,MROUND(U447*0.85,'Start-Options'!$B$38),MROUND(U447*0.85,'Start-Options'!$B$38))))</f>
        <v>95</v>
      </c>
      <c r="D471" s="241"/>
      <c r="E471" s="242">
        <v>5.0</v>
      </c>
      <c r="F471" s="219"/>
      <c r="G471" s="219"/>
      <c r="H471" s="191"/>
      <c r="I471" s="27"/>
      <c r="J471" s="189"/>
      <c r="K471" s="189"/>
      <c r="L471" s="190">
        <f>IF(S430="Accessory Only","",IF(S430="Boring But Big",IF(X437="","",MROUND(T437*X437,'Start-Options'!$B$38)),MROUND(U447*0.6,'Start-Options'!$B$38)))</f>
        <v>62.5</v>
      </c>
      <c r="M471" s="27"/>
      <c r="N471" s="78">
        <f>IF(S430="Accessory Only","",IF(S430="Boring But Big",10,5))</f>
        <v>10</v>
      </c>
      <c r="O471" s="220"/>
      <c r="P471" s="220"/>
      <c r="Q471" s="222"/>
      <c r="R471" s="27"/>
      <c r="S471" s="27"/>
      <c r="T471" s="27"/>
      <c r="U471" s="27"/>
      <c r="V471" s="27"/>
      <c r="W471" s="27"/>
      <c r="X471" s="27"/>
      <c r="Y471" s="27"/>
      <c r="Z471" s="27"/>
      <c r="AA471" s="27"/>
    </row>
    <row r="472" ht="7.5" customHeight="1">
      <c r="A472" s="188"/>
      <c r="B472" s="189"/>
      <c r="C472" s="27">
        <f>IF(S430="Boring But Big",IF(W437="","",MROUND(T437*W437,'Start-Options'!$B$38)),"")</f>
        <v>95</v>
      </c>
      <c r="D472" s="241"/>
      <c r="E472" s="242">
        <v>5.0</v>
      </c>
      <c r="F472" s="219"/>
      <c r="G472" s="219"/>
      <c r="H472" s="147"/>
      <c r="I472" s="27"/>
      <c r="J472" s="189"/>
      <c r="K472" s="189"/>
      <c r="L472" s="27">
        <f>IF(S430="Boring But Big",IF(X437="","",MROUND(T437*X437,'Start-Options'!$B$38)),"")</f>
        <v>62.5</v>
      </c>
      <c r="M472" s="27"/>
      <c r="N472" s="78">
        <f>IF(S430="Boring But Big",10,"")</f>
        <v>10</v>
      </c>
      <c r="O472" s="151"/>
      <c r="P472" s="219"/>
      <c r="Q472" s="224"/>
      <c r="R472" s="27"/>
      <c r="S472" s="27"/>
      <c r="T472" s="27"/>
      <c r="U472" s="27"/>
      <c r="V472" s="27"/>
      <c r="W472" s="27"/>
      <c r="X472" s="27"/>
      <c r="Y472" s="27"/>
      <c r="Z472" s="27"/>
      <c r="AA472" s="27"/>
    </row>
    <row r="473" ht="13.5" customHeight="1">
      <c r="A473" s="176"/>
      <c r="B473" s="225"/>
      <c r="C473" s="226">
        <f>IF(S430="Boring But Big",IF(W437="","",MROUND(T437*W437,'Start-Options'!$B$38)),"")</f>
        <v>95</v>
      </c>
      <c r="D473" s="247"/>
      <c r="E473" s="248">
        <v>5.0</v>
      </c>
      <c r="F473" s="228"/>
      <c r="G473" s="228"/>
      <c r="H473" s="229"/>
      <c r="I473" s="158"/>
      <c r="J473" s="225"/>
      <c r="K473" s="225"/>
      <c r="L473" s="226">
        <f>IF(S430="Boring But Big",IF(X437="","",MROUND(T437*X437,'Start-Options'!$B$38)),"")</f>
        <v>62.5</v>
      </c>
      <c r="M473" s="158"/>
      <c r="N473" s="227">
        <f>IF(S430="Boring But Big",10,"")</f>
        <v>10</v>
      </c>
      <c r="O473" s="229"/>
      <c r="P473" s="228"/>
      <c r="Q473" s="230"/>
      <c r="R473" s="27"/>
      <c r="S473" s="27"/>
      <c r="T473" s="27"/>
      <c r="U473" s="27"/>
      <c r="V473" s="27"/>
      <c r="W473" s="27"/>
      <c r="X473" s="27"/>
      <c r="Y473" s="27"/>
      <c r="Z473" s="27"/>
      <c r="AA473" s="27"/>
    </row>
    <row r="474" ht="12.75" customHeight="1">
      <c r="A474" s="263"/>
      <c r="B474" s="69"/>
      <c r="C474" s="69"/>
      <c r="D474" s="69"/>
      <c r="E474" s="69"/>
      <c r="F474" s="69"/>
      <c r="G474" s="69"/>
      <c r="H474" s="69"/>
      <c r="I474" s="27"/>
      <c r="J474" s="263"/>
      <c r="K474" s="69"/>
      <c r="L474" s="69"/>
      <c r="M474" s="69"/>
      <c r="N474" s="69"/>
      <c r="O474" s="69"/>
      <c r="P474" s="69"/>
      <c r="Q474" s="69"/>
      <c r="R474" s="27"/>
      <c r="S474" s="27"/>
      <c r="T474" s="27"/>
      <c r="U474" s="27"/>
      <c r="V474" s="27"/>
      <c r="W474" s="27"/>
      <c r="X474" s="27"/>
      <c r="Y474" s="27"/>
      <c r="Z474" s="27"/>
      <c r="AA474" s="27"/>
    </row>
    <row r="475" ht="21.0" customHeight="1">
      <c r="A475" s="168"/>
      <c r="B475" s="27"/>
      <c r="C475" s="27"/>
      <c r="D475" s="27"/>
      <c r="E475" s="27"/>
      <c r="F475" s="27"/>
      <c r="G475" s="27"/>
      <c r="H475" s="27"/>
      <c r="I475" s="169" t="s">
        <v>154</v>
      </c>
      <c r="J475" s="27"/>
      <c r="K475" s="27"/>
      <c r="L475" s="27"/>
      <c r="M475" s="27"/>
      <c r="N475" s="27"/>
      <c r="O475" s="27"/>
      <c r="P475" s="27"/>
      <c r="Q475" s="27"/>
      <c r="R475" s="27"/>
      <c r="S475" s="27"/>
      <c r="T475" s="27"/>
      <c r="U475" s="27"/>
      <c r="V475" s="27"/>
      <c r="W475" s="27"/>
      <c r="X475" s="27"/>
      <c r="Y475" s="27"/>
      <c r="Z475" s="27"/>
      <c r="AA475" s="27"/>
    </row>
    <row r="476" ht="12.75" customHeight="1">
      <c r="A476" s="170" t="s">
        <v>281</v>
      </c>
      <c r="B476" s="171" t="s">
        <v>177</v>
      </c>
      <c r="C476" s="172"/>
      <c r="D476" s="172"/>
      <c r="E476" s="173"/>
      <c r="F476" s="171" t="s">
        <v>178</v>
      </c>
      <c r="G476" s="172"/>
      <c r="H476" s="173"/>
      <c r="I476" s="91"/>
      <c r="J476" s="174" t="s">
        <v>282</v>
      </c>
      <c r="K476" s="171" t="s">
        <v>177</v>
      </c>
      <c r="L476" s="172"/>
      <c r="M476" s="172"/>
      <c r="N476" s="173"/>
      <c r="O476" s="171" t="s">
        <v>178</v>
      </c>
      <c r="P476" s="172"/>
      <c r="Q476" s="94"/>
      <c r="R476" s="27"/>
      <c r="S476" s="70" t="s">
        <v>180</v>
      </c>
      <c r="T476" s="175"/>
      <c r="U476" s="71"/>
      <c r="V476" s="27"/>
      <c r="W476" s="27"/>
      <c r="X476" s="27"/>
      <c r="Y476" s="27"/>
      <c r="Z476" s="27"/>
      <c r="AA476" s="27"/>
    </row>
    <row r="477" ht="13.5" customHeight="1">
      <c r="A477" s="176"/>
      <c r="B477" s="177" t="s">
        <v>181</v>
      </c>
      <c r="C477" s="178" t="s">
        <v>26</v>
      </c>
      <c r="D477" s="178"/>
      <c r="E477" s="178" t="s">
        <v>27</v>
      </c>
      <c r="F477" s="178" t="s">
        <v>182</v>
      </c>
      <c r="G477" s="178" t="s">
        <v>183</v>
      </c>
      <c r="H477" s="179" t="s">
        <v>26</v>
      </c>
      <c r="I477" s="27"/>
      <c r="J477" s="180"/>
      <c r="K477" s="177" t="s">
        <v>181</v>
      </c>
      <c r="L477" s="178" t="s">
        <v>26</v>
      </c>
      <c r="M477" s="178"/>
      <c r="N477" s="178" t="s">
        <v>27</v>
      </c>
      <c r="O477" s="178" t="s">
        <v>182</v>
      </c>
      <c r="P477" s="179" t="s">
        <v>183</v>
      </c>
      <c r="Q477" s="181" t="s">
        <v>26</v>
      </c>
      <c r="R477" s="27"/>
      <c r="S477" s="182" t="s">
        <v>184</v>
      </c>
      <c r="T477" s="41"/>
      <c r="U477" s="42"/>
      <c r="V477" s="27"/>
      <c r="W477" s="27"/>
      <c r="X477" s="27"/>
      <c r="Y477" s="27"/>
      <c r="Z477" s="27"/>
      <c r="AA477" s="27"/>
    </row>
    <row r="478" ht="12.75" customHeight="1">
      <c r="A478" s="233" t="s">
        <v>36</v>
      </c>
      <c r="B478" s="184" t="str">
        <f>IF(S477="Accessory Only","",IF(S477="Boring But Big",'Start-Options'!$B$4,T491))</f>
        <v>Military</v>
      </c>
      <c r="C478" s="27">
        <f>IF(S477="Accessory Only","",IF(S477="Boring But Big",IF(U481="","",MROUND(T481*U481,'Start-Options'!$B$38)),IF(T487=531,MROUND(U491*0.5,'Start-Options'!$B$38),MROUND(U491*0.6,'Start-Options'!$B$38))))</f>
        <v>50</v>
      </c>
      <c r="D478" s="27"/>
      <c r="E478" s="78">
        <f>IF(S477="Accessory Only","",IF(S477="Boring But Big",10,IF(T487=531,10,8)))</f>
        <v>10</v>
      </c>
      <c r="F478" s="220"/>
      <c r="G478" s="220"/>
      <c r="H478" s="186"/>
      <c r="I478" s="77"/>
      <c r="J478" s="249" t="s">
        <v>36</v>
      </c>
      <c r="K478" s="184" t="str">
        <f>IF(S477="Accessory Only","",IF(S477="Boring But Big",'Start-Options'!$B$4,T491))</f>
        <v>Military</v>
      </c>
      <c r="L478" s="27">
        <f>IF(S477="Accessory Only","",IF(S477="Boring But Big",IF(V481="","",MROUND(T481*V481,'Start-Options'!$B$38)),IF(T487=531,MROUND(U491*0.6,'Start-Options'!$B$38),MROUND(U491*0.5,'Start-Options'!$B$38))))</f>
        <v>52.5</v>
      </c>
      <c r="M478" s="241"/>
      <c r="N478" s="242">
        <v>8.0</v>
      </c>
      <c r="O478" s="220"/>
      <c r="P478" s="220"/>
      <c r="Q478" s="222"/>
      <c r="R478" s="27"/>
      <c r="S478" s="27"/>
      <c r="T478" s="27"/>
      <c r="U478" s="27"/>
      <c r="V478" s="27"/>
      <c r="W478" s="27"/>
      <c r="X478" s="27"/>
      <c r="Y478" s="27"/>
      <c r="Z478" s="27"/>
      <c r="AA478" s="27"/>
    </row>
    <row r="479" ht="12.75" customHeight="1">
      <c r="A479" s="188"/>
      <c r="B479" s="189"/>
      <c r="C479" s="190">
        <f>IF(S477="Accessory Only","",IF(S477="Boring But Big",IF(U481="","",MROUND(T481*U481,'Start-Options'!$B$38)),IF(T487=531,MROUND(U491*0.6,'Start-Options'!$B$38),MROUND(U491*0.7,'Start-Options'!$B$38))))</f>
        <v>50</v>
      </c>
      <c r="D479" s="27"/>
      <c r="E479" s="78">
        <f>IF(S477="Accessory Only","",IF(S477="Boring But Big",10,IF(T487=531,10,8)))</f>
        <v>10</v>
      </c>
      <c r="F479" s="219"/>
      <c r="G479" s="219"/>
      <c r="H479" s="191"/>
      <c r="I479" s="27"/>
      <c r="J479" s="189"/>
      <c r="K479" s="189"/>
      <c r="L479" s="190">
        <f>IF(S477="Accessory Only","",IF(S477="Boring But Big",IF(V481="","",MROUND(T481*V481,'Start-Options'!$B$38)),IF(T487=531,MROUND(U491*0.7,'Start-Options'!$B$38),MROUND(U491*0.6,'Start-Options'!$B$38))))</f>
        <v>52.5</v>
      </c>
      <c r="M479" s="241"/>
      <c r="N479" s="242">
        <v>8.0</v>
      </c>
      <c r="O479" s="219"/>
      <c r="P479" s="219"/>
      <c r="Q479" s="201"/>
      <c r="R479" s="27"/>
      <c r="S479" s="70" t="s">
        <v>184</v>
      </c>
      <c r="T479" s="175"/>
      <c r="U479" s="175"/>
      <c r="V479" s="175"/>
      <c r="W479" s="175"/>
      <c r="X479" s="71"/>
      <c r="Y479" s="27"/>
      <c r="Z479" s="27"/>
      <c r="AA479" s="27"/>
    </row>
    <row r="480" ht="12.75" customHeight="1">
      <c r="A480" s="188"/>
      <c r="B480" s="189"/>
      <c r="C480" s="190">
        <f>IF(S477="Accessory Only","",IF(S477="Boring But Big",IF(U481="","",MROUND(T481*U481,'Start-Options'!$B$38)),IF(T487=531,MROUND(U491*0.7,'Start-Options'!$B$38),MROUND(U491*0.8,'Start-Options'!$B$38))))</f>
        <v>50</v>
      </c>
      <c r="D480" s="27"/>
      <c r="E480" s="78">
        <f>IF(S477="Accessory Only","",IF(S477="Boring But Big",10,IF(T487=531,10,6)))</f>
        <v>10</v>
      </c>
      <c r="F480" s="219"/>
      <c r="G480" s="219"/>
      <c r="H480" s="191"/>
      <c r="I480" s="27"/>
      <c r="J480" s="189"/>
      <c r="K480" s="189"/>
      <c r="L480" s="190">
        <f>IF(S477="Accessory Only","",IF(S477="Boring But Big",IF(V481="","",MROUND(T481*V481,'Start-Options'!$B$38)),IF(T487=531,MROUND(U491*0.8,'Start-Options'!$B$38),MROUND(U491*0.7,'Start-Options'!$B$38))))</f>
        <v>52.5</v>
      </c>
      <c r="M480" s="241"/>
      <c r="N480" s="242">
        <v>8.0</v>
      </c>
      <c r="O480" s="219"/>
      <c r="P480" s="219"/>
      <c r="Q480" s="201"/>
      <c r="R480" s="27"/>
      <c r="S480" s="25" t="s">
        <v>187</v>
      </c>
      <c r="T480" s="25" t="s">
        <v>28</v>
      </c>
      <c r="U480" s="25" t="s">
        <v>188</v>
      </c>
      <c r="V480" s="25" t="s">
        <v>189</v>
      </c>
      <c r="W480" s="192" t="s">
        <v>190</v>
      </c>
      <c r="X480" s="192" t="s">
        <v>191</v>
      </c>
      <c r="Y480" s="27"/>
      <c r="Z480" s="27"/>
      <c r="AA480" s="27"/>
    </row>
    <row r="481" ht="12.75" customHeight="1">
      <c r="A481" s="188"/>
      <c r="B481" s="189"/>
      <c r="C481" s="27">
        <f>IF(S477="Boring But Big",IF(U481="","",MROUND(T481*U481,'Start-Options'!$B$38)),"")</f>
        <v>50</v>
      </c>
      <c r="D481" s="27"/>
      <c r="E481" s="78">
        <f>IF(S477="Boring But Big",10,"")</f>
        <v>10</v>
      </c>
      <c r="F481" s="219"/>
      <c r="G481" s="219"/>
      <c r="H481" s="191"/>
      <c r="I481" s="27"/>
      <c r="J481" s="189"/>
      <c r="K481" s="189"/>
      <c r="L481" s="27">
        <f>IF(S477="Boring But Big",IF(V481="","",MROUND(T481*V481,'Start-Options'!$B$38)),"")</f>
        <v>52.5</v>
      </c>
      <c r="M481" s="241"/>
      <c r="N481" s="242">
        <v>8.0</v>
      </c>
      <c r="O481" s="219"/>
      <c r="P481" s="219"/>
      <c r="Q481" s="201"/>
      <c r="R481" s="27"/>
      <c r="S481" s="25" t="s">
        <v>30</v>
      </c>
      <c r="T481" s="25">
        <f>'531'!Z173</f>
        <v>75</v>
      </c>
      <c r="U481" s="250">
        <v>0.65</v>
      </c>
      <c r="V481" s="250">
        <v>0.7</v>
      </c>
      <c r="W481" s="251">
        <v>0.75</v>
      </c>
      <c r="X481" s="251">
        <v>0.5</v>
      </c>
      <c r="Y481" s="27"/>
      <c r="Z481" s="27"/>
      <c r="AA481" s="27"/>
    </row>
    <row r="482" ht="12.75" customHeight="1">
      <c r="A482" s="194"/>
      <c r="B482" s="195"/>
      <c r="C482" s="27">
        <f>IF(S477="Boring But Big",IF(U481="","",MROUND(T481*U481,'Start-Options'!$B$38)),"")</f>
        <v>50</v>
      </c>
      <c r="D482" s="27"/>
      <c r="E482" s="78">
        <f>IF(S477="Boring But Big",10,"")</f>
        <v>10</v>
      </c>
      <c r="F482" s="154"/>
      <c r="G482" s="154"/>
      <c r="H482" s="155"/>
      <c r="I482" s="27"/>
      <c r="J482" s="195"/>
      <c r="K482" s="195"/>
      <c r="L482" s="27">
        <f>IF(S477="Boring But Big",IF(V481="","",MROUND(T481*V481,'Start-Options'!$B$38)),"")</f>
        <v>52.5</v>
      </c>
      <c r="M482" s="241"/>
      <c r="N482" s="242">
        <v>8.0</v>
      </c>
      <c r="O482" s="154"/>
      <c r="P482" s="154"/>
      <c r="Q482" s="206"/>
      <c r="R482" s="27"/>
      <c r="S482" s="25" t="s">
        <v>31</v>
      </c>
      <c r="T482" s="25">
        <f>'531'!Z174</f>
        <v>160</v>
      </c>
      <c r="U482" s="250">
        <v>0.65</v>
      </c>
      <c r="V482" s="250">
        <v>0.7</v>
      </c>
      <c r="W482" s="251">
        <v>0.75</v>
      </c>
      <c r="X482" s="250">
        <v>0.5</v>
      </c>
      <c r="Y482" s="27"/>
      <c r="Z482" s="27"/>
      <c r="AA482" s="27"/>
    </row>
    <row r="483" ht="12.75" customHeight="1">
      <c r="A483" s="234" t="s">
        <v>262</v>
      </c>
      <c r="B483" s="197" t="str">
        <f>IF(S477="Accessory Only","",IF(S477="Boring But Big",'Start-Options'!$B$5,T492))</f>
        <v>Deadlift</v>
      </c>
      <c r="C483" s="198">
        <f>IF(S477="Accessory Only","",IF(S477="Boring But Big",IF(U482="","",MROUND(T482*U482,'Start-Options'!$B$38)),IF(T487=531,MROUND(U492*0.5,'Start-Options'!$B$38),MROUND(U492*0.6,'Start-Options'!$B$38))))</f>
        <v>105</v>
      </c>
      <c r="D483" s="198"/>
      <c r="E483" s="199">
        <f>IF(S477="Accessory Only","",IF(S477="Boring But Big",10,IF(T487=531,10,8)))</f>
        <v>10</v>
      </c>
      <c r="F483" s="185"/>
      <c r="G483" s="185"/>
      <c r="H483" s="200"/>
      <c r="I483" s="27"/>
      <c r="J483" s="252" t="s">
        <v>44</v>
      </c>
      <c r="K483" s="197" t="str">
        <f>IF(S477="Accessory Only","",IF(S477="Boring But Big",'Start-Options'!$B$5,T492))</f>
        <v>Deadlift</v>
      </c>
      <c r="L483" s="198">
        <f>IF(S477="Accessory Only","",IF(S477="Boring But Big",IF(V482="","",MROUND(T482*V482,'Start-Options'!$B$38)),IF(T487=531,MROUND(U492*0.6,'Start-Options'!$B$38),MROUND(U492*0.5,'Start-Options'!$B$38))))</f>
        <v>112.5</v>
      </c>
      <c r="M483" s="243"/>
      <c r="N483" s="244">
        <v>8.0</v>
      </c>
      <c r="O483" s="185"/>
      <c r="P483" s="185"/>
      <c r="Q483" s="187"/>
      <c r="R483" s="27"/>
      <c r="S483" s="25" t="s">
        <v>32</v>
      </c>
      <c r="T483" s="25">
        <f>'531'!Z175</f>
        <v>95</v>
      </c>
      <c r="U483" s="250">
        <v>0.65</v>
      </c>
      <c r="V483" s="250">
        <v>0.7</v>
      </c>
      <c r="W483" s="251">
        <v>0.75</v>
      </c>
      <c r="X483" s="193">
        <v>0.5</v>
      </c>
      <c r="Y483" s="27"/>
      <c r="Z483" s="27"/>
      <c r="AA483" s="27"/>
    </row>
    <row r="484" ht="12.75" customHeight="1">
      <c r="A484" s="188"/>
      <c r="B484" s="189"/>
      <c r="C484" s="190">
        <f>IF(S477="Accessory Only","",IF(S477="Boring But Big",IF(U482="","",MROUND(T482*U482,'Start-Options'!$B$38)),IF(T487=531,MROUND(U492*0.6,'Start-Options'!$B$38),MROUND(U492*0.7,'Start-Options'!$B$38))))</f>
        <v>105</v>
      </c>
      <c r="D484" s="27"/>
      <c r="E484" s="78">
        <f>IF(S477="Accessory Only","",IF(S477="Boring But Big",10,IF(T487=531,10,8)))</f>
        <v>10</v>
      </c>
      <c r="F484" s="219"/>
      <c r="G484" s="219"/>
      <c r="H484" s="191"/>
      <c r="I484" s="27"/>
      <c r="J484" s="189"/>
      <c r="K484" s="189"/>
      <c r="L484" s="190">
        <f>IF(S477="Accessory Only","",IF(S477="Boring But Big",IF(V482="","",MROUND(T482*V482,'Start-Options'!$B$38)),IF(T487=531,MROUND(U492*0.7,'Start-Options'!$B$38),MROUND(U492*0.6,'Start-Options'!$B$38))))</f>
        <v>112.5</v>
      </c>
      <c r="M484" s="241"/>
      <c r="N484" s="242">
        <v>8.0</v>
      </c>
      <c r="O484" s="219"/>
      <c r="P484" s="219"/>
      <c r="Q484" s="201"/>
      <c r="R484" s="27"/>
      <c r="S484" s="25" t="s">
        <v>194</v>
      </c>
      <c r="T484" s="25">
        <f>'531'!Z176</f>
        <v>130</v>
      </c>
      <c r="U484" s="250">
        <v>0.65</v>
      </c>
      <c r="V484" s="250">
        <v>0.7</v>
      </c>
      <c r="W484" s="251">
        <v>0.75</v>
      </c>
      <c r="X484" s="253">
        <v>0.5</v>
      </c>
      <c r="Y484" s="27"/>
      <c r="Z484" s="27"/>
      <c r="AA484" s="27"/>
    </row>
    <row r="485" ht="12.75" customHeight="1">
      <c r="A485" s="188"/>
      <c r="B485" s="189"/>
      <c r="C485" s="190">
        <f>IF(S477="Accessory Only","",IF(S477="Boring But Big",IF(U482="","",MROUND(T482*U482,'Start-Options'!$B$38)),IF(T487=531,MROUND(U492*0.7,'Start-Options'!$B$38),MROUND(U492*0.8,'Start-Options'!$B$38))))</f>
        <v>105</v>
      </c>
      <c r="D485" s="27"/>
      <c r="E485" s="78">
        <f>IF(S477="Accessory Only","",IF(S477="Boring But Big",10,IF(T487=531,10,6)))</f>
        <v>10</v>
      </c>
      <c r="F485" s="219"/>
      <c r="G485" s="219"/>
      <c r="H485" s="191"/>
      <c r="I485" s="27"/>
      <c r="J485" s="189"/>
      <c r="K485" s="189"/>
      <c r="L485" s="190">
        <f>IF(S477="Accessory Only","",IF(S477="Boring But Big",IF(V482="","",MROUND(T482*V482,'Start-Options'!$B$38)),IF(T487=531,MROUND(U492*0.8,'Start-Options'!$B$38),MROUND(U492*0.7,'Start-Options'!$B$38))))</f>
        <v>112.5</v>
      </c>
      <c r="M485" s="241"/>
      <c r="N485" s="242">
        <v>8.0</v>
      </c>
      <c r="O485" s="219"/>
      <c r="P485" s="219"/>
      <c r="Q485" s="201"/>
      <c r="R485" s="27"/>
      <c r="S485" s="27"/>
      <c r="T485" s="27"/>
      <c r="U485" s="27"/>
      <c r="V485" s="27"/>
      <c r="W485" s="27"/>
      <c r="X485" s="27"/>
      <c r="Y485" s="27"/>
      <c r="Z485" s="27"/>
      <c r="AA485" s="27"/>
    </row>
    <row r="486" ht="12.75" customHeight="1">
      <c r="A486" s="188"/>
      <c r="B486" s="189"/>
      <c r="C486" s="27">
        <f>IF(S477="Boring But Big",IF(U482="","",MROUND(T482*U482,'Start-Options'!$B$38)),"")</f>
        <v>105</v>
      </c>
      <c r="D486" s="27"/>
      <c r="E486" s="78">
        <f>IF(S477="Boring But Big",10,"")</f>
        <v>10</v>
      </c>
      <c r="F486" s="219"/>
      <c r="G486" s="219"/>
      <c r="H486" s="191"/>
      <c r="I486" s="27"/>
      <c r="J486" s="189"/>
      <c r="K486" s="189"/>
      <c r="L486" s="27">
        <f>IF(S477="Boring But Big",IF(V482="","",MROUND(T482*V482,'Start-Options'!$B$38)),"")</f>
        <v>112.5</v>
      </c>
      <c r="M486" s="241"/>
      <c r="N486" s="242">
        <v>8.0</v>
      </c>
      <c r="O486" s="219"/>
      <c r="P486" s="219"/>
      <c r="Q486" s="201"/>
      <c r="R486" s="27"/>
      <c r="S486" s="70" t="s">
        <v>204</v>
      </c>
      <c r="T486" s="71"/>
      <c r="U486" s="27"/>
      <c r="V486" s="27"/>
      <c r="W486" s="27"/>
      <c r="X486" s="27"/>
      <c r="Y486" s="27"/>
      <c r="Z486" s="27"/>
      <c r="AA486" s="27"/>
    </row>
    <row r="487" ht="12.75" customHeight="1">
      <c r="A487" s="188"/>
      <c r="B487" s="195"/>
      <c r="C487" s="27">
        <f>IF(S477="Boring But Big",IF(U482="","",MROUND(T482*U482,'Start-Options'!$B$38)),"")</f>
        <v>105</v>
      </c>
      <c r="D487" s="27"/>
      <c r="E487" s="78">
        <f>IF(S477="Boring But Big",10,"")</f>
        <v>10</v>
      </c>
      <c r="F487" s="154"/>
      <c r="G487" s="154"/>
      <c r="H487" s="155"/>
      <c r="I487" s="27"/>
      <c r="J487" s="189"/>
      <c r="K487" s="195"/>
      <c r="L487" s="27">
        <f>IF(S477="Boring But Big",IF(V482="","",MROUND(T482*V482,'Start-Options'!$B$38)),"")</f>
        <v>112.5</v>
      </c>
      <c r="M487" s="241"/>
      <c r="N487" s="242">
        <v>8.0</v>
      </c>
      <c r="O487" s="154"/>
      <c r="P487" s="154"/>
      <c r="Q487" s="206"/>
      <c r="R487" s="27"/>
      <c r="S487" s="25" t="s">
        <v>205</v>
      </c>
      <c r="T487" s="28">
        <v>531.0</v>
      </c>
      <c r="U487" s="27"/>
      <c r="V487" s="27"/>
      <c r="W487" s="27"/>
      <c r="X487" s="27"/>
      <c r="Y487" s="27"/>
      <c r="Z487" s="27"/>
      <c r="AA487" s="27"/>
    </row>
    <row r="488" ht="12.75" customHeight="1">
      <c r="A488" s="234" t="s">
        <v>48</v>
      </c>
      <c r="B488" s="197" t="str">
        <f>IF(S477="Accessory Only","",IF(S477="Boring But Big",'Start-Options'!$B$6,T493))</f>
        <v>Bench</v>
      </c>
      <c r="C488" s="198">
        <f>IF(S477="Accessory Only","",IF(S477="Boring But Big",IF(U483="","",MROUND(T483*U483,'Start-Options'!$B$38)),IF(T487=531,MROUND(U493*0.5,'Start-Options'!$B$38),MROUND(U493*0.6,'Start-Options'!$B$38))))</f>
        <v>62.5</v>
      </c>
      <c r="D488" s="198"/>
      <c r="E488" s="199">
        <f>IF(S477="Accessory Only","",IF(S477="Boring But Big",10,IF(T487=531,10,8)))</f>
        <v>10</v>
      </c>
      <c r="F488" s="185"/>
      <c r="G488" s="185"/>
      <c r="H488" s="200"/>
      <c r="I488" s="27"/>
      <c r="J488" s="252" t="s">
        <v>48</v>
      </c>
      <c r="K488" s="197" t="str">
        <f>IF(S477="Accessory Only","",IF(S477="Boring But Big",'Start-Options'!$B$6,T493))</f>
        <v>Bench</v>
      </c>
      <c r="L488" s="198">
        <f>IF(S477="Accessory Only","",IF(S477="Boring But Big",IF(V483="","",MROUND(T483*V483,'Start-Options'!$B$38)),IF(T487=531,MROUND(U493*0.6,'Start-Options'!$B$38),MROUND(U493*0.5,'Start-Options'!$B$38))))</f>
        <v>67.5</v>
      </c>
      <c r="M488" s="243"/>
      <c r="N488" s="244">
        <v>8.0</v>
      </c>
      <c r="O488" s="185"/>
      <c r="P488" s="185"/>
      <c r="Q488" s="187"/>
      <c r="R488" s="27"/>
      <c r="S488" s="27"/>
      <c r="T488" s="27"/>
      <c r="U488" s="27"/>
      <c r="V488" s="27"/>
      <c r="W488" s="27"/>
      <c r="X488" s="27"/>
      <c r="Y488" s="27"/>
      <c r="Z488" s="27"/>
      <c r="AA488" s="27"/>
    </row>
    <row r="489" ht="12.75" customHeight="1">
      <c r="A489" s="188"/>
      <c r="B489" s="189"/>
      <c r="C489" s="190">
        <f>IF(S477="Accessory Only","",IF(S477="Boring But Big",IF(U483="","",MROUND(T483*U483,'Start-Options'!$B$38)),IF(T487=531,MROUND(U493*0.6,'Start-Options'!$B$38),MROUND(U493*0.7,'Start-Options'!$B$38))))</f>
        <v>62.5</v>
      </c>
      <c r="D489" s="27"/>
      <c r="E489" s="78">
        <f>IF(S477="Accessory Only","",IF(S477="Boring But Big",10,IF(T487=531,10,8)))</f>
        <v>10</v>
      </c>
      <c r="F489" s="219"/>
      <c r="G489" s="219"/>
      <c r="H489" s="191"/>
      <c r="I489" s="27"/>
      <c r="J489" s="189"/>
      <c r="K489" s="189"/>
      <c r="L489" s="190">
        <f>IF(S477="Accessory Only","",IF(S477="Boring But Big",IF(V483="","",MROUND(T483*V483,'Start-Options'!$B$38)),IF(T487=531,MROUND(U493*0.7,'Start-Options'!$B$38),MROUND(U493*0.6,'Start-Options'!$B$38))))</f>
        <v>67.5</v>
      </c>
      <c r="M489" s="241"/>
      <c r="N489" s="242">
        <v>8.0</v>
      </c>
      <c r="O489" s="219"/>
      <c r="P489" s="219"/>
      <c r="Q489" s="201"/>
      <c r="R489" s="27"/>
      <c r="S489" s="70" t="s">
        <v>204</v>
      </c>
      <c r="T489" s="175"/>
      <c r="U489" s="71"/>
      <c r="V489" s="27"/>
      <c r="W489" s="27"/>
      <c r="X489" s="27"/>
      <c r="Y489" s="27"/>
      <c r="Z489" s="27"/>
      <c r="AA489" s="27"/>
    </row>
    <row r="490" ht="12.75" customHeight="1">
      <c r="A490" s="188"/>
      <c r="B490" s="189"/>
      <c r="C490" s="190">
        <f>IF(S477="Accessory Only","",IF(S477="Boring But Big",IF(U483="","",MROUND(T483*U483,'Start-Options'!$B$38)),IF(T487=531,MROUND(U493*0.7,'Start-Options'!$B$38),MROUND(U493*0.8,'Start-Options'!$B$38))))</f>
        <v>62.5</v>
      </c>
      <c r="D490" s="27"/>
      <c r="E490" s="78">
        <f>IF(S477="Accessory Only","",IF(S477="Boring But Big",10,IF(T487=531,10,6)))</f>
        <v>10</v>
      </c>
      <c r="F490" s="219"/>
      <c r="G490" s="219"/>
      <c r="H490" s="191"/>
      <c r="I490" s="27"/>
      <c r="J490" s="189"/>
      <c r="K490" s="189"/>
      <c r="L490" s="190">
        <f>IF(S477="Accessory Only","",IF(S477="Boring But Big",IF(V483="","",MROUND(T483*V483,'Start-Options'!$B$38)),IF(T487=531,MROUND(U493*0.8,'Start-Options'!$B$38),MROUND(U493*0.7,'Start-Options'!$B$38))))</f>
        <v>67.5</v>
      </c>
      <c r="M490" s="241"/>
      <c r="N490" s="242">
        <v>8.0</v>
      </c>
      <c r="O490" s="219"/>
      <c r="P490" s="219"/>
      <c r="Q490" s="201"/>
      <c r="R490" s="27"/>
      <c r="S490" s="25"/>
      <c r="T490" s="223" t="s">
        <v>182</v>
      </c>
      <c r="U490" s="223" t="s">
        <v>28</v>
      </c>
      <c r="V490" s="27"/>
      <c r="W490" s="27"/>
      <c r="X490" s="27"/>
      <c r="Y490" s="27"/>
      <c r="Z490" s="27"/>
      <c r="AA490" s="27"/>
    </row>
    <row r="491" ht="12.75" customHeight="1">
      <c r="A491" s="188"/>
      <c r="B491" s="189"/>
      <c r="C491" s="27">
        <f>IF(S477="Boring But Big",IF(U483="","",MROUND(T483*U483,'Start-Options'!$B$38)),"")</f>
        <v>62.5</v>
      </c>
      <c r="D491" s="27"/>
      <c r="E491" s="27">
        <f>IF(S477="Boring But Big",10,"")</f>
        <v>10</v>
      </c>
      <c r="F491" s="219"/>
      <c r="G491" s="219"/>
      <c r="H491" s="207"/>
      <c r="I491" s="77"/>
      <c r="J491" s="189"/>
      <c r="K491" s="189"/>
      <c r="L491" s="27">
        <f>IF(S477="Boring But Big",IF(V483="","",MROUND(T483*V483,'Start-Options'!$B$38)),"")</f>
        <v>67.5</v>
      </c>
      <c r="M491" s="241"/>
      <c r="N491" s="242">
        <v>8.0</v>
      </c>
      <c r="O491" s="219"/>
      <c r="P491" s="219"/>
      <c r="Q491" s="201"/>
      <c r="R491" s="27"/>
      <c r="S491" s="77" t="s">
        <v>36</v>
      </c>
      <c r="T491" s="147" t="s">
        <v>208</v>
      </c>
      <c r="U491" s="147">
        <v>100.0</v>
      </c>
      <c r="V491" s="27"/>
      <c r="W491" s="27"/>
      <c r="X491" s="27"/>
      <c r="Y491" s="27"/>
      <c r="Z491" s="27"/>
      <c r="AA491" s="27"/>
    </row>
    <row r="492" ht="12.75" customHeight="1">
      <c r="A492" s="194"/>
      <c r="B492" s="195"/>
      <c r="C492" s="27">
        <f>IF(S477="Boring But Big",IF(U483="","",MROUND(T483*U483,'Start-Options'!$B$38)),"")</f>
        <v>62.5</v>
      </c>
      <c r="D492" s="27"/>
      <c r="E492" s="78">
        <f>IF(S477="Boring But Big",10,"")</f>
        <v>10</v>
      </c>
      <c r="F492" s="154"/>
      <c r="G492" s="154"/>
      <c r="H492" s="155"/>
      <c r="I492" s="27"/>
      <c r="J492" s="195"/>
      <c r="K492" s="195"/>
      <c r="L492" s="27">
        <f>IF(S477="Boring But Big",IF(V483="","",MROUND(T483*V483,'Start-Options'!$B$38)),"")</f>
        <v>67.5</v>
      </c>
      <c r="M492" s="241"/>
      <c r="N492" s="242">
        <v>8.0</v>
      </c>
      <c r="O492" s="154"/>
      <c r="P492" s="154"/>
      <c r="Q492" s="206"/>
      <c r="R492" s="27"/>
      <c r="S492" s="25" t="s">
        <v>44</v>
      </c>
      <c r="T492" s="162" t="s">
        <v>210</v>
      </c>
      <c r="U492" s="162">
        <v>100.0</v>
      </c>
      <c r="V492" s="27"/>
      <c r="W492" s="27"/>
      <c r="X492" s="27"/>
      <c r="Y492" s="27"/>
      <c r="Z492" s="27"/>
      <c r="AA492" s="27"/>
    </row>
    <row r="493" ht="12.75" customHeight="1">
      <c r="A493" s="234" t="s">
        <v>53</v>
      </c>
      <c r="B493" s="197" t="str">
        <f>IF(S477="Accessory Only","",IF(S477="Boring But Big",'Start-Options'!$B$7,T494))</f>
        <v>Squat</v>
      </c>
      <c r="C493" s="198">
        <f>IF(S477="Accessory Only","",IF(S477="Boring But Big",IF(U484="","",MROUND(T484*U484,'Start-Options'!$B$38)),IF(T487=531,MROUND(U494*0.5,'Start-Options'!$B$38),MROUND(U494*0.6,'Start-Options'!$B$38))))</f>
        <v>85</v>
      </c>
      <c r="D493" s="198"/>
      <c r="E493" s="199">
        <f>IF(S477="Accessory Only","",IF(S477="Boring But Big",10,IF(T487=531,10,8)))</f>
        <v>10</v>
      </c>
      <c r="F493" s="185"/>
      <c r="G493" s="185"/>
      <c r="H493" s="200"/>
      <c r="I493" s="27"/>
      <c r="J493" s="252" t="s">
        <v>53</v>
      </c>
      <c r="K493" s="197" t="str">
        <f>IF(S477="Accessory Only","",IF(S477="Boring But Big",'Start-Options'!$B$7,T494))</f>
        <v>Squat</v>
      </c>
      <c r="L493" s="198">
        <f>IF(S477="Accessory Only","",IF(S477="Boring But Big",IF(V484="","",MROUND(T484*V484,'Start-Options'!$B$38)),IF(T487=531,MROUND(U494*0.6,'Start-Options'!$B$38),MROUND(U494*0.5,'Start-Options'!$B$38))))</f>
        <v>90</v>
      </c>
      <c r="M493" s="243"/>
      <c r="N493" s="244">
        <v>8.0</v>
      </c>
      <c r="O493" s="185"/>
      <c r="P493" s="185"/>
      <c r="Q493" s="187"/>
      <c r="R493" s="27"/>
      <c r="S493" s="25" t="s">
        <v>48</v>
      </c>
      <c r="T493" s="162" t="s">
        <v>212</v>
      </c>
      <c r="U493" s="162">
        <v>100.0</v>
      </c>
      <c r="V493" s="27"/>
      <c r="W493" s="27"/>
      <c r="X493" s="27"/>
      <c r="Y493" s="27"/>
      <c r="Z493" s="27"/>
      <c r="AA493" s="27"/>
    </row>
    <row r="494" ht="12.75" customHeight="1">
      <c r="A494" s="188"/>
      <c r="B494" s="189"/>
      <c r="C494" s="190">
        <f>IF(S477="Accessory Only","",IF(S477="Boring But Big",IF(U484="","",MROUND(T484*U484,'Start-Options'!$B$38)),IF(T487=531,MROUND(U494*0.6,'Start-Options'!$B$38),MROUND(U494*0.7,'Start-Options'!$B$38))))</f>
        <v>85</v>
      </c>
      <c r="D494" s="27"/>
      <c r="E494" s="78">
        <f>IF(S477="Accessory Only","",IF(S477="Boring But Big",10,IF(T487=531,10,8)))</f>
        <v>10</v>
      </c>
      <c r="F494" s="219"/>
      <c r="G494" s="219"/>
      <c r="H494" s="191"/>
      <c r="I494" s="27"/>
      <c r="J494" s="189"/>
      <c r="K494" s="189"/>
      <c r="L494" s="190">
        <f>IF(S477="Accessory Only","",IF(S477="Boring But Big",IF(V484="","",MROUND(T484*V484,'Start-Options'!$B$38)),IF(T487=531,MROUND(U494*0.7,'Start-Options'!$B$38),MROUND(U494*0.6,'Start-Options'!$B$38))))</f>
        <v>90</v>
      </c>
      <c r="M494" s="241"/>
      <c r="N494" s="242">
        <v>8.0</v>
      </c>
      <c r="O494" s="219"/>
      <c r="P494" s="219"/>
      <c r="Q494" s="201"/>
      <c r="R494" s="27"/>
      <c r="S494" s="82" t="s">
        <v>53</v>
      </c>
      <c r="T494" s="155" t="s">
        <v>224</v>
      </c>
      <c r="U494" s="155">
        <v>100.0</v>
      </c>
      <c r="V494" s="27"/>
      <c r="W494" s="27"/>
      <c r="X494" s="27"/>
      <c r="Y494" s="231"/>
      <c r="Z494" s="231"/>
      <c r="AA494" s="27"/>
    </row>
    <row r="495" ht="12.75" customHeight="1">
      <c r="A495" s="188"/>
      <c r="B495" s="189"/>
      <c r="C495" s="190">
        <f>IF(S477="Accessory Only","",IF(S477="Boring But Big",IF(U484="","",MROUND(T484*U484,'Start-Options'!$B$38)),IF(T487=531,MROUND(U494*0.7,'Start-Options'!$B$38),MROUND(U494*0.8,'Start-Options'!$B$38))))</f>
        <v>85</v>
      </c>
      <c r="D495" s="27"/>
      <c r="E495" s="78">
        <f>IF(S477="Accessory Only","",IF(S477="Boring But Big",10,IF(T487=531,10,6)))</f>
        <v>10</v>
      </c>
      <c r="F495" s="219"/>
      <c r="G495" s="219"/>
      <c r="H495" s="191"/>
      <c r="I495" s="27"/>
      <c r="J495" s="189"/>
      <c r="K495" s="189"/>
      <c r="L495" s="190">
        <f>IF(S477="Accessory Only","",IF(S477="Boring But Big",IF(V484="","",MROUND(T484*V484,'Start-Options'!$B$38)),IF(T487=531,MROUND(U494*0.8,'Start-Options'!$B$38),MROUND(U494*0.7,'Start-Options'!$B$38))))</f>
        <v>90</v>
      </c>
      <c r="M495" s="241"/>
      <c r="N495" s="242">
        <v>8.0</v>
      </c>
      <c r="O495" s="219"/>
      <c r="P495" s="219"/>
      <c r="Q495" s="201"/>
      <c r="R495" s="27"/>
      <c r="S495" s="27"/>
      <c r="T495" s="27"/>
      <c r="U495" s="27"/>
      <c r="V495" s="27"/>
      <c r="W495" s="27"/>
      <c r="X495" s="27"/>
      <c r="Y495" s="27"/>
      <c r="Z495" s="27"/>
      <c r="AA495" s="27"/>
    </row>
    <row r="496" ht="12.75" customHeight="1">
      <c r="A496" s="188"/>
      <c r="B496" s="189"/>
      <c r="C496" s="27">
        <f>IF(S477="Boring But Big",IF(U484="","",MROUND(T484*U484,'Start-Options'!$B$38)),"")</f>
        <v>85</v>
      </c>
      <c r="D496" s="27"/>
      <c r="E496" s="78">
        <f>IF(S477="Boring But Big",10,"")</f>
        <v>10</v>
      </c>
      <c r="F496" s="219"/>
      <c r="G496" s="219"/>
      <c r="H496" s="191"/>
      <c r="I496" s="27"/>
      <c r="J496" s="189"/>
      <c r="K496" s="189"/>
      <c r="L496" s="27">
        <f>IF(S477="Boring But Big",IF(V484="","",MROUND(T484*V484,'Start-Options'!$B$38)),"")</f>
        <v>90</v>
      </c>
      <c r="M496" s="241"/>
      <c r="N496" s="242">
        <v>8.0</v>
      </c>
      <c r="O496" s="219"/>
      <c r="P496" s="219"/>
      <c r="Q496" s="201"/>
      <c r="R496" s="27"/>
      <c r="S496" s="27"/>
      <c r="T496" s="27"/>
      <c r="U496" s="27"/>
      <c r="V496" s="27"/>
      <c r="W496" s="27"/>
      <c r="X496" s="27"/>
      <c r="Y496" s="27"/>
      <c r="Z496" s="27"/>
      <c r="AA496" s="27"/>
    </row>
    <row r="497" ht="12.75" customHeight="1">
      <c r="A497" s="194"/>
      <c r="B497" s="195"/>
      <c r="C497" s="208">
        <f>IF(S477="Boring But Big",IF(U484="","",MROUND(T484*U484,'Start-Options'!$B$38)),"")</f>
        <v>85</v>
      </c>
      <c r="D497" s="49"/>
      <c r="E497" s="83">
        <f>IF(S477="Boring But Big",10,"")</f>
        <v>10</v>
      </c>
      <c r="F497" s="154"/>
      <c r="G497" s="154"/>
      <c r="H497" s="155"/>
      <c r="I497" s="27"/>
      <c r="J497" s="195"/>
      <c r="K497" s="195"/>
      <c r="L497" s="208">
        <f>IF(S477="Boring But Big",IF(V484="","",MROUND(T484*V484,'Start-Options'!$B$38)),"")</f>
        <v>90</v>
      </c>
      <c r="M497" s="245"/>
      <c r="N497" s="246">
        <v>8.0</v>
      </c>
      <c r="O497" s="154"/>
      <c r="P497" s="154"/>
      <c r="Q497" s="206"/>
      <c r="R497" s="27"/>
      <c r="S497" s="27"/>
      <c r="T497" s="27"/>
      <c r="U497" s="27"/>
      <c r="V497" s="27"/>
      <c r="W497" s="27"/>
      <c r="X497" s="27"/>
      <c r="Y497" s="27"/>
      <c r="Z497" s="27"/>
      <c r="AA497" s="27"/>
    </row>
    <row r="498" ht="12.75" customHeight="1">
      <c r="A498" s="168"/>
      <c r="B498" s="27"/>
      <c r="C498" s="27"/>
      <c r="D498" s="27"/>
      <c r="E498" s="27"/>
      <c r="F498" s="27"/>
      <c r="G498" s="27"/>
      <c r="H498" s="27"/>
      <c r="I498" s="27"/>
      <c r="J498" s="27"/>
      <c r="K498" s="27"/>
      <c r="L498" s="27"/>
      <c r="M498" s="27"/>
      <c r="N498" s="27"/>
      <c r="O498" s="27"/>
      <c r="P498" s="27"/>
      <c r="Q498" s="209"/>
      <c r="R498" s="27"/>
      <c r="S498" s="27"/>
      <c r="T498" s="27"/>
      <c r="U498" s="27"/>
      <c r="V498" s="27"/>
      <c r="W498" s="27"/>
      <c r="X498" s="27"/>
      <c r="Y498" s="27"/>
      <c r="Z498" s="27"/>
      <c r="AA498" s="27"/>
    </row>
    <row r="499" ht="12.75" customHeight="1">
      <c r="A499" s="210" t="s">
        <v>283</v>
      </c>
      <c r="B499" s="211" t="s">
        <v>177</v>
      </c>
      <c r="C499" s="41"/>
      <c r="D499" s="41"/>
      <c r="E499" s="42"/>
      <c r="F499" s="211" t="s">
        <v>178</v>
      </c>
      <c r="G499" s="41"/>
      <c r="H499" s="42"/>
      <c r="I499" s="27"/>
      <c r="J499" s="212" t="s">
        <v>284</v>
      </c>
      <c r="K499" s="211" t="s">
        <v>177</v>
      </c>
      <c r="L499" s="41"/>
      <c r="M499" s="41"/>
      <c r="N499" s="42"/>
      <c r="O499" s="211" t="s">
        <v>178</v>
      </c>
      <c r="P499" s="41"/>
      <c r="Q499" s="213"/>
      <c r="R499" s="27"/>
      <c r="S499" s="70" t="s">
        <v>93</v>
      </c>
      <c r="T499" s="71"/>
      <c r="U499" s="27"/>
      <c r="V499" s="27"/>
      <c r="W499" s="27"/>
      <c r="X499" s="27"/>
      <c r="Y499" s="27"/>
      <c r="Z499" s="27"/>
      <c r="AA499" s="27"/>
    </row>
    <row r="500" ht="12.75" customHeight="1">
      <c r="A500" s="194"/>
      <c r="B500" s="214" t="s">
        <v>181</v>
      </c>
      <c r="C500" s="215" t="s">
        <v>26</v>
      </c>
      <c r="D500" s="215"/>
      <c r="E500" s="215" t="s">
        <v>27</v>
      </c>
      <c r="F500" s="215" t="s">
        <v>182</v>
      </c>
      <c r="G500" s="216" t="s">
        <v>183</v>
      </c>
      <c r="H500" s="215" t="s">
        <v>26</v>
      </c>
      <c r="I500" s="27"/>
      <c r="J500" s="217"/>
      <c r="K500" s="214" t="s">
        <v>181</v>
      </c>
      <c r="L500" s="215" t="s">
        <v>26</v>
      </c>
      <c r="M500" s="215"/>
      <c r="N500" s="215" t="s">
        <v>27</v>
      </c>
      <c r="O500" s="215" t="s">
        <v>182</v>
      </c>
      <c r="P500" s="216" t="s">
        <v>183</v>
      </c>
      <c r="Q500" s="218" t="s">
        <v>26</v>
      </c>
      <c r="R500" s="27"/>
      <c r="S500" s="25" t="s">
        <v>94</v>
      </c>
      <c r="T500" s="162"/>
      <c r="U500" s="27"/>
      <c r="V500" s="27"/>
      <c r="W500" s="27"/>
      <c r="X500" s="27"/>
      <c r="Y500" s="27"/>
      <c r="Z500" s="27"/>
      <c r="AA500" s="27"/>
    </row>
    <row r="501" ht="12.75" customHeight="1">
      <c r="A501" s="234" t="s">
        <v>36</v>
      </c>
      <c r="B501" s="197" t="str">
        <f>IF(S477="Accessory Only","",IF(S477="Boring But Big",'Start-Options'!$B$4,T491))</f>
        <v>Military</v>
      </c>
      <c r="C501" s="198">
        <f>IF(S477="Accessory Only","",IF(S477="Boring But Big",IF(W481="","",MROUND(T481*W481,'Start-Options'!$B$38)),IF(T487=531,MROUND(U491*0.65,'Start-Options'!$B$38),MROUND(U491*0.65,'Start-Options'!$B$38))))</f>
        <v>57.5</v>
      </c>
      <c r="D501" s="243"/>
      <c r="E501" s="244">
        <v>5.0</v>
      </c>
      <c r="F501" s="185"/>
      <c r="G501" s="185"/>
      <c r="H501" s="200"/>
      <c r="I501" s="27"/>
      <c r="J501" s="252" t="s">
        <v>36</v>
      </c>
      <c r="K501" s="197" t="str">
        <f>IF(S477="Accessory Only","",IF(S477="Boring But Big",'Start-Options'!$B$4,T491))</f>
        <v>Military</v>
      </c>
      <c r="L501" s="198">
        <f>IF(S477="Accessory Only","",IF(S477="Boring But Big",IF(X481="","",MROUND(T481*X481,'Start-Options'!$B$38)),MROUND(U491*0.4,'Start-Options'!$B$38)))</f>
        <v>37.5</v>
      </c>
      <c r="M501" s="198"/>
      <c r="N501" s="199">
        <f>IF(S477="Accessory Only","",IF(S477="Boring But Big",10,5))</f>
        <v>10</v>
      </c>
      <c r="O501" s="185"/>
      <c r="P501" s="185"/>
      <c r="Q501" s="187"/>
      <c r="R501" s="27"/>
      <c r="S501" s="77" t="s">
        <v>95</v>
      </c>
      <c r="T501" s="78" t="str">
        <f>IF(T500="","",MROUND(T500*0.4,'Start-Options'!$B$38))</f>
        <v/>
      </c>
      <c r="U501" s="27"/>
      <c r="V501" s="27"/>
      <c r="W501" s="27"/>
      <c r="X501" s="27"/>
      <c r="Y501" s="27"/>
      <c r="Z501" s="27"/>
      <c r="AA501" s="27"/>
    </row>
    <row r="502" ht="12.75" customHeight="1">
      <c r="A502" s="188"/>
      <c r="B502" s="189"/>
      <c r="C502" s="190">
        <f>IF(S477="Accessory Only","",IF(S477="Boring But Big",IF(W481="","",MROUND(T481*W481,'Start-Options'!$B$38)),IF(T487=531,MROUND(U491*0.75,'Start-Options'!$B$38),MROUND(U491*0.75,'Start-Options'!$B$38))))</f>
        <v>57.5</v>
      </c>
      <c r="D502" s="241"/>
      <c r="E502" s="242">
        <v>5.0</v>
      </c>
      <c r="F502" s="219"/>
      <c r="G502" s="219"/>
      <c r="H502" s="191"/>
      <c r="I502" s="27"/>
      <c r="J502" s="189"/>
      <c r="K502" s="189"/>
      <c r="L502" s="190">
        <f>IF(S477="Accessory Only","",IF(S477="Boring But Big",IF(X481="","",MROUND(T481*X481,'Start-Options'!$B$38)),MROUND(U491*0.5,'Start-Options'!$B$38)))</f>
        <v>37.5</v>
      </c>
      <c r="M502" s="27"/>
      <c r="N502" s="78">
        <f>IF(S477="Accessory Only","",IF(S477="Boring But Big",10,5))</f>
        <v>10</v>
      </c>
      <c r="O502" s="220"/>
      <c r="P502" s="220"/>
      <c r="Q502" s="221"/>
      <c r="R502" s="27"/>
      <c r="S502" s="77" t="s">
        <v>96</v>
      </c>
      <c r="T502" s="78" t="str">
        <f>IF(T500="","",MROUND(T500*0.5,'Start-Options'!$B$38))</f>
        <v/>
      </c>
      <c r="U502" s="27"/>
      <c r="V502" s="27"/>
      <c r="W502" s="27"/>
      <c r="X502" s="27"/>
      <c r="Y502" s="27"/>
      <c r="Z502" s="27"/>
      <c r="AA502" s="27"/>
    </row>
    <row r="503" ht="12.75" customHeight="1">
      <c r="A503" s="188"/>
      <c r="B503" s="189"/>
      <c r="C503" s="190">
        <f>IF(S477="Accessory Only","",IF(S477="Boring But Big",IF(W481="","",MROUND(T481*W481,'Start-Options'!$B$38)),IF(T487=531,MROUND(U491*0.85,'Start-Options'!$B$38),MROUND(U491*0.85,'Start-Options'!$B$38))))</f>
        <v>57.5</v>
      </c>
      <c r="D503" s="241"/>
      <c r="E503" s="242">
        <v>5.0</v>
      </c>
      <c r="F503" s="219"/>
      <c r="G503" s="219"/>
      <c r="H503" s="191"/>
      <c r="I503" s="27"/>
      <c r="J503" s="189"/>
      <c r="K503" s="189"/>
      <c r="L503" s="190">
        <f>IF(S477="Accessory Only","",IF(S477="Boring But Big",IF(X481="","",MROUND(T481*X481,'Start-Options'!$B$38)),MROUND(U491*0.6,'Start-Options'!$B$38)))</f>
        <v>37.5</v>
      </c>
      <c r="M503" s="27"/>
      <c r="N503" s="78">
        <f>IF(S477="Accessory Only","",IF(S477="Boring But Big",10,5))</f>
        <v>10</v>
      </c>
      <c r="O503" s="220"/>
      <c r="P503" s="220"/>
      <c r="Q503" s="222"/>
      <c r="R503" s="27"/>
      <c r="S503" s="82" t="s">
        <v>97</v>
      </c>
      <c r="T503" s="83" t="str">
        <f>IF(T500="","",MROUND(T500*0.6,'Start-Options'!$B$38))</f>
        <v/>
      </c>
      <c r="U503" s="27"/>
      <c r="V503" s="27"/>
      <c r="W503" s="27"/>
      <c r="X503" s="27"/>
      <c r="Y503" s="27"/>
      <c r="Z503" s="27"/>
      <c r="AA503" s="27"/>
    </row>
    <row r="504" ht="12.75" customHeight="1">
      <c r="A504" s="188"/>
      <c r="B504" s="189"/>
      <c r="C504" s="27">
        <f>IF(S477="Boring But Big",IF(W481="","",MROUND(T481*W481,'Start-Options'!$B$38)),"")</f>
        <v>57.5</v>
      </c>
      <c r="D504" s="241"/>
      <c r="E504" s="242">
        <v>5.0</v>
      </c>
      <c r="F504" s="219"/>
      <c r="G504" s="219"/>
      <c r="H504" s="191"/>
      <c r="I504" s="27"/>
      <c r="J504" s="189"/>
      <c r="K504" s="189"/>
      <c r="L504" s="27">
        <f>IF(S477="Boring But Big",IF(X481="","",MROUND(T481*X481,'Start-Options'!$B$38)),"")</f>
        <v>37.5</v>
      </c>
      <c r="M504" s="27"/>
      <c r="N504" s="78">
        <f>IF(S477="Boring But Big",10,"")</f>
        <v>10</v>
      </c>
      <c r="O504" s="219"/>
      <c r="P504" s="219"/>
      <c r="Q504" s="201"/>
      <c r="R504" s="27"/>
      <c r="S504" s="27"/>
      <c r="T504" s="27"/>
      <c r="U504" s="27"/>
      <c r="V504" s="27"/>
      <c r="W504" s="27"/>
      <c r="X504" s="27"/>
      <c r="Y504" s="27"/>
      <c r="Z504" s="27"/>
      <c r="AA504" s="27"/>
    </row>
    <row r="505" ht="12.75" customHeight="1">
      <c r="A505" s="194"/>
      <c r="B505" s="195"/>
      <c r="C505" s="27">
        <f>IF(S477="Boring But Big",IF(W481="","",MROUND(T481*W481,'Start-Options'!$B$38)),"")</f>
        <v>57.5</v>
      </c>
      <c r="D505" s="241"/>
      <c r="E505" s="242">
        <v>5.0</v>
      </c>
      <c r="F505" s="154"/>
      <c r="G505" s="154"/>
      <c r="H505" s="155"/>
      <c r="I505" s="27"/>
      <c r="J505" s="195"/>
      <c r="K505" s="195"/>
      <c r="L505" s="27">
        <f>IF(S477="Boring But Big",IF(X481="","",MROUND(T481*X481,'Start-Options'!$B$38)),"")</f>
        <v>37.5</v>
      </c>
      <c r="M505" s="27"/>
      <c r="N505" s="78">
        <f>IF(S477="Boring But Big",10,"")</f>
        <v>10</v>
      </c>
      <c r="O505" s="154"/>
      <c r="P505" s="154"/>
      <c r="Q505" s="206"/>
      <c r="R505" s="27"/>
      <c r="S505" s="27"/>
      <c r="T505" s="27"/>
      <c r="U505" s="27"/>
      <c r="V505" s="27"/>
      <c r="W505" s="27"/>
      <c r="X505" s="27"/>
      <c r="Y505" s="27"/>
      <c r="Z505" s="27"/>
      <c r="AA505" s="27"/>
    </row>
    <row r="506" ht="12.75" customHeight="1">
      <c r="A506" s="234" t="s">
        <v>44</v>
      </c>
      <c r="B506" s="197" t="str">
        <f>IF(S477="Accessory Only","",IF(S477="Boring But Big",'Start-Options'!$B$5,T492))</f>
        <v>Deadlift</v>
      </c>
      <c r="C506" s="198">
        <f>IF(S477="Accessory Only","",IF(S477="Boring But Big",IF(W482="","",MROUND(T482*W482,'Start-Options'!$B$38)),IF(T487=531,MROUND(U492*0.65,'Start-Options'!$B$38),MROUND(U492*0.65,'Start-Options'!$B$38))))</f>
        <v>120</v>
      </c>
      <c r="D506" s="243"/>
      <c r="E506" s="244">
        <v>5.0</v>
      </c>
      <c r="F506" s="185"/>
      <c r="G506" s="185"/>
      <c r="H506" s="200"/>
      <c r="I506" s="27"/>
      <c r="J506" s="252" t="s">
        <v>44</v>
      </c>
      <c r="K506" s="197" t="str">
        <f>IF(S477="Accessory Only","",IF(S477="Boring But Big",'Start-Options'!$B$5,T492))</f>
        <v>Deadlift</v>
      </c>
      <c r="L506" s="198">
        <f>IF(S477="Accessory Only","",IF(S477="Boring But Big",IF(X482="","",MROUND(T482*X482,'Start-Options'!$B$38)),MROUND(U492*0.4,'Start-Options'!$B$38)))</f>
        <v>80</v>
      </c>
      <c r="M506" s="198"/>
      <c r="N506" s="199">
        <f>IF(S477="Accessory Only","",IF(S477="Boring But Big",10,5))</f>
        <v>10</v>
      </c>
      <c r="O506" s="185"/>
      <c r="P506" s="185"/>
      <c r="Q506" s="187"/>
      <c r="R506" s="27"/>
      <c r="S506" s="27"/>
      <c r="T506" s="27"/>
      <c r="U506" s="27"/>
      <c r="V506" s="27"/>
      <c r="W506" s="27"/>
      <c r="X506" s="27"/>
      <c r="Y506" s="27"/>
      <c r="Z506" s="27"/>
      <c r="AA506" s="27"/>
    </row>
    <row r="507" ht="12.75" customHeight="1">
      <c r="A507" s="188"/>
      <c r="B507" s="189"/>
      <c r="C507" s="190">
        <f>IF(S477="Accessory Only","",IF(S477="Boring But Big",IF(W482="","",MROUND(T482*W482,'Start-Options'!$B$38)),IF(T487=531,MROUND(U492*0.75,'Start-Options'!$B$38),MROUND(U492*0.75,'Start-Options'!$B$38))))</f>
        <v>120</v>
      </c>
      <c r="D507" s="241"/>
      <c r="E507" s="242">
        <v>5.0</v>
      </c>
      <c r="F507" s="219"/>
      <c r="G507" s="219"/>
      <c r="H507" s="191"/>
      <c r="I507" s="27"/>
      <c r="J507" s="189"/>
      <c r="K507" s="189"/>
      <c r="L507" s="190">
        <f>IF(S477="Accessory Only","",IF(S477="Boring But Big",IF(X482="","",MROUND(T482*X482,'Start-Options'!$B$38)),MROUND(U492*0.5,'Start-Options'!$B$38)))</f>
        <v>80</v>
      </c>
      <c r="M507" s="27"/>
      <c r="N507" s="78">
        <f>IF(S477="Accessory Only","",IF(S477="Boring But Big",10,5))</f>
        <v>10</v>
      </c>
      <c r="O507" s="220"/>
      <c r="P507" s="220"/>
      <c r="Q507" s="222"/>
      <c r="R507" s="27"/>
      <c r="S507" s="27"/>
      <c r="T507" s="27"/>
      <c r="U507" s="27"/>
      <c r="V507" s="27"/>
      <c r="W507" s="27"/>
      <c r="X507" s="27"/>
      <c r="Y507" s="27"/>
      <c r="Z507" s="27"/>
      <c r="AA507" s="27"/>
    </row>
    <row r="508" ht="12.75" customHeight="1">
      <c r="A508" s="188"/>
      <c r="B508" s="189"/>
      <c r="C508" s="190">
        <f>IF(S477="Accessory Only","",IF(S477="Boring But Big",IF(W482="","",MROUND(T482*W482,'Start-Options'!$B$38)),IF(T487=531,MROUND(U492*0.85,'Start-Options'!$B$38),MROUND(U492*0.85,'Start-Options'!$B$38))))</f>
        <v>120</v>
      </c>
      <c r="D508" s="241"/>
      <c r="E508" s="242">
        <v>5.0</v>
      </c>
      <c r="F508" s="219"/>
      <c r="G508" s="219"/>
      <c r="H508" s="191"/>
      <c r="I508" s="27"/>
      <c r="J508" s="189"/>
      <c r="K508" s="189"/>
      <c r="L508" s="190">
        <f>IF(S477="Accessory Only","",IF(S477="Boring But Big",IF(X482="","",MROUND(T482*X482,'Start-Options'!$B$38)),MROUND(U492*0.6,'Start-Options'!$B$38)))</f>
        <v>80</v>
      </c>
      <c r="M508" s="27"/>
      <c r="N508" s="78">
        <f>IF(S477="Accessory Only","",IF(S477="Boring But Big",10,5))</f>
        <v>10</v>
      </c>
      <c r="O508" s="220"/>
      <c r="P508" s="220"/>
      <c r="Q508" s="222"/>
      <c r="R508" s="27"/>
      <c r="S508" s="27"/>
      <c r="T508" s="27"/>
      <c r="U508" s="27"/>
      <c r="V508" s="27"/>
      <c r="W508" s="27"/>
      <c r="X508" s="27"/>
      <c r="Y508" s="27"/>
      <c r="Z508" s="27"/>
      <c r="AA508" s="27"/>
    </row>
    <row r="509" ht="12.75" customHeight="1">
      <c r="A509" s="188"/>
      <c r="B509" s="189"/>
      <c r="C509" s="27">
        <f>IF(S477="Boring But Big",IF(W482="","",MROUND(T482*W482,'Start-Options'!$B$38)),"")</f>
        <v>120</v>
      </c>
      <c r="D509" s="241"/>
      <c r="E509" s="242">
        <v>5.0</v>
      </c>
      <c r="F509" s="219"/>
      <c r="G509" s="219"/>
      <c r="H509" s="191"/>
      <c r="I509" s="27"/>
      <c r="J509" s="189"/>
      <c r="K509" s="189"/>
      <c r="L509" s="27">
        <f>IF(S477="Boring But Big",IF(X482="","",MROUND(T482*X482,'Start-Options'!$B$38)),"")</f>
        <v>80</v>
      </c>
      <c r="M509" s="27"/>
      <c r="N509" s="78">
        <f>IF(S477="Boring But Big",10,"")</f>
        <v>10</v>
      </c>
      <c r="O509" s="219"/>
      <c r="P509" s="219"/>
      <c r="Q509" s="201"/>
      <c r="R509" s="27"/>
      <c r="S509" s="27"/>
      <c r="T509" s="27"/>
      <c r="U509" s="27"/>
      <c r="V509" s="27"/>
      <c r="W509" s="27"/>
      <c r="X509" s="27"/>
      <c r="Y509" s="27"/>
      <c r="Z509" s="27"/>
      <c r="AA509" s="27"/>
    </row>
    <row r="510" ht="12.75" customHeight="1">
      <c r="A510" s="188"/>
      <c r="B510" s="195"/>
      <c r="C510" s="27">
        <f>IF(S477="Boring But Big",IF(W482="","",MROUND(T482*W482,'Start-Options'!$B$38)),"")</f>
        <v>120</v>
      </c>
      <c r="D510" s="241"/>
      <c r="E510" s="242">
        <v>5.0</v>
      </c>
      <c r="F510" s="154"/>
      <c r="G510" s="154"/>
      <c r="H510" s="155"/>
      <c r="I510" s="27"/>
      <c r="J510" s="189"/>
      <c r="K510" s="195"/>
      <c r="L510" s="27">
        <f>IF(S477="Boring But Big",IF(X482="","",MROUND(T482*X482,'Start-Options'!$B$38)),"")</f>
        <v>80</v>
      </c>
      <c r="M510" s="27"/>
      <c r="N510" s="78">
        <f>IF(S477="Boring But Big",10,"")</f>
        <v>10</v>
      </c>
      <c r="O510" s="154"/>
      <c r="P510" s="154"/>
      <c r="Q510" s="206"/>
      <c r="R510" s="27"/>
      <c r="S510" s="27"/>
      <c r="T510" s="27"/>
      <c r="U510" s="27"/>
      <c r="V510" s="27"/>
      <c r="W510" s="27"/>
      <c r="X510" s="27"/>
      <c r="Y510" s="27"/>
      <c r="Z510" s="27"/>
      <c r="AA510" s="27"/>
    </row>
    <row r="511" ht="12.75" customHeight="1">
      <c r="A511" s="234" t="s">
        <v>48</v>
      </c>
      <c r="B511" s="197" t="str">
        <f>IF(S477="Accessory Only","",IF(S477="Boring But Big",'Start-Options'!$B$6,T493))</f>
        <v>Bench</v>
      </c>
      <c r="C511" s="198">
        <f>IF(S477="Accessory Only","",IF(S477="Boring But Big",IF(W483="","",MROUND(T483*W483,'Start-Options'!$B$38)),IF(T487=531,MROUND(U493*0.65,'Start-Options'!$B$38),MROUND(U493*0.65,'Start-Options'!$B$38))))</f>
        <v>72.5</v>
      </c>
      <c r="D511" s="243"/>
      <c r="E511" s="244">
        <v>5.0</v>
      </c>
      <c r="F511" s="185"/>
      <c r="G511" s="185"/>
      <c r="H511" s="200"/>
      <c r="I511" s="27"/>
      <c r="J511" s="252" t="s">
        <v>48</v>
      </c>
      <c r="K511" s="197" t="str">
        <f>IF(S477="Accessory Only","",IF(S477="Boring But Big",'Start-Options'!$B$6,T493))</f>
        <v>Bench</v>
      </c>
      <c r="L511" s="198">
        <f>IF(S477="Accessory Only","",IF(S477="Boring But Big",IF(X483="","",MROUND(T483*X483,'Start-Options'!$B$38)),MROUND(U493*0.4,'Start-Options'!$B$38)))</f>
        <v>47.5</v>
      </c>
      <c r="M511" s="198"/>
      <c r="N511" s="199">
        <f>IF(S477="Accessory Only","",IF(S477="Boring But Big",10,5))</f>
        <v>10</v>
      </c>
      <c r="O511" s="185"/>
      <c r="P511" s="185"/>
      <c r="Q511" s="187"/>
      <c r="R511" s="27"/>
      <c r="S511" s="27"/>
      <c r="T511" s="27"/>
      <c r="U511" s="27"/>
      <c r="V511" s="27"/>
      <c r="W511" s="27"/>
      <c r="X511" s="27"/>
      <c r="Y511" s="27"/>
      <c r="Z511" s="27"/>
      <c r="AA511" s="27"/>
    </row>
    <row r="512" ht="12.75" customHeight="1">
      <c r="A512" s="188"/>
      <c r="B512" s="189"/>
      <c r="C512" s="190">
        <f>IF(S477="Accessory Only","",IF(S477="Boring But Big",IF(W483="","",MROUND(T483*W483,'Start-Options'!$B$38)),IF(T487=531,MROUND(U493*0.75,'Start-Options'!$B$38),MROUND(U493*0.75,'Start-Options'!$B$38))))</f>
        <v>72.5</v>
      </c>
      <c r="D512" s="241"/>
      <c r="E512" s="242">
        <v>5.0</v>
      </c>
      <c r="F512" s="219"/>
      <c r="G512" s="219"/>
      <c r="H512" s="191"/>
      <c r="I512" s="27"/>
      <c r="J512" s="189"/>
      <c r="K512" s="189"/>
      <c r="L512" s="190">
        <f>IF(S477="Accessory Only","",IF(S477="Boring But Big",IF(X483="","",MROUND(T483*X483,'Start-Options'!$B$38)),MROUND(U493*0.5,'Start-Options'!$B$38)))</f>
        <v>47.5</v>
      </c>
      <c r="M512" s="27"/>
      <c r="N512" s="78">
        <f>IF(S477="Accessory Only","",IF(S477="Boring But Big",10,5))</f>
        <v>10</v>
      </c>
      <c r="O512" s="220"/>
      <c r="P512" s="220"/>
      <c r="Q512" s="222"/>
      <c r="R512" s="27"/>
      <c r="S512" s="27"/>
      <c r="T512" s="27"/>
      <c r="U512" s="27"/>
      <c r="V512" s="27"/>
      <c r="W512" s="27"/>
      <c r="X512" s="27"/>
      <c r="Y512" s="27"/>
      <c r="Z512" s="27"/>
      <c r="AA512" s="27"/>
    </row>
    <row r="513" ht="12.75" customHeight="1">
      <c r="A513" s="188"/>
      <c r="B513" s="189"/>
      <c r="C513" s="190">
        <f>IF(S477="Accessory Only","",IF(S477="Boring But Big",IF(W483="","",MROUND(T483*W483,'Start-Options'!$B$38)),IF(T487=531,MROUND(U493*0.85,'Start-Options'!$B$38),MROUND(U493*0.85,'Start-Options'!$B$38))))</f>
        <v>72.5</v>
      </c>
      <c r="D513" s="241"/>
      <c r="E513" s="242">
        <v>5.0</v>
      </c>
      <c r="F513" s="219"/>
      <c r="G513" s="219"/>
      <c r="H513" s="191"/>
      <c r="I513" s="27"/>
      <c r="J513" s="189"/>
      <c r="K513" s="189"/>
      <c r="L513" s="190">
        <f>IF(S477="Accessory Only","",IF(S477="Boring But Big",IF(X483="","",MROUND(T483*X483,'Start-Options'!$B$38)),MROUND(U493*0.6,'Start-Options'!$B$38)))</f>
        <v>47.5</v>
      </c>
      <c r="M513" s="27"/>
      <c r="N513" s="78">
        <f>IF(S477="Accessory Only","",IF(S477="Boring But Big",10,5))</f>
        <v>10</v>
      </c>
      <c r="O513" s="220"/>
      <c r="P513" s="220"/>
      <c r="Q513" s="222"/>
      <c r="R513" s="27"/>
      <c r="S513" s="27"/>
      <c r="T513" s="27"/>
      <c r="U513" s="27"/>
      <c r="V513" s="27"/>
      <c r="W513" s="27"/>
      <c r="X513" s="27"/>
      <c r="Y513" s="27"/>
      <c r="Z513" s="27"/>
      <c r="AA513" s="27"/>
    </row>
    <row r="514" ht="12.75" customHeight="1">
      <c r="A514" s="188"/>
      <c r="B514" s="189"/>
      <c r="C514" s="27">
        <f>IF(S477="Boring But Big",IF(W483="","",MROUND(T483*W483,'Start-Options'!$B$38)),"")</f>
        <v>72.5</v>
      </c>
      <c r="D514" s="241"/>
      <c r="E514" s="242">
        <v>5.0</v>
      </c>
      <c r="F514" s="219"/>
      <c r="G514" s="219"/>
      <c r="H514" s="191"/>
      <c r="I514" s="27"/>
      <c r="J514" s="189"/>
      <c r="K514" s="189"/>
      <c r="L514" s="27">
        <f>IF(S477="Boring But Big",IF(X483="","",MROUND(T483*X483,'Start-Options'!$B$38)),"")</f>
        <v>47.5</v>
      </c>
      <c r="M514" s="27"/>
      <c r="N514" s="78">
        <f>IF(S477="Boring But Big",10,"")</f>
        <v>10</v>
      </c>
      <c r="O514" s="219"/>
      <c r="P514" s="219"/>
      <c r="Q514" s="201"/>
      <c r="R514" s="27"/>
      <c r="S514" s="27"/>
      <c r="T514" s="27"/>
      <c r="U514" s="27"/>
      <c r="V514" s="27"/>
      <c r="W514" s="27"/>
      <c r="X514" s="27"/>
      <c r="Y514" s="27"/>
      <c r="Z514" s="27"/>
      <c r="AA514" s="27"/>
    </row>
    <row r="515" ht="12.75" customHeight="1">
      <c r="A515" s="194"/>
      <c r="B515" s="195"/>
      <c r="C515" s="27">
        <f>IF(S477="Boring But Big",IF(W483="","",MROUND(T483*W483,'Start-Options'!$B$38)),"")</f>
        <v>72.5</v>
      </c>
      <c r="D515" s="241"/>
      <c r="E515" s="242">
        <v>5.0</v>
      </c>
      <c r="F515" s="154"/>
      <c r="G515" s="154"/>
      <c r="H515" s="155"/>
      <c r="I515" s="27"/>
      <c r="J515" s="195"/>
      <c r="K515" s="195"/>
      <c r="L515" s="27">
        <f>IF(S477="Boring But Big",IF(X483="","",MROUND(T483*X483,'Start-Options'!$B$38)),"")</f>
        <v>47.5</v>
      </c>
      <c r="M515" s="27"/>
      <c r="N515" s="78">
        <f>IF(S477="Boring But Big",10,"")</f>
        <v>10</v>
      </c>
      <c r="O515" s="154"/>
      <c r="P515" s="154"/>
      <c r="Q515" s="206"/>
      <c r="R515" s="27"/>
      <c r="S515" s="27"/>
      <c r="T515" s="27"/>
      <c r="U515" s="27"/>
      <c r="V515" s="27"/>
      <c r="W515" s="27"/>
      <c r="X515" s="27"/>
      <c r="Y515" s="27"/>
      <c r="Z515" s="27"/>
      <c r="AA515" s="27"/>
    </row>
    <row r="516" ht="12.75" customHeight="1">
      <c r="A516" s="234" t="s">
        <v>53</v>
      </c>
      <c r="B516" s="197" t="str">
        <f>IF(S477="Accessory Only","",IF(S477="Boring But Big",'Start-Options'!$B$7,T494))</f>
        <v>Squat</v>
      </c>
      <c r="C516" s="198">
        <f>IF(S477="Accessory Only","",IF(S477="Boring But Big",IF(W484="","",MROUND(T484*W484,'Start-Options'!$B$38)),IF(T487=531,MROUND(U494*0.65,'Start-Options'!$B$38),MROUND(U494*0.65,'Start-Options'!$B$38))))</f>
        <v>97.5</v>
      </c>
      <c r="D516" s="243"/>
      <c r="E516" s="244">
        <v>5.0</v>
      </c>
      <c r="F516" s="185"/>
      <c r="G516" s="185"/>
      <c r="H516" s="200"/>
      <c r="I516" s="27"/>
      <c r="J516" s="252" t="s">
        <v>53</v>
      </c>
      <c r="K516" s="197" t="str">
        <f>IF(S477="Accessory Only","",IF(S477="Boring But Big",'Start-Options'!$B$7,T494))</f>
        <v>Squat</v>
      </c>
      <c r="L516" s="198">
        <f>IF(S477="Accessory Only","",IF(S477="Boring But Big",IF(X484="","",MROUND(T484*X484,'Start-Options'!$B$38)),MROUND(U494*0.4,'Start-Options'!$B$38)))</f>
        <v>65</v>
      </c>
      <c r="M516" s="198"/>
      <c r="N516" s="199">
        <f>IF(S477="Accessory Only","",IF(S477="Boring But Big",10,5))</f>
        <v>10</v>
      </c>
      <c r="O516" s="185"/>
      <c r="P516" s="185"/>
      <c r="Q516" s="187"/>
      <c r="R516" s="27"/>
      <c r="S516" s="27"/>
      <c r="T516" s="27"/>
      <c r="U516" s="27"/>
      <c r="V516" s="27"/>
      <c r="W516" s="27"/>
      <c r="X516" s="27"/>
      <c r="Y516" s="27"/>
      <c r="Z516" s="27"/>
      <c r="AA516" s="27"/>
    </row>
    <row r="517" ht="12.75" customHeight="1">
      <c r="A517" s="188"/>
      <c r="B517" s="189"/>
      <c r="C517" s="190">
        <f>IF(S477="Accessory Only","",IF(S477="Boring But Big",IF(W484="","",MROUND(T484*W484,'Start-Options'!$B$38)),IF(T487=531,MROUND(U494*0.75,'Start-Options'!$B$38),MROUND(U494*0.75,'Start-Options'!$B$38))))</f>
        <v>97.5</v>
      </c>
      <c r="D517" s="241"/>
      <c r="E517" s="242">
        <v>5.0</v>
      </c>
      <c r="F517" s="219"/>
      <c r="G517" s="219"/>
      <c r="H517" s="191"/>
      <c r="I517" s="27"/>
      <c r="J517" s="189"/>
      <c r="K517" s="189"/>
      <c r="L517" s="190">
        <f>IF(S477="Accessory Only","",IF(S477="Boring But Big",IF(X484="","",MROUND(T484*X484,'Start-Options'!$B$38)),MROUND(U494*0.5,'Start-Options'!$B$38)))</f>
        <v>65</v>
      </c>
      <c r="M517" s="27"/>
      <c r="N517" s="78">
        <f>IF(S477="Accessory Only","",IF(S477="Boring But Big",10,5))</f>
        <v>10</v>
      </c>
      <c r="O517" s="220"/>
      <c r="P517" s="220"/>
      <c r="Q517" s="222"/>
      <c r="R517" s="27"/>
      <c r="S517" s="27"/>
      <c r="T517" s="27"/>
      <c r="U517" s="27"/>
      <c r="V517" s="27"/>
      <c r="W517" s="27"/>
      <c r="X517" s="27"/>
      <c r="Y517" s="27"/>
      <c r="Z517" s="27"/>
      <c r="AA517" s="27"/>
    </row>
    <row r="518" ht="12.75" customHeight="1">
      <c r="A518" s="188"/>
      <c r="B518" s="189"/>
      <c r="C518" s="190">
        <f>IF(S477="Accessory Only","",IF(S477="Boring But Big",IF(W484="","",MROUND(T484*W484,'Start-Options'!$B$38)),IF(T487=531,MROUND(U494*0.85,'Start-Options'!$B$38),MROUND(U494*0.85,'Start-Options'!$B$38))))</f>
        <v>97.5</v>
      </c>
      <c r="D518" s="241"/>
      <c r="E518" s="242">
        <v>5.0</v>
      </c>
      <c r="F518" s="219"/>
      <c r="G518" s="219"/>
      <c r="H518" s="191"/>
      <c r="I518" s="27"/>
      <c r="J518" s="189"/>
      <c r="K518" s="189"/>
      <c r="L518" s="190">
        <f>IF(S477="Accessory Only","",IF(S477="Boring But Big",IF(X484="","",MROUND(T484*X484,'Start-Options'!$B$38)),MROUND(U494*0.6,'Start-Options'!$B$38)))</f>
        <v>65</v>
      </c>
      <c r="M518" s="27"/>
      <c r="N518" s="78">
        <f>IF(S477="Accessory Only","",IF(S477="Boring But Big",10,5))</f>
        <v>10</v>
      </c>
      <c r="O518" s="220"/>
      <c r="P518" s="220"/>
      <c r="Q518" s="222"/>
      <c r="R518" s="27"/>
      <c r="S518" s="27"/>
      <c r="T518" s="27"/>
      <c r="U518" s="27"/>
      <c r="V518" s="27"/>
      <c r="W518" s="27"/>
      <c r="X518" s="27"/>
      <c r="Y518" s="27"/>
      <c r="Z518" s="27"/>
      <c r="AA518" s="27"/>
    </row>
    <row r="519" ht="12.75" customHeight="1">
      <c r="A519" s="188"/>
      <c r="B519" s="189"/>
      <c r="C519" s="27">
        <f>IF(S477="Boring But Big",IF(W484="","",MROUND(T484*W484,'Start-Options'!$B$38)),"")</f>
        <v>97.5</v>
      </c>
      <c r="D519" s="241"/>
      <c r="E519" s="242">
        <v>5.0</v>
      </c>
      <c r="F519" s="219"/>
      <c r="G519" s="219"/>
      <c r="H519" s="147"/>
      <c r="I519" s="27"/>
      <c r="J519" s="189"/>
      <c r="K519" s="189"/>
      <c r="L519" s="27">
        <f>IF(S477="Boring But Big",IF(X484="","",MROUND(T484*X484,'Start-Options'!$B$38)),"")</f>
        <v>65</v>
      </c>
      <c r="M519" s="27"/>
      <c r="N519" s="78">
        <f>IF(S477="Boring But Big",10,"")</f>
        <v>10</v>
      </c>
      <c r="O519" s="151"/>
      <c r="P519" s="219"/>
      <c r="Q519" s="224"/>
      <c r="R519" s="27"/>
      <c r="S519" s="27"/>
      <c r="T519" s="27"/>
      <c r="U519" s="27"/>
      <c r="V519" s="27"/>
      <c r="W519" s="27"/>
      <c r="X519" s="27"/>
      <c r="Y519" s="27"/>
      <c r="Z519" s="27"/>
      <c r="AA519" s="27"/>
    </row>
    <row r="520" ht="13.5" customHeight="1">
      <c r="A520" s="176"/>
      <c r="B520" s="225"/>
      <c r="C520" s="226">
        <f>IF(S477="Boring But Big",IF(W484="","",MROUND(T484*W484,'Start-Options'!$B$38)),"")</f>
        <v>97.5</v>
      </c>
      <c r="D520" s="247"/>
      <c r="E520" s="248">
        <v>5.0</v>
      </c>
      <c r="F520" s="228"/>
      <c r="G520" s="228"/>
      <c r="H520" s="229"/>
      <c r="I520" s="158"/>
      <c r="J520" s="225"/>
      <c r="K520" s="225"/>
      <c r="L520" s="226">
        <f>IF(S477="Boring But Big",IF(X484="","",MROUND(T484*X484,'Start-Options'!$B$38)),"")</f>
        <v>65</v>
      </c>
      <c r="M520" s="158"/>
      <c r="N520" s="227">
        <f>IF(S477="Boring But Big",10,"")</f>
        <v>10</v>
      </c>
      <c r="O520" s="229"/>
      <c r="P520" s="228"/>
      <c r="Q520" s="230"/>
      <c r="R520" s="27"/>
      <c r="S520" s="27"/>
      <c r="T520" s="27"/>
      <c r="U520" s="27"/>
      <c r="V520" s="27"/>
      <c r="W520" s="27"/>
      <c r="X520" s="27"/>
      <c r="Y520" s="27"/>
      <c r="Z520" s="27"/>
      <c r="AA520" s="27"/>
    </row>
    <row r="521" ht="12.75" customHeight="1">
      <c r="A521" s="235"/>
      <c r="B521" s="235"/>
      <c r="C521" s="27"/>
      <c r="D521" s="27"/>
      <c r="E521" s="27"/>
      <c r="F521" s="27"/>
      <c r="G521" s="27"/>
      <c r="H521" s="27"/>
      <c r="I521" s="27"/>
      <c r="J521" s="235"/>
      <c r="K521" s="235"/>
      <c r="L521" s="27"/>
      <c r="M521" s="27"/>
      <c r="N521" s="27"/>
      <c r="O521" s="27"/>
      <c r="P521" s="27"/>
      <c r="Q521" s="27"/>
      <c r="R521" s="27"/>
      <c r="S521" s="27"/>
      <c r="T521" s="27"/>
      <c r="U521" s="27"/>
      <c r="V521" s="27"/>
      <c r="W521" s="27"/>
      <c r="X521" s="27"/>
      <c r="Y521" s="27"/>
      <c r="Z521" s="27"/>
      <c r="AA521" s="27"/>
    </row>
    <row r="522" ht="21.0" customHeight="1">
      <c r="A522" s="168"/>
      <c r="B522" s="27"/>
      <c r="C522" s="27"/>
      <c r="D522" s="27"/>
      <c r="E522" s="27"/>
      <c r="F522" s="27"/>
      <c r="G522" s="27"/>
      <c r="H522" s="27"/>
      <c r="I522" s="169" t="s">
        <v>160</v>
      </c>
      <c r="J522" s="27"/>
      <c r="K522" s="27"/>
      <c r="L522" s="27"/>
      <c r="M522" s="27"/>
      <c r="N522" s="27"/>
      <c r="O522" s="27"/>
      <c r="P522" s="27"/>
      <c r="Q522" s="27"/>
      <c r="R522" s="27"/>
      <c r="S522" s="27"/>
      <c r="T522" s="27"/>
      <c r="U522" s="27"/>
      <c r="V522" s="27"/>
      <c r="W522" s="27"/>
      <c r="X522" s="27"/>
      <c r="Y522" s="27"/>
      <c r="Z522" s="27"/>
      <c r="AA522" s="27"/>
    </row>
    <row r="523" ht="12.75" customHeight="1">
      <c r="A523" s="170" t="s">
        <v>285</v>
      </c>
      <c r="B523" s="171" t="s">
        <v>177</v>
      </c>
      <c r="C523" s="172"/>
      <c r="D523" s="172"/>
      <c r="E523" s="173"/>
      <c r="F523" s="171" t="s">
        <v>178</v>
      </c>
      <c r="G523" s="172"/>
      <c r="H523" s="173"/>
      <c r="I523" s="91"/>
      <c r="J523" s="174" t="s">
        <v>286</v>
      </c>
      <c r="K523" s="171" t="s">
        <v>177</v>
      </c>
      <c r="L523" s="172"/>
      <c r="M523" s="172"/>
      <c r="N523" s="173"/>
      <c r="O523" s="171" t="s">
        <v>178</v>
      </c>
      <c r="P523" s="172"/>
      <c r="Q523" s="94"/>
      <c r="R523" s="27"/>
      <c r="S523" s="70" t="s">
        <v>180</v>
      </c>
      <c r="T523" s="175"/>
      <c r="U523" s="71"/>
      <c r="V523" s="27"/>
      <c r="W523" s="27"/>
      <c r="X523" s="27"/>
      <c r="Y523" s="27"/>
      <c r="Z523" s="27"/>
      <c r="AA523" s="27"/>
    </row>
    <row r="524" ht="13.5" customHeight="1">
      <c r="A524" s="176"/>
      <c r="B524" s="177" t="s">
        <v>181</v>
      </c>
      <c r="C524" s="178" t="s">
        <v>26</v>
      </c>
      <c r="D524" s="178"/>
      <c r="E524" s="178" t="s">
        <v>27</v>
      </c>
      <c r="F524" s="178" t="s">
        <v>182</v>
      </c>
      <c r="G524" s="178" t="s">
        <v>183</v>
      </c>
      <c r="H524" s="179" t="s">
        <v>26</v>
      </c>
      <c r="I524" s="27"/>
      <c r="J524" s="180"/>
      <c r="K524" s="177" t="s">
        <v>181</v>
      </c>
      <c r="L524" s="178" t="s">
        <v>26</v>
      </c>
      <c r="M524" s="178"/>
      <c r="N524" s="178" t="s">
        <v>27</v>
      </c>
      <c r="O524" s="178" t="s">
        <v>182</v>
      </c>
      <c r="P524" s="179" t="s">
        <v>183</v>
      </c>
      <c r="Q524" s="181" t="s">
        <v>26</v>
      </c>
      <c r="R524" s="27"/>
      <c r="S524" s="182" t="s">
        <v>184</v>
      </c>
      <c r="T524" s="41"/>
      <c r="U524" s="42"/>
      <c r="V524" s="27"/>
      <c r="W524" s="27"/>
      <c r="X524" s="27"/>
      <c r="Y524" s="27"/>
      <c r="Z524" s="27"/>
      <c r="AA524" s="27"/>
    </row>
    <row r="525" ht="12.75" customHeight="1">
      <c r="A525" s="233" t="s">
        <v>36</v>
      </c>
      <c r="B525" s="184" t="str">
        <f>IF(S524="Accessory Only","",IF(S524="Boring But Big",'Start-Options'!$B$4,T538))</f>
        <v>Military</v>
      </c>
      <c r="C525" s="27">
        <f>IF(S524="Accessory Only","",IF(S524="Boring But Big",IF(U528="","",MROUND(T528*U528,'Start-Options'!$B$38)),IF(T534=531,MROUND(U538*0.5,'Start-Options'!$B$38),MROUND(U538*0.6,'Start-Options'!$B$38))))</f>
        <v>50</v>
      </c>
      <c r="D525" s="27"/>
      <c r="E525" s="78">
        <f>IF(S524="Accessory Only","",IF(S524="Boring But Big",10,IF(T534=531,10,8)))</f>
        <v>10</v>
      </c>
      <c r="F525" s="220"/>
      <c r="G525" s="220"/>
      <c r="H525" s="186"/>
      <c r="I525" s="77"/>
      <c r="J525" s="249" t="s">
        <v>36</v>
      </c>
      <c r="K525" s="184" t="str">
        <f>IF(S524="Accessory Only","",IF(S524="Boring But Big",'Start-Options'!$B$4,T538))</f>
        <v>Military</v>
      </c>
      <c r="L525" s="27">
        <f>IF(S524="Accessory Only","",IF(S524="Boring But Big",IF(V528="","",MROUND(T528*V528,'Start-Options'!$B$38)),IF(T534=531,MROUND(U538*0.6,'Start-Options'!$B$38),MROUND(U538*0.5,'Start-Options'!$B$38))))</f>
        <v>55</v>
      </c>
      <c r="M525" s="241"/>
      <c r="N525" s="242">
        <v>8.0</v>
      </c>
      <c r="O525" s="220"/>
      <c r="P525" s="220"/>
      <c r="Q525" s="222"/>
      <c r="R525" s="27"/>
      <c r="S525" s="27"/>
      <c r="T525" s="27"/>
      <c r="U525" s="27"/>
      <c r="V525" s="27"/>
      <c r="W525" s="27"/>
      <c r="X525" s="27"/>
      <c r="Y525" s="27"/>
      <c r="Z525" s="27"/>
      <c r="AA525" s="27"/>
    </row>
    <row r="526" ht="12.75" customHeight="1">
      <c r="A526" s="188"/>
      <c r="B526" s="189"/>
      <c r="C526" s="190">
        <f>IF(S524="Accessory Only","",IF(S524="Boring But Big",IF(U528="","",MROUND(T528*U528,'Start-Options'!$B$38)),IF(T534=531,MROUND(U538*0.6,'Start-Options'!$B$38),MROUND(U538*0.7,'Start-Options'!$B$38))))</f>
        <v>50</v>
      </c>
      <c r="D526" s="27"/>
      <c r="E526" s="78">
        <f>IF(S524="Accessory Only","",IF(S524="Boring But Big",10,IF(T534=531,10,8)))</f>
        <v>10</v>
      </c>
      <c r="F526" s="219"/>
      <c r="G526" s="219"/>
      <c r="H526" s="191"/>
      <c r="I526" s="27"/>
      <c r="J526" s="189"/>
      <c r="K526" s="189"/>
      <c r="L526" s="190">
        <f>IF(S524="Accessory Only","",IF(S524="Boring But Big",IF(V528="","",MROUND(T528*V528,'Start-Options'!$B$38)),IF(T534=531,MROUND(U538*0.7,'Start-Options'!$B$38),MROUND(U538*0.6,'Start-Options'!$B$38))))</f>
        <v>55</v>
      </c>
      <c r="M526" s="241"/>
      <c r="N526" s="242">
        <v>8.0</v>
      </c>
      <c r="O526" s="219"/>
      <c r="P526" s="219"/>
      <c r="Q526" s="201"/>
      <c r="R526" s="27"/>
      <c r="S526" s="70" t="s">
        <v>184</v>
      </c>
      <c r="T526" s="175"/>
      <c r="U526" s="175"/>
      <c r="V526" s="175"/>
      <c r="W526" s="175"/>
      <c r="X526" s="71"/>
      <c r="Y526" s="27"/>
      <c r="Z526" s="27"/>
      <c r="AA526" s="27"/>
    </row>
    <row r="527" ht="12.75" customHeight="1">
      <c r="A527" s="188"/>
      <c r="B527" s="189"/>
      <c r="C527" s="190">
        <f>IF(S524="Accessory Only","",IF(S524="Boring But Big",IF(U528="","",MROUND(T528*U528,'Start-Options'!$B$38)),IF(T534=531,MROUND(U538*0.7,'Start-Options'!$B$38),MROUND(U538*0.8,'Start-Options'!$B$38))))</f>
        <v>50</v>
      </c>
      <c r="D527" s="27"/>
      <c r="E527" s="78">
        <f>IF(S524="Accessory Only","",IF(S524="Boring But Big",10,IF(T534=531,10,6)))</f>
        <v>10</v>
      </c>
      <c r="F527" s="219"/>
      <c r="G527" s="219"/>
      <c r="H527" s="191"/>
      <c r="I527" s="27"/>
      <c r="J527" s="189"/>
      <c r="K527" s="189"/>
      <c r="L527" s="190">
        <f>IF(S524="Accessory Only","",IF(S524="Boring But Big",IF(V528="","",MROUND(T528*V528,'Start-Options'!$B$38)),IF(T534=531,MROUND(U538*0.8,'Start-Options'!$B$38),MROUND(U538*0.7,'Start-Options'!$B$38))))</f>
        <v>55</v>
      </c>
      <c r="M527" s="241"/>
      <c r="N527" s="242">
        <v>8.0</v>
      </c>
      <c r="O527" s="219"/>
      <c r="P527" s="219"/>
      <c r="Q527" s="201"/>
      <c r="R527" s="27"/>
      <c r="S527" s="25" t="s">
        <v>187</v>
      </c>
      <c r="T527" s="25" t="s">
        <v>28</v>
      </c>
      <c r="U527" s="25" t="s">
        <v>188</v>
      </c>
      <c r="V527" s="25" t="s">
        <v>189</v>
      </c>
      <c r="W527" s="192" t="s">
        <v>190</v>
      </c>
      <c r="X527" s="192" t="s">
        <v>191</v>
      </c>
      <c r="Y527" s="27"/>
      <c r="Z527" s="27"/>
      <c r="AA527" s="27"/>
    </row>
    <row r="528" ht="12.75" customHeight="1">
      <c r="A528" s="188"/>
      <c r="B528" s="189"/>
      <c r="C528" s="27">
        <f>IF(S524="Boring But Big",IF(U528="","",MROUND(T528*U528,'Start-Options'!$B$38)),"")</f>
        <v>50</v>
      </c>
      <c r="D528" s="27"/>
      <c r="E528" s="78">
        <f>IF(S524="Boring But Big",10,"")</f>
        <v>10</v>
      </c>
      <c r="F528" s="219"/>
      <c r="G528" s="219"/>
      <c r="H528" s="191"/>
      <c r="I528" s="27"/>
      <c r="J528" s="189"/>
      <c r="K528" s="189"/>
      <c r="L528" s="27">
        <f>IF(S524="Boring But Big",IF(V528="","",MROUND(T528*V528,'Start-Options'!$B$38)),"")</f>
        <v>55</v>
      </c>
      <c r="M528" s="241"/>
      <c r="N528" s="242">
        <v>8.0</v>
      </c>
      <c r="O528" s="219"/>
      <c r="P528" s="219"/>
      <c r="Q528" s="201"/>
      <c r="R528" s="27"/>
      <c r="S528" s="25" t="s">
        <v>30</v>
      </c>
      <c r="T528" s="25">
        <f>'531'!Z189</f>
        <v>77.5</v>
      </c>
      <c r="U528" s="250">
        <v>0.65</v>
      </c>
      <c r="V528" s="250">
        <v>0.7</v>
      </c>
      <c r="W528" s="251">
        <v>0.75</v>
      </c>
      <c r="X528" s="251">
        <v>0.5</v>
      </c>
      <c r="Y528" s="27"/>
      <c r="Z528" s="27"/>
      <c r="AA528" s="27"/>
    </row>
    <row r="529" ht="12.75" customHeight="1">
      <c r="A529" s="194"/>
      <c r="B529" s="195"/>
      <c r="C529" s="27">
        <f>IF(S524="Boring But Big",IF(U528="","",MROUND(T528*U528,'Start-Options'!$B$38)),"")</f>
        <v>50</v>
      </c>
      <c r="D529" s="27"/>
      <c r="E529" s="78">
        <f>IF(S524="Boring But Big",10,"")</f>
        <v>10</v>
      </c>
      <c r="F529" s="154"/>
      <c r="G529" s="154"/>
      <c r="H529" s="155"/>
      <c r="I529" s="27"/>
      <c r="J529" s="195"/>
      <c r="K529" s="195"/>
      <c r="L529" s="27">
        <f>IF(S524="Boring But Big",IF(V528="","",MROUND(T528*V528,'Start-Options'!$B$38)),"")</f>
        <v>55</v>
      </c>
      <c r="M529" s="241"/>
      <c r="N529" s="242">
        <v>8.0</v>
      </c>
      <c r="O529" s="154"/>
      <c r="P529" s="154"/>
      <c r="Q529" s="206"/>
      <c r="R529" s="27"/>
      <c r="S529" s="25" t="s">
        <v>31</v>
      </c>
      <c r="T529" s="25">
        <f>'531'!Z190</f>
        <v>165</v>
      </c>
      <c r="U529" s="250">
        <v>0.65</v>
      </c>
      <c r="V529" s="250">
        <v>0.7</v>
      </c>
      <c r="W529" s="251">
        <v>0.75</v>
      </c>
      <c r="X529" s="250">
        <v>0.5</v>
      </c>
      <c r="Y529" s="27"/>
      <c r="Z529" s="27"/>
      <c r="AA529" s="27"/>
    </row>
    <row r="530" ht="12.75" customHeight="1">
      <c r="A530" s="234" t="s">
        <v>262</v>
      </c>
      <c r="B530" s="197" t="str">
        <f>IF(S524="Accessory Only","",IF(S524="Boring But Big",'Start-Options'!$B$5,T539))</f>
        <v>Deadlift</v>
      </c>
      <c r="C530" s="198">
        <f>IF(S524="Accessory Only","",IF(S524="Boring But Big",IF(U529="","",MROUND(T529*U529,'Start-Options'!$B$38)),IF(T534=531,MROUND(U539*0.5,'Start-Options'!$B$38),MROUND(U539*0.6,'Start-Options'!$B$38))))</f>
        <v>107.5</v>
      </c>
      <c r="D530" s="198"/>
      <c r="E530" s="199">
        <f>IF(S524="Accessory Only","",IF(S524="Boring But Big",10,IF(T534=531,10,8)))</f>
        <v>10</v>
      </c>
      <c r="F530" s="185"/>
      <c r="G530" s="185"/>
      <c r="H530" s="200"/>
      <c r="I530" s="27"/>
      <c r="J530" s="252" t="s">
        <v>44</v>
      </c>
      <c r="K530" s="197" t="str">
        <f>IF(S524="Accessory Only","",IF(S524="Boring But Big",'Start-Options'!$B$5,T539))</f>
        <v>Deadlift</v>
      </c>
      <c r="L530" s="198">
        <f>IF(S524="Accessory Only","",IF(S524="Boring But Big",IF(V529="","",MROUND(T529*V529,'Start-Options'!$B$38)),IF(T534=531,MROUND(U539*0.6,'Start-Options'!$B$38),MROUND(U539*0.5,'Start-Options'!$B$38))))</f>
        <v>115</v>
      </c>
      <c r="M530" s="243"/>
      <c r="N530" s="244">
        <v>8.0</v>
      </c>
      <c r="O530" s="185"/>
      <c r="P530" s="185"/>
      <c r="Q530" s="187"/>
      <c r="R530" s="27"/>
      <c r="S530" s="25" t="s">
        <v>32</v>
      </c>
      <c r="T530" s="25">
        <f>'531'!Z191</f>
        <v>97.5</v>
      </c>
      <c r="U530" s="250">
        <v>0.65</v>
      </c>
      <c r="V530" s="250">
        <v>0.7</v>
      </c>
      <c r="W530" s="251">
        <v>0.75</v>
      </c>
      <c r="X530" s="193">
        <v>0.5</v>
      </c>
      <c r="Y530" s="27"/>
      <c r="Z530" s="27"/>
      <c r="AA530" s="27"/>
    </row>
    <row r="531" ht="12.75" customHeight="1">
      <c r="A531" s="188"/>
      <c r="B531" s="189"/>
      <c r="C531" s="190">
        <f>IF(S524="Accessory Only","",IF(S524="Boring But Big",IF(U529="","",MROUND(T529*U529,'Start-Options'!$B$38)),IF(T534=531,MROUND(U539*0.6,'Start-Options'!$B$38),MROUND(U539*0.7,'Start-Options'!$B$38))))</f>
        <v>107.5</v>
      </c>
      <c r="D531" s="27"/>
      <c r="E531" s="78">
        <f>IF(S524="Accessory Only","",IF(S524="Boring But Big",10,IF(T534=531,10,8)))</f>
        <v>10</v>
      </c>
      <c r="F531" s="219"/>
      <c r="G531" s="219"/>
      <c r="H531" s="191"/>
      <c r="I531" s="27"/>
      <c r="J531" s="189"/>
      <c r="K531" s="189"/>
      <c r="L531" s="190">
        <f>IF(S524="Accessory Only","",IF(S524="Boring But Big",IF(V529="","",MROUND(T529*V529,'Start-Options'!$B$38)),IF(T534=531,MROUND(U539*0.7,'Start-Options'!$B$38),MROUND(U539*0.6,'Start-Options'!$B$38))))</f>
        <v>115</v>
      </c>
      <c r="M531" s="241"/>
      <c r="N531" s="242">
        <v>8.0</v>
      </c>
      <c r="O531" s="219"/>
      <c r="P531" s="219"/>
      <c r="Q531" s="201"/>
      <c r="R531" s="27"/>
      <c r="S531" s="25" t="s">
        <v>194</v>
      </c>
      <c r="T531" s="25">
        <f>'531'!Z192</f>
        <v>135</v>
      </c>
      <c r="U531" s="250">
        <v>0.65</v>
      </c>
      <c r="V531" s="250">
        <v>0.7</v>
      </c>
      <c r="W531" s="251">
        <v>0.75</v>
      </c>
      <c r="X531" s="253">
        <v>0.5</v>
      </c>
      <c r="Y531" s="27"/>
      <c r="Z531" s="27"/>
      <c r="AA531" s="27"/>
    </row>
    <row r="532" ht="12.75" customHeight="1">
      <c r="A532" s="188"/>
      <c r="B532" s="189"/>
      <c r="C532" s="190">
        <f>IF(S524="Accessory Only","",IF(S524="Boring But Big",IF(U529="","",MROUND(T529*U529,'Start-Options'!$B$38)),IF(T534=531,MROUND(U539*0.7,'Start-Options'!$B$38),MROUND(U539*0.8,'Start-Options'!$B$38))))</f>
        <v>107.5</v>
      </c>
      <c r="D532" s="27"/>
      <c r="E532" s="78">
        <f>IF(S524="Accessory Only","",IF(S524="Boring But Big",10,IF(T534=531,10,6)))</f>
        <v>10</v>
      </c>
      <c r="F532" s="219"/>
      <c r="G532" s="219"/>
      <c r="H532" s="191"/>
      <c r="I532" s="27"/>
      <c r="J532" s="189"/>
      <c r="K532" s="189"/>
      <c r="L532" s="190">
        <f>IF(S524="Accessory Only","",IF(S524="Boring But Big",IF(V529="","",MROUND(T529*V529,'Start-Options'!$B$38)),IF(T534=531,MROUND(U539*0.8,'Start-Options'!$B$38),MROUND(U539*0.7,'Start-Options'!$B$38))))</f>
        <v>115</v>
      </c>
      <c r="M532" s="241"/>
      <c r="N532" s="242">
        <v>8.0</v>
      </c>
      <c r="O532" s="219"/>
      <c r="P532" s="219"/>
      <c r="Q532" s="201"/>
      <c r="R532" s="27"/>
      <c r="S532" s="27"/>
      <c r="T532" s="27"/>
      <c r="U532" s="27"/>
      <c r="V532" s="27"/>
      <c r="W532" s="27"/>
      <c r="X532" s="27"/>
      <c r="Y532" s="27"/>
      <c r="Z532" s="27"/>
      <c r="AA532" s="27"/>
    </row>
    <row r="533" ht="12.75" customHeight="1">
      <c r="A533" s="188"/>
      <c r="B533" s="189"/>
      <c r="C533" s="27">
        <f>IF(S524="Boring But Big",IF(U529="","",MROUND(T529*U529,'Start-Options'!$B$38)),"")</f>
        <v>107.5</v>
      </c>
      <c r="D533" s="27"/>
      <c r="E533" s="78">
        <f>IF(S524="Boring But Big",10,"")</f>
        <v>10</v>
      </c>
      <c r="F533" s="219"/>
      <c r="G533" s="219"/>
      <c r="H533" s="191"/>
      <c r="I533" s="27"/>
      <c r="J533" s="189"/>
      <c r="K533" s="189"/>
      <c r="L533" s="27">
        <f>IF(S524="Boring But Big",IF(V529="","",MROUND(T529*V529,'Start-Options'!$B$38)),"")</f>
        <v>115</v>
      </c>
      <c r="M533" s="241"/>
      <c r="N533" s="242">
        <v>8.0</v>
      </c>
      <c r="O533" s="219"/>
      <c r="P533" s="219"/>
      <c r="Q533" s="201"/>
      <c r="R533" s="27"/>
      <c r="S533" s="70" t="s">
        <v>204</v>
      </c>
      <c r="T533" s="71"/>
      <c r="U533" s="27"/>
      <c r="V533" s="27"/>
      <c r="W533" s="27"/>
      <c r="X533" s="27"/>
      <c r="Y533" s="27"/>
      <c r="Z533" s="27"/>
      <c r="AA533" s="27"/>
    </row>
    <row r="534" ht="12.75" customHeight="1">
      <c r="A534" s="188"/>
      <c r="B534" s="195"/>
      <c r="C534" s="27">
        <f>IF(S524="Boring But Big",IF(U529="","",MROUND(T529*U529,'Start-Options'!$B$38)),"")</f>
        <v>107.5</v>
      </c>
      <c r="D534" s="27"/>
      <c r="E534" s="78">
        <f>IF(S524="Boring But Big",10,"")</f>
        <v>10</v>
      </c>
      <c r="F534" s="154"/>
      <c r="G534" s="154"/>
      <c r="H534" s="155"/>
      <c r="I534" s="27"/>
      <c r="J534" s="189"/>
      <c r="K534" s="195"/>
      <c r="L534" s="27">
        <f>IF(S524="Boring But Big",IF(V529="","",MROUND(T529*V529,'Start-Options'!$B$38)),"")</f>
        <v>115</v>
      </c>
      <c r="M534" s="241"/>
      <c r="N534" s="242">
        <v>8.0</v>
      </c>
      <c r="O534" s="154"/>
      <c r="P534" s="154"/>
      <c r="Q534" s="206"/>
      <c r="R534" s="27"/>
      <c r="S534" s="25" t="s">
        <v>205</v>
      </c>
      <c r="T534" s="28">
        <v>531.0</v>
      </c>
      <c r="U534" s="27"/>
      <c r="V534" s="27"/>
      <c r="W534" s="27"/>
      <c r="X534" s="27"/>
      <c r="Y534" s="27"/>
      <c r="Z534" s="27"/>
      <c r="AA534" s="27"/>
    </row>
    <row r="535" ht="12.75" customHeight="1">
      <c r="A535" s="234" t="s">
        <v>48</v>
      </c>
      <c r="B535" s="197" t="str">
        <f>IF(S524="Accessory Only","",IF(S524="Boring But Big",'Start-Options'!$B$6,T540))</f>
        <v>Bench</v>
      </c>
      <c r="C535" s="198">
        <f>IF(S524="Accessory Only","",IF(S524="Boring But Big",IF(U530="","",MROUND(T530*U530,'Start-Options'!$B$38)),IF(T534=531,MROUND(U540*0.5,'Start-Options'!$B$38),MROUND(U540*0.6,'Start-Options'!$B$38))))</f>
        <v>62.5</v>
      </c>
      <c r="D535" s="198"/>
      <c r="E535" s="199">
        <f>IF(S524="Accessory Only","",IF(S524="Boring But Big",10,IF(T534=531,10,8)))</f>
        <v>10</v>
      </c>
      <c r="F535" s="185"/>
      <c r="G535" s="185"/>
      <c r="H535" s="200"/>
      <c r="I535" s="27"/>
      <c r="J535" s="252" t="s">
        <v>48</v>
      </c>
      <c r="K535" s="197" t="str">
        <f>IF(S524="Accessory Only","",IF(S524="Boring But Big",'Start-Options'!$B$6,T540))</f>
        <v>Bench</v>
      </c>
      <c r="L535" s="198">
        <f>IF(S524="Accessory Only","",IF(S524="Boring But Big",IF(V530="","",MROUND(T530*V530,'Start-Options'!$B$38)),IF(T534=531,MROUND(U540*0.6,'Start-Options'!$B$38),MROUND(U540*0.5,'Start-Options'!$B$38))))</f>
        <v>67.5</v>
      </c>
      <c r="M535" s="243"/>
      <c r="N535" s="244">
        <v>8.0</v>
      </c>
      <c r="O535" s="185"/>
      <c r="P535" s="185"/>
      <c r="Q535" s="187"/>
      <c r="R535" s="27"/>
      <c r="S535" s="27"/>
      <c r="T535" s="27"/>
      <c r="U535" s="27"/>
      <c r="V535" s="27"/>
      <c r="W535" s="27"/>
      <c r="X535" s="27"/>
      <c r="Y535" s="27"/>
      <c r="Z535" s="27"/>
      <c r="AA535" s="27"/>
    </row>
    <row r="536" ht="12.75" customHeight="1">
      <c r="A536" s="188"/>
      <c r="B536" s="189"/>
      <c r="C536" s="190">
        <f>IF(S524="Accessory Only","",IF(S524="Boring But Big",IF(U530="","",MROUND(T530*U530,'Start-Options'!$B$38)),IF(T534=531,MROUND(U540*0.6,'Start-Options'!$B$38),MROUND(U540*0.7,'Start-Options'!$B$38))))</f>
        <v>62.5</v>
      </c>
      <c r="D536" s="27"/>
      <c r="E536" s="78">
        <f>IF(S524="Accessory Only","",IF(S524="Boring But Big",10,IF(T534=531,10,8)))</f>
        <v>10</v>
      </c>
      <c r="F536" s="219"/>
      <c r="G536" s="219"/>
      <c r="H536" s="191"/>
      <c r="I536" s="27"/>
      <c r="J536" s="189"/>
      <c r="K536" s="189"/>
      <c r="L536" s="190">
        <f>IF(S524="Accessory Only","",IF(S524="Boring But Big",IF(V530="","",MROUND(T530*V530,'Start-Options'!$B$38)),IF(T534=531,MROUND(U540*0.7,'Start-Options'!$B$38),MROUND(U540*0.6,'Start-Options'!$B$38))))</f>
        <v>67.5</v>
      </c>
      <c r="M536" s="241"/>
      <c r="N536" s="242">
        <v>8.0</v>
      </c>
      <c r="O536" s="219"/>
      <c r="P536" s="219"/>
      <c r="Q536" s="201"/>
      <c r="R536" s="27"/>
      <c r="S536" s="70" t="s">
        <v>204</v>
      </c>
      <c r="T536" s="175"/>
      <c r="U536" s="71"/>
      <c r="V536" s="27"/>
      <c r="W536" s="27"/>
      <c r="X536" s="27"/>
      <c r="Y536" s="27"/>
      <c r="Z536" s="27"/>
      <c r="AA536" s="27"/>
    </row>
    <row r="537" ht="12.75" customHeight="1">
      <c r="A537" s="188"/>
      <c r="B537" s="189"/>
      <c r="C537" s="190">
        <f>IF(S524="Accessory Only","",IF(S524="Boring But Big",IF(U530="","",MROUND(T530*U530,'Start-Options'!$B$38)),IF(T534=531,MROUND(U540*0.7,'Start-Options'!$B$38),MROUND(U540*0.8,'Start-Options'!$B$38))))</f>
        <v>62.5</v>
      </c>
      <c r="D537" s="27"/>
      <c r="E537" s="78">
        <f>IF(S524="Accessory Only","",IF(S524="Boring But Big",10,IF(T534=531,10,6)))</f>
        <v>10</v>
      </c>
      <c r="F537" s="219"/>
      <c r="G537" s="219"/>
      <c r="H537" s="191"/>
      <c r="I537" s="27"/>
      <c r="J537" s="189"/>
      <c r="K537" s="189"/>
      <c r="L537" s="190">
        <f>IF(S524="Accessory Only","",IF(S524="Boring But Big",IF(V530="","",MROUND(T530*V530,'Start-Options'!$B$38)),IF(T534=531,MROUND(U540*0.8,'Start-Options'!$B$38),MROUND(U540*0.7,'Start-Options'!$B$38))))</f>
        <v>67.5</v>
      </c>
      <c r="M537" s="241"/>
      <c r="N537" s="242">
        <v>8.0</v>
      </c>
      <c r="O537" s="219"/>
      <c r="P537" s="219"/>
      <c r="Q537" s="201"/>
      <c r="R537" s="27"/>
      <c r="S537" s="25"/>
      <c r="T537" s="223" t="s">
        <v>182</v>
      </c>
      <c r="U537" s="223" t="s">
        <v>28</v>
      </c>
      <c r="V537" s="27"/>
      <c r="W537" s="27"/>
      <c r="X537" s="27"/>
      <c r="Y537" s="27"/>
      <c r="Z537" s="27"/>
      <c r="AA537" s="27"/>
    </row>
    <row r="538" ht="12.75" customHeight="1">
      <c r="A538" s="188"/>
      <c r="B538" s="189"/>
      <c r="C538" s="27">
        <f>IF(S524="Boring But Big",IF(U530="","",MROUND(T530*U530,'Start-Options'!$B$38)),"")</f>
        <v>62.5</v>
      </c>
      <c r="D538" s="27"/>
      <c r="E538" s="27">
        <f>IF(S524="Boring But Big",10,"")</f>
        <v>10</v>
      </c>
      <c r="F538" s="219"/>
      <c r="G538" s="219"/>
      <c r="H538" s="207"/>
      <c r="I538" s="77"/>
      <c r="J538" s="189"/>
      <c r="K538" s="189"/>
      <c r="L538" s="27">
        <f>IF(S524="Boring But Big",IF(V530="","",MROUND(T530*V530,'Start-Options'!$B$38)),"")</f>
        <v>67.5</v>
      </c>
      <c r="M538" s="241"/>
      <c r="N538" s="242">
        <v>8.0</v>
      </c>
      <c r="O538" s="219"/>
      <c r="P538" s="219"/>
      <c r="Q538" s="201"/>
      <c r="R538" s="27"/>
      <c r="S538" s="77" t="s">
        <v>36</v>
      </c>
      <c r="T538" s="147" t="s">
        <v>208</v>
      </c>
      <c r="U538" s="147">
        <v>100.0</v>
      </c>
      <c r="V538" s="27"/>
      <c r="W538" s="27"/>
      <c r="X538" s="27"/>
      <c r="Y538" s="27"/>
      <c r="Z538" s="27"/>
      <c r="AA538" s="27"/>
    </row>
    <row r="539" ht="12.75" customHeight="1">
      <c r="A539" s="194"/>
      <c r="B539" s="195"/>
      <c r="C539" s="27">
        <f>IF(S524="Boring But Big",IF(U530="","",MROUND(T530*U530,'Start-Options'!$B$38)),"")</f>
        <v>62.5</v>
      </c>
      <c r="D539" s="27"/>
      <c r="E539" s="78">
        <f>IF(S524="Boring But Big",10,"")</f>
        <v>10</v>
      </c>
      <c r="F539" s="154"/>
      <c r="G539" s="154"/>
      <c r="H539" s="155"/>
      <c r="I539" s="27"/>
      <c r="J539" s="195"/>
      <c r="K539" s="195"/>
      <c r="L539" s="27">
        <f>IF(S524="Boring But Big",IF(V530="","",MROUND(T530*V530,'Start-Options'!$B$38)),"")</f>
        <v>67.5</v>
      </c>
      <c r="M539" s="241"/>
      <c r="N539" s="242">
        <v>8.0</v>
      </c>
      <c r="O539" s="154"/>
      <c r="P539" s="154"/>
      <c r="Q539" s="206"/>
      <c r="R539" s="27"/>
      <c r="S539" s="25" t="s">
        <v>44</v>
      </c>
      <c r="T539" s="162" t="s">
        <v>210</v>
      </c>
      <c r="U539" s="162">
        <v>100.0</v>
      </c>
      <c r="V539" s="27"/>
      <c r="W539" s="27"/>
      <c r="X539" s="27"/>
      <c r="Y539" s="27"/>
      <c r="Z539" s="27"/>
      <c r="AA539" s="27"/>
    </row>
    <row r="540" ht="12.75" customHeight="1">
      <c r="A540" s="234" t="s">
        <v>53</v>
      </c>
      <c r="B540" s="197" t="str">
        <f>IF(S524="Accessory Only","",IF(S524="Boring But Big",'Start-Options'!$B$7,T541))</f>
        <v>Squat</v>
      </c>
      <c r="C540" s="198">
        <f>IF(S524="Accessory Only","",IF(S524="Boring But Big",IF(U531="","",MROUND(T531*U531,'Start-Options'!$B$38)),IF(T534=531,MROUND(U541*0.5,'Start-Options'!$B$38),MROUND(U541*0.6,'Start-Options'!$B$38))))</f>
        <v>87.5</v>
      </c>
      <c r="D540" s="198"/>
      <c r="E540" s="199">
        <f>IF(S524="Accessory Only","",IF(S524="Boring But Big",10,IF(T534=531,10,8)))</f>
        <v>10</v>
      </c>
      <c r="F540" s="185"/>
      <c r="G540" s="185"/>
      <c r="H540" s="200"/>
      <c r="I540" s="27"/>
      <c r="J540" s="252" t="s">
        <v>53</v>
      </c>
      <c r="K540" s="197" t="str">
        <f>IF(S524="Accessory Only","",IF(S524="Boring But Big",'Start-Options'!$B$7,T541))</f>
        <v>Squat</v>
      </c>
      <c r="L540" s="198">
        <f>IF(S524="Accessory Only","",IF(S524="Boring But Big",IF(V531="","",MROUND(T531*V531,'Start-Options'!$B$38)),IF(T534=531,MROUND(U541*0.6,'Start-Options'!$B$38),MROUND(U541*0.5,'Start-Options'!$B$38))))</f>
        <v>95</v>
      </c>
      <c r="M540" s="243"/>
      <c r="N540" s="244">
        <v>8.0</v>
      </c>
      <c r="O540" s="185"/>
      <c r="P540" s="185"/>
      <c r="Q540" s="187"/>
      <c r="R540" s="27"/>
      <c r="S540" s="25" t="s">
        <v>48</v>
      </c>
      <c r="T540" s="162" t="s">
        <v>212</v>
      </c>
      <c r="U540" s="162">
        <v>100.0</v>
      </c>
      <c r="V540" s="27"/>
      <c r="W540" s="27"/>
      <c r="X540" s="27"/>
      <c r="Y540" s="27"/>
      <c r="Z540" s="27"/>
      <c r="AA540" s="27"/>
    </row>
    <row r="541" ht="12.75" customHeight="1">
      <c r="A541" s="188"/>
      <c r="B541" s="189"/>
      <c r="C541" s="190">
        <f>IF(S524="Accessory Only","",IF(S524="Boring But Big",IF(U531="","",MROUND(T531*U531,'Start-Options'!$B$38)),IF(T534=531,MROUND(U541*0.6,'Start-Options'!$B$38),MROUND(U541*0.7,'Start-Options'!$B$38))))</f>
        <v>87.5</v>
      </c>
      <c r="D541" s="27"/>
      <c r="E541" s="78">
        <f>IF(S524="Accessory Only","",IF(S524="Boring But Big",10,IF(T534=531,10,8)))</f>
        <v>10</v>
      </c>
      <c r="F541" s="219"/>
      <c r="G541" s="219"/>
      <c r="H541" s="191"/>
      <c r="I541" s="27"/>
      <c r="J541" s="189"/>
      <c r="K541" s="189"/>
      <c r="L541" s="190">
        <f>IF(S524="Accessory Only","",IF(S524="Boring But Big",IF(V531="","",MROUND(T531*V531,'Start-Options'!$B$38)),IF(T534=531,MROUND(U541*0.7,'Start-Options'!$B$38),MROUND(U541*0.6,'Start-Options'!$B$38))))</f>
        <v>95</v>
      </c>
      <c r="M541" s="241"/>
      <c r="N541" s="242">
        <v>8.0</v>
      </c>
      <c r="O541" s="219"/>
      <c r="P541" s="219"/>
      <c r="Q541" s="201"/>
      <c r="R541" s="27"/>
      <c r="S541" s="82" t="s">
        <v>53</v>
      </c>
      <c r="T541" s="155" t="s">
        <v>224</v>
      </c>
      <c r="U541" s="155">
        <v>100.0</v>
      </c>
      <c r="V541" s="27"/>
      <c r="W541" s="27"/>
      <c r="X541" s="27"/>
      <c r="Y541" s="27"/>
      <c r="Z541" s="27"/>
      <c r="AA541" s="27"/>
    </row>
    <row r="542" ht="12.75" customHeight="1">
      <c r="A542" s="188"/>
      <c r="B542" s="189"/>
      <c r="C542" s="190">
        <f>IF(S524="Accessory Only","",IF(S524="Boring But Big",IF(U531="","",MROUND(T531*U531,'Start-Options'!$B$38)),IF(T534=531,MROUND(U541*0.7,'Start-Options'!$B$38),MROUND(U541*0.8,'Start-Options'!$B$38))))</f>
        <v>87.5</v>
      </c>
      <c r="D542" s="27"/>
      <c r="E542" s="78">
        <f>IF(S524="Accessory Only","",IF(S524="Boring But Big",10,IF(T534=531,10,6)))</f>
        <v>10</v>
      </c>
      <c r="F542" s="219"/>
      <c r="G542" s="219"/>
      <c r="H542" s="191"/>
      <c r="I542" s="27"/>
      <c r="J542" s="189"/>
      <c r="K542" s="189"/>
      <c r="L542" s="190">
        <f>IF(S524="Accessory Only","",IF(S524="Boring But Big",IF(V531="","",MROUND(T531*V531,'Start-Options'!$B$38)),IF(T534=531,MROUND(U541*0.8,'Start-Options'!$B$38),MROUND(U541*0.7,'Start-Options'!$B$38))))</f>
        <v>95</v>
      </c>
      <c r="M542" s="241"/>
      <c r="N542" s="242">
        <v>8.0</v>
      </c>
      <c r="O542" s="219"/>
      <c r="P542" s="219"/>
      <c r="Q542" s="201"/>
      <c r="R542" s="27"/>
      <c r="S542" s="27"/>
      <c r="T542" s="27"/>
      <c r="U542" s="27"/>
      <c r="V542" s="27"/>
      <c r="W542" s="27"/>
      <c r="X542" s="27"/>
      <c r="Y542" s="27"/>
      <c r="Z542" s="27"/>
      <c r="AA542" s="27"/>
    </row>
    <row r="543" ht="12.75" customHeight="1">
      <c r="A543" s="188"/>
      <c r="B543" s="189"/>
      <c r="C543" s="27">
        <f>IF(S524="Boring But Big",IF(U531="","",MROUND(T531*U531,'Start-Options'!$B$38)),"")</f>
        <v>87.5</v>
      </c>
      <c r="D543" s="27"/>
      <c r="E543" s="78">
        <f>IF(S524="Boring But Big",10,"")</f>
        <v>10</v>
      </c>
      <c r="F543" s="219"/>
      <c r="G543" s="219"/>
      <c r="H543" s="191"/>
      <c r="I543" s="27"/>
      <c r="J543" s="189"/>
      <c r="K543" s="189"/>
      <c r="L543" s="27">
        <f>IF(S524="Boring But Big",IF(V531="","",MROUND(T531*V531,'Start-Options'!$B$38)),"")</f>
        <v>95</v>
      </c>
      <c r="M543" s="241"/>
      <c r="N543" s="242">
        <v>8.0</v>
      </c>
      <c r="O543" s="219"/>
      <c r="P543" s="219"/>
      <c r="Q543" s="201"/>
      <c r="R543" s="27"/>
      <c r="S543" s="27"/>
      <c r="T543" s="27"/>
      <c r="U543" s="27"/>
      <c r="V543" s="27"/>
      <c r="W543" s="27"/>
      <c r="X543" s="27"/>
      <c r="Y543" s="27"/>
      <c r="Z543" s="27"/>
      <c r="AA543" s="27"/>
    </row>
    <row r="544" ht="12.75" customHeight="1">
      <c r="A544" s="194"/>
      <c r="B544" s="195"/>
      <c r="C544" s="208">
        <f>IF(S524="Boring But Big",IF(U531="","",MROUND(T531*U531,'Start-Options'!$B$38)),"")</f>
        <v>87.5</v>
      </c>
      <c r="D544" s="49"/>
      <c r="E544" s="83">
        <f>IF(S524="Boring But Big",10,"")</f>
        <v>10</v>
      </c>
      <c r="F544" s="154"/>
      <c r="G544" s="154"/>
      <c r="H544" s="155"/>
      <c r="I544" s="27"/>
      <c r="J544" s="195"/>
      <c r="K544" s="195"/>
      <c r="L544" s="208">
        <f>IF(S524="Boring But Big",IF(V531="","",MROUND(T531*V531,'Start-Options'!$B$38)),"")</f>
        <v>95</v>
      </c>
      <c r="M544" s="245"/>
      <c r="N544" s="246">
        <v>8.0</v>
      </c>
      <c r="O544" s="154"/>
      <c r="P544" s="154"/>
      <c r="Q544" s="206"/>
      <c r="R544" s="27"/>
      <c r="S544" s="27"/>
      <c r="T544" s="27"/>
      <c r="U544" s="27"/>
      <c r="V544" s="27"/>
      <c r="W544" s="27"/>
      <c r="X544" s="27"/>
      <c r="Y544" s="27"/>
      <c r="Z544" s="27"/>
      <c r="AA544" s="27"/>
    </row>
    <row r="545" ht="12.75" customHeight="1">
      <c r="A545" s="168"/>
      <c r="B545" s="27"/>
      <c r="C545" s="27"/>
      <c r="D545" s="27"/>
      <c r="E545" s="27"/>
      <c r="F545" s="27"/>
      <c r="G545" s="27"/>
      <c r="H545" s="27"/>
      <c r="I545" s="27"/>
      <c r="J545" s="27"/>
      <c r="K545" s="27"/>
      <c r="L545" s="27"/>
      <c r="M545" s="27"/>
      <c r="N545" s="27"/>
      <c r="O545" s="27"/>
      <c r="P545" s="27"/>
      <c r="Q545" s="209"/>
      <c r="R545" s="27"/>
      <c r="S545" s="27"/>
      <c r="T545" s="27"/>
      <c r="U545" s="27"/>
      <c r="V545" s="27"/>
      <c r="W545" s="27"/>
      <c r="X545" s="27"/>
      <c r="Y545" s="27"/>
      <c r="Z545" s="27"/>
      <c r="AA545" s="27"/>
    </row>
    <row r="546" ht="12.75" customHeight="1">
      <c r="A546" s="210" t="s">
        <v>287</v>
      </c>
      <c r="B546" s="211" t="s">
        <v>177</v>
      </c>
      <c r="C546" s="41"/>
      <c r="D546" s="41"/>
      <c r="E546" s="42"/>
      <c r="F546" s="211" t="s">
        <v>178</v>
      </c>
      <c r="G546" s="41"/>
      <c r="H546" s="42"/>
      <c r="I546" s="27"/>
      <c r="J546" s="212" t="s">
        <v>288</v>
      </c>
      <c r="K546" s="211" t="s">
        <v>177</v>
      </c>
      <c r="L546" s="41"/>
      <c r="M546" s="41"/>
      <c r="N546" s="42"/>
      <c r="O546" s="211" t="s">
        <v>178</v>
      </c>
      <c r="P546" s="41"/>
      <c r="Q546" s="213"/>
      <c r="R546" s="27"/>
      <c r="S546" s="70" t="s">
        <v>93</v>
      </c>
      <c r="T546" s="71"/>
      <c r="U546" s="27"/>
      <c r="V546" s="27"/>
      <c r="W546" s="27"/>
      <c r="X546" s="27"/>
      <c r="Y546" s="27"/>
      <c r="Z546" s="27"/>
      <c r="AA546" s="27"/>
    </row>
    <row r="547" ht="12.75" customHeight="1">
      <c r="A547" s="194"/>
      <c r="B547" s="214" t="s">
        <v>181</v>
      </c>
      <c r="C547" s="215" t="s">
        <v>26</v>
      </c>
      <c r="D547" s="215"/>
      <c r="E547" s="215" t="s">
        <v>27</v>
      </c>
      <c r="F547" s="215" t="s">
        <v>182</v>
      </c>
      <c r="G547" s="216" t="s">
        <v>183</v>
      </c>
      <c r="H547" s="215" t="s">
        <v>26</v>
      </c>
      <c r="I547" s="27"/>
      <c r="J547" s="217"/>
      <c r="K547" s="214" t="s">
        <v>181</v>
      </c>
      <c r="L547" s="215" t="s">
        <v>26</v>
      </c>
      <c r="M547" s="215"/>
      <c r="N547" s="215" t="s">
        <v>27</v>
      </c>
      <c r="O547" s="215" t="s">
        <v>182</v>
      </c>
      <c r="P547" s="216" t="s">
        <v>183</v>
      </c>
      <c r="Q547" s="218" t="s">
        <v>26</v>
      </c>
      <c r="R547" s="27"/>
      <c r="S547" s="25" t="s">
        <v>94</v>
      </c>
      <c r="T547" s="162"/>
      <c r="U547" s="27"/>
      <c r="V547" s="27"/>
      <c r="W547" s="27"/>
      <c r="X547" s="27"/>
      <c r="Y547" s="27"/>
      <c r="Z547" s="27"/>
      <c r="AA547" s="27"/>
    </row>
    <row r="548" ht="12.75" customHeight="1">
      <c r="A548" s="234" t="s">
        <v>36</v>
      </c>
      <c r="B548" s="197" t="str">
        <f>IF(S524="Accessory Only","",IF(S524="Boring But Big",'Start-Options'!$B$4,T538))</f>
        <v>Military</v>
      </c>
      <c r="C548" s="198">
        <f>IF(S524="Accessory Only","",IF(S524="Boring But Big",IF(W528="","",MROUND(T528*W528,'Start-Options'!$B$38)),IF(T534=531,MROUND(U538*0.65,'Start-Options'!$B$38),MROUND(U538*0.65,'Start-Options'!$B$38))))</f>
        <v>57.5</v>
      </c>
      <c r="D548" s="243"/>
      <c r="E548" s="244">
        <v>5.0</v>
      </c>
      <c r="F548" s="185"/>
      <c r="G548" s="185"/>
      <c r="H548" s="200"/>
      <c r="I548" s="27"/>
      <c r="J548" s="252" t="s">
        <v>36</v>
      </c>
      <c r="K548" s="197" t="str">
        <f>IF(S524="Accessory Only","",IF(S524="Boring But Big",'Start-Options'!$B$4,T538))</f>
        <v>Military</v>
      </c>
      <c r="L548" s="198">
        <f>IF(S524="Accessory Only","",IF(S524="Boring But Big",IF(X528="","",MROUND(T528*X528,'Start-Options'!$B$38)),MROUND(U538*0.4,'Start-Options'!$B$38)))</f>
        <v>40</v>
      </c>
      <c r="M548" s="198"/>
      <c r="N548" s="199">
        <f>IF(S524="Accessory Only","",IF(S524="Boring But Big",10,5))</f>
        <v>10</v>
      </c>
      <c r="O548" s="185"/>
      <c r="P548" s="185"/>
      <c r="Q548" s="187"/>
      <c r="R548" s="27"/>
      <c r="S548" s="77" t="s">
        <v>95</v>
      </c>
      <c r="T548" s="78" t="str">
        <f>IF(T547="","",MROUND(T547*0.4,'Start-Options'!$B$38))</f>
        <v/>
      </c>
      <c r="U548" s="27"/>
      <c r="V548" s="27"/>
      <c r="W548" s="27"/>
      <c r="X548" s="27"/>
      <c r="Y548" s="27"/>
      <c r="Z548" s="27"/>
      <c r="AA548" s="27"/>
    </row>
    <row r="549" ht="12.75" customHeight="1">
      <c r="A549" s="188"/>
      <c r="B549" s="189"/>
      <c r="C549" s="190">
        <f>IF(S524="Accessory Only","",IF(S524="Boring But Big",IF(W528="","",MROUND(T528*W528,'Start-Options'!$B$38)),IF(T534=531,MROUND(U538*0.75,'Start-Options'!$B$38),MROUND(U538*0.75,'Start-Options'!$B$38))))</f>
        <v>57.5</v>
      </c>
      <c r="D549" s="241"/>
      <c r="E549" s="242">
        <v>5.0</v>
      </c>
      <c r="F549" s="219"/>
      <c r="G549" s="219"/>
      <c r="H549" s="191"/>
      <c r="I549" s="27"/>
      <c r="J549" s="189"/>
      <c r="K549" s="189"/>
      <c r="L549" s="190">
        <f>IF(S524="Accessory Only","",IF(S524="Boring But Big",IF(X528="","",MROUND(T528*X528,'Start-Options'!$B$38)),MROUND(U538*0.5,'Start-Options'!$B$38)))</f>
        <v>40</v>
      </c>
      <c r="M549" s="27"/>
      <c r="N549" s="78">
        <f>IF(S524="Accessory Only","",IF(S524="Boring But Big",10,5))</f>
        <v>10</v>
      </c>
      <c r="O549" s="220"/>
      <c r="P549" s="220"/>
      <c r="Q549" s="221"/>
      <c r="R549" s="27"/>
      <c r="S549" s="77" t="s">
        <v>96</v>
      </c>
      <c r="T549" s="78" t="str">
        <f>IF(T547="","",MROUND(T547*0.5,'Start-Options'!$B$38))</f>
        <v/>
      </c>
      <c r="U549" s="27"/>
      <c r="V549" s="27"/>
      <c r="W549" s="27"/>
      <c r="X549" s="27"/>
      <c r="Y549" s="27"/>
      <c r="Z549" s="27"/>
      <c r="AA549" s="27"/>
    </row>
    <row r="550" ht="12.75" customHeight="1">
      <c r="A550" s="188"/>
      <c r="B550" s="189"/>
      <c r="C550" s="190">
        <f>IF(S524="Accessory Only","",IF(S524="Boring But Big",IF(W528="","",MROUND(T528*W528,'Start-Options'!$B$38)),IF(T534=531,MROUND(U538*0.85,'Start-Options'!$B$38),MROUND(U538*0.85,'Start-Options'!$B$38))))</f>
        <v>57.5</v>
      </c>
      <c r="D550" s="241"/>
      <c r="E550" s="242">
        <v>5.0</v>
      </c>
      <c r="F550" s="219"/>
      <c r="G550" s="219"/>
      <c r="H550" s="191"/>
      <c r="I550" s="27"/>
      <c r="J550" s="189"/>
      <c r="K550" s="189"/>
      <c r="L550" s="190">
        <f>IF(S524="Accessory Only","",IF(S524="Boring But Big",IF(X528="","",MROUND(T528*X528,'Start-Options'!$B$38)),MROUND(U538*0.6,'Start-Options'!$B$38)))</f>
        <v>40</v>
      </c>
      <c r="M550" s="27"/>
      <c r="N550" s="78">
        <f>IF(S524="Accessory Only","",IF(S524="Boring But Big",10,5))</f>
        <v>10</v>
      </c>
      <c r="O550" s="220"/>
      <c r="P550" s="220"/>
      <c r="Q550" s="222"/>
      <c r="R550" s="27"/>
      <c r="S550" s="82" t="s">
        <v>97</v>
      </c>
      <c r="T550" s="83" t="str">
        <f>IF(T547="","",MROUND(T547*0.6,'Start-Options'!$B$38))</f>
        <v/>
      </c>
      <c r="U550" s="27"/>
      <c r="V550" s="27"/>
      <c r="W550" s="27"/>
      <c r="X550" s="27"/>
      <c r="Y550" s="27"/>
      <c r="Z550" s="27"/>
      <c r="AA550" s="27"/>
    </row>
    <row r="551" ht="12.75" customHeight="1">
      <c r="A551" s="188"/>
      <c r="B551" s="189"/>
      <c r="C551" s="27">
        <f>IF(S524="Boring But Big",IF(W528="","",MROUND(T528*W528,'Start-Options'!$B$38)),"")</f>
        <v>57.5</v>
      </c>
      <c r="D551" s="241"/>
      <c r="E551" s="242">
        <v>5.0</v>
      </c>
      <c r="F551" s="219"/>
      <c r="G551" s="219"/>
      <c r="H551" s="191"/>
      <c r="I551" s="27"/>
      <c r="J551" s="189"/>
      <c r="K551" s="189"/>
      <c r="L551" s="27">
        <f>IF(S524="Boring But Big",IF(X528="","",MROUND(T528*X528,'Start-Options'!$B$38)),"")</f>
        <v>40</v>
      </c>
      <c r="M551" s="27"/>
      <c r="N551" s="78">
        <f>IF(S524="Boring But Big",10,"")</f>
        <v>10</v>
      </c>
      <c r="O551" s="219"/>
      <c r="P551" s="219"/>
      <c r="Q551" s="201"/>
      <c r="R551" s="27"/>
      <c r="S551" s="27"/>
      <c r="T551" s="27"/>
      <c r="U551" s="27"/>
      <c r="V551" s="27"/>
      <c r="W551" s="27"/>
      <c r="X551" s="27"/>
      <c r="Y551" s="27"/>
      <c r="Z551" s="27"/>
      <c r="AA551" s="27"/>
    </row>
    <row r="552" ht="12.75" customHeight="1">
      <c r="A552" s="194"/>
      <c r="B552" s="195"/>
      <c r="C552" s="27">
        <f>IF(S524="Boring But Big",IF(W528="","",MROUND(T528*W528,'Start-Options'!$B$38)),"")</f>
        <v>57.5</v>
      </c>
      <c r="D552" s="241"/>
      <c r="E552" s="242">
        <v>5.0</v>
      </c>
      <c r="F552" s="154"/>
      <c r="G552" s="154"/>
      <c r="H552" s="155"/>
      <c r="I552" s="27"/>
      <c r="J552" s="195"/>
      <c r="K552" s="195"/>
      <c r="L552" s="27">
        <f>IF(S524="Boring But Big",IF(X528="","",MROUND(T528*X528,'Start-Options'!$B$38)),"")</f>
        <v>40</v>
      </c>
      <c r="M552" s="27"/>
      <c r="N552" s="78">
        <f>IF(S524="Boring But Big",10,"")</f>
        <v>10</v>
      </c>
      <c r="O552" s="154"/>
      <c r="P552" s="154"/>
      <c r="Q552" s="206"/>
      <c r="R552" s="27"/>
      <c r="S552" s="27"/>
      <c r="T552" s="27"/>
      <c r="U552" s="27"/>
      <c r="V552" s="27"/>
      <c r="W552" s="27"/>
      <c r="X552" s="27"/>
      <c r="Y552" s="27"/>
      <c r="Z552" s="27"/>
      <c r="AA552" s="27"/>
    </row>
    <row r="553" ht="12.75" customHeight="1">
      <c r="A553" s="234" t="s">
        <v>44</v>
      </c>
      <c r="B553" s="197" t="str">
        <f>IF(S524="Accessory Only","",IF(S524="Boring But Big",'Start-Options'!$B$5,T539))</f>
        <v>Deadlift</v>
      </c>
      <c r="C553" s="198">
        <f>IF(S524="Accessory Only","",IF(S524="Boring But Big",IF(W529="","",MROUND(T529*W529,'Start-Options'!$B$38)),IF(T534=531,MROUND(U539*0.65,'Start-Options'!$B$38),MROUND(U539*0.65,'Start-Options'!$B$38))))</f>
        <v>125</v>
      </c>
      <c r="D553" s="243"/>
      <c r="E553" s="244">
        <v>5.0</v>
      </c>
      <c r="F553" s="185"/>
      <c r="G553" s="185"/>
      <c r="H553" s="200"/>
      <c r="I553" s="27"/>
      <c r="J553" s="252" t="s">
        <v>44</v>
      </c>
      <c r="K553" s="197" t="str">
        <f>IF(S524="Accessory Only","",IF(S524="Boring But Big",'Start-Options'!$B$5,T539))</f>
        <v>Deadlift</v>
      </c>
      <c r="L553" s="198">
        <f>IF(S524="Accessory Only","",IF(S524="Boring But Big",IF(X529="","",MROUND(T529*X529,'Start-Options'!$B$38)),MROUND(U539*0.4,'Start-Options'!$B$38)))</f>
        <v>82.5</v>
      </c>
      <c r="M553" s="198"/>
      <c r="N553" s="199">
        <f>IF(S524="Accessory Only","",IF(S524="Boring But Big",10,5))</f>
        <v>10</v>
      </c>
      <c r="O553" s="185"/>
      <c r="P553" s="185"/>
      <c r="Q553" s="187"/>
      <c r="R553" s="27"/>
      <c r="S553" s="27"/>
      <c r="T553" s="27"/>
      <c r="U553" s="27"/>
      <c r="V553" s="27"/>
      <c r="W553" s="27"/>
      <c r="X553" s="27"/>
      <c r="Y553" s="27"/>
      <c r="Z553" s="27"/>
      <c r="AA553" s="27"/>
    </row>
    <row r="554" ht="12.75" customHeight="1">
      <c r="A554" s="188"/>
      <c r="B554" s="189"/>
      <c r="C554" s="190">
        <f>IF(S524="Accessory Only","",IF(S524="Boring But Big",IF(W529="","",MROUND(T529*W529,'Start-Options'!$B$38)),IF(T534=531,MROUND(U539*0.75,'Start-Options'!$B$38),MROUND(U539*0.75,'Start-Options'!$B$38))))</f>
        <v>125</v>
      </c>
      <c r="D554" s="241"/>
      <c r="E554" s="242">
        <v>5.0</v>
      </c>
      <c r="F554" s="219"/>
      <c r="G554" s="219"/>
      <c r="H554" s="191"/>
      <c r="I554" s="27"/>
      <c r="J554" s="189"/>
      <c r="K554" s="189"/>
      <c r="L554" s="190">
        <f>IF(S524="Accessory Only","",IF(S524="Boring But Big",IF(X529="","",MROUND(T529*X529,'Start-Options'!$B$38)),MROUND(U539*0.5,'Start-Options'!$B$38)))</f>
        <v>82.5</v>
      </c>
      <c r="M554" s="27"/>
      <c r="N554" s="78">
        <f>IF(S524="Accessory Only","",IF(S524="Boring But Big",10,5))</f>
        <v>10</v>
      </c>
      <c r="O554" s="220"/>
      <c r="P554" s="220"/>
      <c r="Q554" s="222"/>
      <c r="R554" s="27"/>
      <c r="S554" s="27"/>
      <c r="T554" s="27"/>
      <c r="U554" s="27"/>
      <c r="V554" s="27"/>
      <c r="W554" s="27"/>
      <c r="X554" s="27"/>
      <c r="Y554" s="27"/>
      <c r="Z554" s="27"/>
      <c r="AA554" s="27"/>
    </row>
    <row r="555" ht="12.75" customHeight="1">
      <c r="A555" s="188"/>
      <c r="B555" s="189"/>
      <c r="C555" s="190">
        <f>IF(S524="Accessory Only","",IF(S524="Boring But Big",IF(W529="","",MROUND(T529*W529,'Start-Options'!$B$38)),IF(T534=531,MROUND(U539*0.85,'Start-Options'!$B$38),MROUND(U539*0.85,'Start-Options'!$B$38))))</f>
        <v>125</v>
      </c>
      <c r="D555" s="241"/>
      <c r="E555" s="242">
        <v>5.0</v>
      </c>
      <c r="F555" s="219"/>
      <c r="G555" s="219"/>
      <c r="H555" s="191"/>
      <c r="I555" s="27"/>
      <c r="J555" s="189"/>
      <c r="K555" s="189"/>
      <c r="L555" s="190">
        <f>IF(S524="Accessory Only","",IF(S524="Boring But Big",IF(X529="","",MROUND(T529*X529,'Start-Options'!$B$38)),MROUND(U539*0.6,'Start-Options'!$B$38)))</f>
        <v>82.5</v>
      </c>
      <c r="M555" s="27"/>
      <c r="N555" s="78">
        <f>IF(S524="Accessory Only","",IF(S524="Boring But Big",10,5))</f>
        <v>10</v>
      </c>
      <c r="O555" s="220"/>
      <c r="P555" s="220"/>
      <c r="Q555" s="222"/>
      <c r="R555" s="27"/>
      <c r="S555" s="27"/>
      <c r="T555" s="27"/>
      <c r="U555" s="27"/>
      <c r="V555" s="27"/>
      <c r="W555" s="27"/>
      <c r="X555" s="27"/>
      <c r="Y555" s="27"/>
      <c r="Z555" s="27"/>
      <c r="AA555" s="27"/>
    </row>
    <row r="556" ht="12.75" customHeight="1">
      <c r="A556" s="188"/>
      <c r="B556" s="189"/>
      <c r="C556" s="27">
        <f>IF(S524="Boring But Big",IF(W529="","",MROUND(T529*W529,'Start-Options'!$B$38)),"")</f>
        <v>125</v>
      </c>
      <c r="D556" s="241"/>
      <c r="E556" s="242">
        <v>5.0</v>
      </c>
      <c r="F556" s="219"/>
      <c r="G556" s="219"/>
      <c r="H556" s="191"/>
      <c r="I556" s="27"/>
      <c r="J556" s="189"/>
      <c r="K556" s="189"/>
      <c r="L556" s="27">
        <f>IF(S524="Boring But Big",IF(X529="","",MROUND(T529*X529,'Start-Options'!$B$38)),"")</f>
        <v>82.5</v>
      </c>
      <c r="M556" s="27"/>
      <c r="N556" s="78">
        <f>IF(S524="Boring But Big",10,"")</f>
        <v>10</v>
      </c>
      <c r="O556" s="219"/>
      <c r="P556" s="219"/>
      <c r="Q556" s="201"/>
      <c r="R556" s="27"/>
      <c r="S556" s="27"/>
      <c r="T556" s="27"/>
      <c r="U556" s="27"/>
      <c r="V556" s="27"/>
      <c r="W556" s="27"/>
      <c r="X556" s="27"/>
      <c r="Y556" s="27"/>
      <c r="Z556" s="27"/>
      <c r="AA556" s="27"/>
    </row>
    <row r="557" ht="12.75" customHeight="1">
      <c r="A557" s="188"/>
      <c r="B557" s="195"/>
      <c r="C557" s="27">
        <f>IF(S524="Boring But Big",IF(W529="","",MROUND(T529*W529,'Start-Options'!$B$38)),"")</f>
        <v>125</v>
      </c>
      <c r="D557" s="241"/>
      <c r="E557" s="242">
        <v>5.0</v>
      </c>
      <c r="F557" s="154"/>
      <c r="G557" s="154"/>
      <c r="H557" s="155"/>
      <c r="I557" s="27"/>
      <c r="J557" s="189"/>
      <c r="K557" s="195"/>
      <c r="L557" s="27">
        <f>IF(S524="Boring But Big",IF(X529="","",MROUND(T529*X529,'Start-Options'!$B$38)),"")</f>
        <v>82.5</v>
      </c>
      <c r="M557" s="27"/>
      <c r="N557" s="78">
        <f>IF(S524="Boring But Big",10,"")</f>
        <v>10</v>
      </c>
      <c r="O557" s="154"/>
      <c r="P557" s="154"/>
      <c r="Q557" s="206"/>
      <c r="R557" s="27"/>
      <c r="S557" s="27"/>
      <c r="T557" s="27"/>
      <c r="U557" s="27"/>
      <c r="V557" s="27"/>
      <c r="W557" s="27"/>
      <c r="X557" s="27"/>
      <c r="Y557" s="27"/>
      <c r="Z557" s="27"/>
      <c r="AA557" s="27"/>
    </row>
    <row r="558" ht="12.75" customHeight="1">
      <c r="A558" s="234" t="s">
        <v>48</v>
      </c>
      <c r="B558" s="197" t="str">
        <f>IF(S524="Accessory Only","",IF(S524="Boring But Big",'Start-Options'!$B$6,T540))</f>
        <v>Bench</v>
      </c>
      <c r="C558" s="198">
        <f>IF(S524="Accessory Only","",IF(S524="Boring But Big",IF(W530="","",MROUND(T530*W530,'Start-Options'!$B$38)),IF(T534=531,MROUND(U540*0.65,'Start-Options'!$B$38),MROUND(U540*0.65,'Start-Options'!$B$38))))</f>
        <v>72.5</v>
      </c>
      <c r="D558" s="243"/>
      <c r="E558" s="244">
        <v>5.0</v>
      </c>
      <c r="F558" s="185"/>
      <c r="G558" s="185"/>
      <c r="H558" s="200"/>
      <c r="I558" s="27"/>
      <c r="J558" s="252" t="s">
        <v>48</v>
      </c>
      <c r="K558" s="197" t="str">
        <f>IF(S524="Accessory Only","",IF(S524="Boring But Big",'Start-Options'!$B$6,T540))</f>
        <v>Bench</v>
      </c>
      <c r="L558" s="198">
        <f>IF(S524="Accessory Only","",IF(S524="Boring But Big",IF(X530="","",MROUND(T530*X530,'Start-Options'!$B$38)),MROUND(U540*0.4,'Start-Options'!$B$38)))</f>
        <v>50</v>
      </c>
      <c r="M558" s="198"/>
      <c r="N558" s="199">
        <f>IF(S524="Accessory Only","",IF(S524="Boring But Big",10,5))</f>
        <v>10</v>
      </c>
      <c r="O558" s="185"/>
      <c r="P558" s="185"/>
      <c r="Q558" s="187"/>
      <c r="R558" s="27"/>
      <c r="S558" s="27"/>
      <c r="T558" s="27"/>
      <c r="U558" s="27"/>
      <c r="V558" s="27"/>
      <c r="W558" s="27"/>
      <c r="X558" s="27"/>
      <c r="Y558" s="27"/>
      <c r="Z558" s="27"/>
      <c r="AA558" s="27"/>
    </row>
    <row r="559" ht="12.75" customHeight="1">
      <c r="A559" s="188"/>
      <c r="B559" s="189"/>
      <c r="C559" s="190">
        <f>IF(S524="Accessory Only","",IF(S524="Boring But Big",IF(W530="","",MROUND(T530*W530,'Start-Options'!$B$38)),IF(T534=531,MROUND(U540*0.75,'Start-Options'!$B$38),MROUND(U540*0.75,'Start-Options'!$B$38))))</f>
        <v>72.5</v>
      </c>
      <c r="D559" s="241"/>
      <c r="E559" s="242">
        <v>5.0</v>
      </c>
      <c r="F559" s="219"/>
      <c r="G559" s="219"/>
      <c r="H559" s="191"/>
      <c r="I559" s="27"/>
      <c r="J559" s="189"/>
      <c r="K559" s="189"/>
      <c r="L559" s="190">
        <f>IF(S524="Accessory Only","",IF(S524="Boring But Big",IF(X530="","",MROUND(T530*X530,'Start-Options'!$B$38)),MROUND(U540*0.5,'Start-Options'!$B$38)))</f>
        <v>50</v>
      </c>
      <c r="M559" s="27"/>
      <c r="N559" s="78">
        <f>IF(S524="Accessory Only","",IF(S524="Boring But Big",10,5))</f>
        <v>10</v>
      </c>
      <c r="O559" s="220"/>
      <c r="P559" s="220"/>
      <c r="Q559" s="222"/>
      <c r="R559" s="27"/>
      <c r="S559" s="27"/>
      <c r="T559" s="27"/>
      <c r="U559" s="27"/>
      <c r="V559" s="27"/>
      <c r="W559" s="27"/>
      <c r="X559" s="27"/>
      <c r="Y559" s="27"/>
      <c r="Z559" s="27"/>
      <c r="AA559" s="27"/>
    </row>
    <row r="560" ht="12.75" customHeight="1">
      <c r="A560" s="188"/>
      <c r="B560" s="189"/>
      <c r="C560" s="190">
        <f>IF(S524="Accessory Only","",IF(S524="Boring But Big",IF(W530="","",MROUND(T530*W530,'Start-Options'!$B$38)),IF(T534=531,MROUND(U540*0.85,'Start-Options'!$B$38),MROUND(U540*0.85,'Start-Options'!$B$38))))</f>
        <v>72.5</v>
      </c>
      <c r="D560" s="241"/>
      <c r="E560" s="242">
        <v>5.0</v>
      </c>
      <c r="F560" s="219"/>
      <c r="G560" s="219"/>
      <c r="H560" s="191"/>
      <c r="I560" s="27"/>
      <c r="J560" s="189"/>
      <c r="K560" s="189"/>
      <c r="L560" s="190">
        <f>IF(S524="Accessory Only","",IF(S524="Boring But Big",IF(X530="","",MROUND(T530*X530,'Start-Options'!$B$38)),MROUND(U540*0.6,'Start-Options'!$B$38)))</f>
        <v>50</v>
      </c>
      <c r="M560" s="27"/>
      <c r="N560" s="78">
        <f>IF(S524="Accessory Only","",IF(S524="Boring But Big",10,5))</f>
        <v>10</v>
      </c>
      <c r="O560" s="220"/>
      <c r="P560" s="220"/>
      <c r="Q560" s="222"/>
      <c r="R560" s="27"/>
      <c r="S560" s="27"/>
      <c r="T560" s="27"/>
      <c r="U560" s="27"/>
      <c r="V560" s="27"/>
      <c r="W560" s="27"/>
      <c r="X560" s="27"/>
      <c r="Y560" s="27"/>
      <c r="Z560" s="27"/>
      <c r="AA560" s="27"/>
    </row>
    <row r="561" ht="12.75" customHeight="1">
      <c r="A561" s="188"/>
      <c r="B561" s="189"/>
      <c r="C561" s="27">
        <f>IF(S524="Boring But Big",IF(W530="","",MROUND(T530*W530,'Start-Options'!$B$38)),"")</f>
        <v>72.5</v>
      </c>
      <c r="D561" s="241"/>
      <c r="E561" s="242">
        <v>5.0</v>
      </c>
      <c r="F561" s="219"/>
      <c r="G561" s="219"/>
      <c r="H561" s="191"/>
      <c r="I561" s="27"/>
      <c r="J561" s="189"/>
      <c r="K561" s="189"/>
      <c r="L561" s="27">
        <f>IF(S524="Boring But Big",IF(X530="","",MROUND(T530*X530,'Start-Options'!$B$38)),"")</f>
        <v>50</v>
      </c>
      <c r="M561" s="27"/>
      <c r="N561" s="78">
        <f>IF(S524="Boring But Big",10,"")</f>
        <v>10</v>
      </c>
      <c r="O561" s="219"/>
      <c r="P561" s="219"/>
      <c r="Q561" s="201"/>
      <c r="R561" s="27"/>
      <c r="S561" s="27"/>
      <c r="T561" s="27"/>
      <c r="U561" s="27"/>
      <c r="V561" s="27"/>
      <c r="W561" s="27"/>
      <c r="X561" s="27"/>
      <c r="Y561" s="27"/>
      <c r="Z561" s="27"/>
      <c r="AA561" s="27"/>
    </row>
    <row r="562" ht="12.75" customHeight="1">
      <c r="A562" s="194"/>
      <c r="B562" s="195"/>
      <c r="C562" s="27">
        <f>IF(S524="Boring But Big",IF(W530="","",MROUND(T530*W530,'Start-Options'!$B$38)),"")</f>
        <v>72.5</v>
      </c>
      <c r="D562" s="241"/>
      <c r="E562" s="242">
        <v>5.0</v>
      </c>
      <c r="F562" s="154"/>
      <c r="G562" s="154"/>
      <c r="H562" s="155"/>
      <c r="I562" s="27"/>
      <c r="J562" s="195"/>
      <c r="K562" s="195"/>
      <c r="L562" s="27">
        <f>IF(S524="Boring But Big",IF(X530="","",MROUND(T530*X530,'Start-Options'!$B$38)),"")</f>
        <v>50</v>
      </c>
      <c r="M562" s="27"/>
      <c r="N562" s="78">
        <f>IF(S524="Boring But Big",10,"")</f>
        <v>10</v>
      </c>
      <c r="O562" s="154"/>
      <c r="P562" s="154"/>
      <c r="Q562" s="206"/>
      <c r="R562" s="27"/>
      <c r="S562" s="27"/>
      <c r="T562" s="27"/>
      <c r="U562" s="27"/>
      <c r="V562" s="27"/>
      <c r="W562" s="27"/>
      <c r="X562" s="27"/>
      <c r="Y562" s="27"/>
      <c r="Z562" s="27"/>
      <c r="AA562" s="27"/>
    </row>
    <row r="563" ht="12.75" customHeight="1">
      <c r="A563" s="234" t="s">
        <v>53</v>
      </c>
      <c r="B563" s="197" t="str">
        <f>IF(S524="Accessory Only","",IF(S524="Boring But Big",'Start-Options'!$B$7,T541))</f>
        <v>Squat</v>
      </c>
      <c r="C563" s="198">
        <f>IF(S524="Accessory Only","",IF(S524="Boring But Big",IF(W531="","",MROUND(T531*W531,'Start-Options'!$B$38)),IF(T534=531,MROUND(U541*0.65,'Start-Options'!$B$38),MROUND(U541*0.65,'Start-Options'!$B$38))))</f>
        <v>102.5</v>
      </c>
      <c r="D563" s="243"/>
      <c r="E563" s="244">
        <v>5.0</v>
      </c>
      <c r="F563" s="185"/>
      <c r="G563" s="185"/>
      <c r="H563" s="200"/>
      <c r="I563" s="27"/>
      <c r="J563" s="252" t="s">
        <v>53</v>
      </c>
      <c r="K563" s="197" t="str">
        <f>IF(S524="Accessory Only","",IF(S524="Boring But Big",'Start-Options'!$B$7,T541))</f>
        <v>Squat</v>
      </c>
      <c r="L563" s="198">
        <f>IF(S524="Accessory Only","",IF(S524="Boring But Big",IF(X531="","",MROUND(T531*X531,'Start-Options'!$B$38)),MROUND(U541*0.4,'Start-Options'!$B$38)))</f>
        <v>67.5</v>
      </c>
      <c r="M563" s="198"/>
      <c r="N563" s="199">
        <f>IF(S524="Accessory Only","",IF(S524="Boring But Big",10,5))</f>
        <v>10</v>
      </c>
      <c r="O563" s="185"/>
      <c r="P563" s="185"/>
      <c r="Q563" s="187"/>
      <c r="R563" s="27"/>
      <c r="S563" s="27"/>
      <c r="T563" s="27"/>
      <c r="U563" s="27"/>
      <c r="V563" s="27"/>
      <c r="W563" s="27"/>
      <c r="X563" s="27"/>
      <c r="Y563" s="27"/>
      <c r="Z563" s="27"/>
      <c r="AA563" s="27"/>
    </row>
    <row r="564" ht="12.75" customHeight="1">
      <c r="A564" s="188"/>
      <c r="B564" s="189"/>
      <c r="C564" s="190">
        <f>IF(S524="Accessory Only","",IF(S524="Boring But Big",IF(W531="","",MROUND(T531*W531,'Start-Options'!$B$38)),IF(T534=531,MROUND(U541*0.75,'Start-Options'!$B$38),MROUND(U541*0.75,'Start-Options'!$B$38))))</f>
        <v>102.5</v>
      </c>
      <c r="D564" s="241"/>
      <c r="E564" s="242">
        <v>5.0</v>
      </c>
      <c r="F564" s="219"/>
      <c r="G564" s="219"/>
      <c r="H564" s="191"/>
      <c r="I564" s="27"/>
      <c r="J564" s="189"/>
      <c r="K564" s="189"/>
      <c r="L564" s="190">
        <f>IF(S524="Accessory Only","",IF(S524="Boring But Big",IF(X531="","",MROUND(T531*X531,'Start-Options'!$B$38)),MROUND(U541*0.5,'Start-Options'!$B$38)))</f>
        <v>67.5</v>
      </c>
      <c r="M564" s="27"/>
      <c r="N564" s="78">
        <f>IF(S524="Accessory Only","",IF(S524="Boring But Big",10,5))</f>
        <v>10</v>
      </c>
      <c r="O564" s="220"/>
      <c r="P564" s="220"/>
      <c r="Q564" s="222"/>
      <c r="R564" s="27"/>
      <c r="S564" s="27"/>
      <c r="T564" s="27"/>
      <c r="U564" s="27"/>
      <c r="V564" s="27"/>
      <c r="W564" s="27"/>
      <c r="X564" s="27"/>
      <c r="Y564" s="27"/>
      <c r="Z564" s="27"/>
      <c r="AA564" s="27"/>
    </row>
    <row r="565" ht="12.75" customHeight="1">
      <c r="A565" s="188"/>
      <c r="B565" s="189"/>
      <c r="C565" s="190">
        <f>IF(S524="Accessory Only","",IF(S524="Boring But Big",IF(W531="","",MROUND(T531*W531,'Start-Options'!$B$38)),IF(T534=531,MROUND(U541*0.85,'Start-Options'!$B$38),MROUND(U541*0.85,'Start-Options'!$B$38))))</f>
        <v>102.5</v>
      </c>
      <c r="D565" s="241"/>
      <c r="E565" s="242">
        <v>5.0</v>
      </c>
      <c r="F565" s="219"/>
      <c r="G565" s="219"/>
      <c r="H565" s="191"/>
      <c r="I565" s="27"/>
      <c r="J565" s="189"/>
      <c r="K565" s="189"/>
      <c r="L565" s="190">
        <f>IF(S524="Accessory Only","",IF(S524="Boring But Big",IF(X531="","",MROUND(T531*X531,'Start-Options'!$B$38)),MROUND(U541*0.6,'Start-Options'!$B$38)))</f>
        <v>67.5</v>
      </c>
      <c r="M565" s="27"/>
      <c r="N565" s="78">
        <f>IF(S524="Accessory Only","",IF(S524="Boring But Big",10,5))</f>
        <v>10</v>
      </c>
      <c r="O565" s="220"/>
      <c r="P565" s="220"/>
      <c r="Q565" s="222"/>
      <c r="R565" s="27"/>
      <c r="S565" s="27"/>
      <c r="T565" s="27"/>
      <c r="U565" s="27"/>
      <c r="V565" s="27"/>
      <c r="W565" s="27"/>
      <c r="X565" s="27"/>
      <c r="Y565" s="27"/>
      <c r="Z565" s="27"/>
      <c r="AA565" s="27"/>
    </row>
    <row r="566" ht="12.75" customHeight="1">
      <c r="A566" s="188"/>
      <c r="B566" s="189"/>
      <c r="C566" s="27">
        <f>IF(S524="Boring But Big",IF(W531="","",MROUND(T531*W531,'Start-Options'!$B$38)),"")</f>
        <v>102.5</v>
      </c>
      <c r="D566" s="241"/>
      <c r="E566" s="242">
        <v>5.0</v>
      </c>
      <c r="F566" s="219"/>
      <c r="G566" s="219"/>
      <c r="H566" s="147"/>
      <c r="I566" s="27"/>
      <c r="J566" s="189"/>
      <c r="K566" s="189"/>
      <c r="L566" s="27">
        <f>IF(S524="Boring But Big",IF(X531="","",MROUND(T531*X531,'Start-Options'!$B$38)),"")</f>
        <v>67.5</v>
      </c>
      <c r="M566" s="27"/>
      <c r="N566" s="78">
        <f>IF(S524="Boring But Big",10,"")</f>
        <v>10</v>
      </c>
      <c r="O566" s="151"/>
      <c r="P566" s="219"/>
      <c r="Q566" s="224"/>
      <c r="R566" s="27"/>
      <c r="S566" s="27"/>
      <c r="T566" s="27"/>
      <c r="U566" s="27"/>
      <c r="V566" s="27"/>
      <c r="W566" s="27"/>
      <c r="X566" s="27"/>
      <c r="Y566" s="27"/>
      <c r="Z566" s="27"/>
      <c r="AA566" s="27"/>
    </row>
    <row r="567" ht="13.5" customHeight="1">
      <c r="A567" s="176"/>
      <c r="B567" s="225"/>
      <c r="C567" s="226">
        <f>IF(S524="Boring But Big",IF(W531="","",MROUND(T531*W531,'Start-Options'!$B$38)),"")</f>
        <v>102.5</v>
      </c>
      <c r="D567" s="247"/>
      <c r="E567" s="248">
        <v>5.0</v>
      </c>
      <c r="F567" s="228"/>
      <c r="G567" s="228"/>
      <c r="H567" s="229"/>
      <c r="I567" s="158"/>
      <c r="J567" s="225"/>
      <c r="K567" s="225"/>
      <c r="L567" s="226">
        <f>IF(S524="Boring But Big",IF(X531="","",MROUND(T531*X531,'Start-Options'!$B$38)),"")</f>
        <v>67.5</v>
      </c>
      <c r="M567" s="158"/>
      <c r="N567" s="227">
        <f>IF(S524="Boring But Big",10,"")</f>
        <v>10</v>
      </c>
      <c r="O567" s="229"/>
      <c r="P567" s="228"/>
      <c r="Q567" s="230"/>
      <c r="R567" s="27"/>
      <c r="S567" s="27"/>
      <c r="T567" s="27"/>
      <c r="U567" s="27"/>
      <c r="V567" s="27"/>
      <c r="W567" s="27"/>
      <c r="X567" s="27"/>
      <c r="Y567" s="27"/>
      <c r="Z567" s="27"/>
      <c r="AA567" s="27"/>
    </row>
    <row r="568" ht="12.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ht="21.0" customHeight="1">
      <c r="A569" s="168"/>
      <c r="B569" s="27"/>
      <c r="C569" s="27"/>
      <c r="D569" s="27"/>
      <c r="E569" s="27"/>
      <c r="F569" s="27"/>
      <c r="G569" s="27"/>
      <c r="H569" s="27"/>
      <c r="I569" s="169" t="s">
        <v>166</v>
      </c>
      <c r="J569" s="27"/>
      <c r="K569" s="27"/>
      <c r="L569" s="27"/>
      <c r="M569" s="27"/>
      <c r="N569" s="27"/>
      <c r="O569" s="27"/>
      <c r="P569" s="27"/>
      <c r="Q569" s="27"/>
      <c r="R569" s="27"/>
      <c r="S569" s="27"/>
      <c r="T569" s="27"/>
      <c r="U569" s="27"/>
      <c r="V569" s="27"/>
      <c r="W569" s="27"/>
      <c r="X569" s="27"/>
      <c r="Y569" s="27"/>
      <c r="Z569" s="27"/>
      <c r="AA569" s="27"/>
    </row>
    <row r="570" ht="12.75" customHeight="1">
      <c r="A570" s="170" t="s">
        <v>289</v>
      </c>
      <c r="B570" s="171" t="s">
        <v>177</v>
      </c>
      <c r="C570" s="172"/>
      <c r="D570" s="172"/>
      <c r="E570" s="173"/>
      <c r="F570" s="171" t="s">
        <v>178</v>
      </c>
      <c r="G570" s="172"/>
      <c r="H570" s="173"/>
      <c r="I570" s="91"/>
      <c r="J570" s="174" t="s">
        <v>290</v>
      </c>
      <c r="K570" s="171" t="s">
        <v>177</v>
      </c>
      <c r="L570" s="172"/>
      <c r="M570" s="172"/>
      <c r="N570" s="173"/>
      <c r="O570" s="171" t="s">
        <v>178</v>
      </c>
      <c r="P570" s="172"/>
      <c r="Q570" s="94"/>
      <c r="R570" s="27"/>
      <c r="S570" s="70" t="s">
        <v>180</v>
      </c>
      <c r="T570" s="175"/>
      <c r="U570" s="71"/>
      <c r="V570" s="27"/>
      <c r="W570" s="27"/>
      <c r="X570" s="27"/>
      <c r="Y570" s="27"/>
      <c r="Z570" s="27"/>
      <c r="AA570" s="27"/>
    </row>
    <row r="571" ht="13.5" customHeight="1">
      <c r="A571" s="176"/>
      <c r="B571" s="177" t="s">
        <v>181</v>
      </c>
      <c r="C571" s="178" t="s">
        <v>26</v>
      </c>
      <c r="D571" s="178"/>
      <c r="E571" s="178" t="s">
        <v>27</v>
      </c>
      <c r="F571" s="178" t="s">
        <v>182</v>
      </c>
      <c r="G571" s="178" t="s">
        <v>183</v>
      </c>
      <c r="H571" s="179" t="s">
        <v>26</v>
      </c>
      <c r="I571" s="27"/>
      <c r="J571" s="180"/>
      <c r="K571" s="177" t="s">
        <v>181</v>
      </c>
      <c r="L571" s="178" t="s">
        <v>26</v>
      </c>
      <c r="M571" s="178"/>
      <c r="N571" s="178" t="s">
        <v>27</v>
      </c>
      <c r="O571" s="178" t="s">
        <v>182</v>
      </c>
      <c r="P571" s="179" t="s">
        <v>183</v>
      </c>
      <c r="Q571" s="181" t="s">
        <v>26</v>
      </c>
      <c r="R571" s="27"/>
      <c r="S571" s="182" t="s">
        <v>184</v>
      </c>
      <c r="T571" s="41"/>
      <c r="U571" s="42"/>
      <c r="V571" s="27"/>
      <c r="W571" s="27"/>
      <c r="X571" s="27"/>
      <c r="Y571" s="27"/>
      <c r="Z571" s="27"/>
      <c r="AA571" s="27"/>
    </row>
    <row r="572" ht="12.75" customHeight="1">
      <c r="A572" s="233" t="s">
        <v>36</v>
      </c>
      <c r="B572" s="184" t="str">
        <f>IF(S571="Accessory Only","",IF(S571="Boring But Big",'Start-Options'!$B$4,T585))</f>
        <v>Military</v>
      </c>
      <c r="C572" s="27">
        <f>IF(S571="Accessory Only","",IF(S571="Boring But Big",IF(U575="","",MROUND(T575*U575,'Start-Options'!$B$38)),IF(T581=531,MROUND(U585*0.5,'Start-Options'!$B$38),MROUND(U585*0.6,'Start-Options'!$B$38))))</f>
        <v>52.5</v>
      </c>
      <c r="D572" s="241"/>
      <c r="E572" s="244">
        <v>5.0</v>
      </c>
      <c r="F572" s="220"/>
      <c r="G572" s="220"/>
      <c r="H572" s="186"/>
      <c r="I572" s="77"/>
      <c r="J572" s="249" t="s">
        <v>36</v>
      </c>
      <c r="K572" s="184" t="str">
        <f>IF(S571="Accessory Only","",IF(S571="Boring But Big",'Start-Options'!$B$4,T585))</f>
        <v>Military</v>
      </c>
      <c r="L572" s="27">
        <f>IF(S571="Accessory Only","",IF(S571="Boring But Big",IF(V575="","",MROUND(T575*V575,'Start-Options'!$B$38)),IF(T581=531,MROUND(U585*0.6,'Start-Options'!$B$38),MROUND(U585*0.5,'Start-Options'!$B$38))))</f>
        <v>55</v>
      </c>
      <c r="M572" s="241"/>
      <c r="N572" s="242">
        <v>8.0</v>
      </c>
      <c r="O572" s="220"/>
      <c r="P572" s="220"/>
      <c r="Q572" s="222"/>
      <c r="R572" s="27"/>
      <c r="S572" s="27"/>
      <c r="T572" s="27"/>
      <c r="U572" s="27"/>
      <c r="V572" s="27"/>
      <c r="W572" s="27"/>
      <c r="X572" s="27"/>
      <c r="Y572" s="27"/>
      <c r="Z572" s="27"/>
      <c r="AA572" s="27"/>
    </row>
    <row r="573" ht="12.75" customHeight="1">
      <c r="A573" s="188"/>
      <c r="B573" s="189"/>
      <c r="C573" s="190">
        <f>IF(S571="Accessory Only","",IF(S571="Boring But Big",IF(U575="","",MROUND(T575*U575,'Start-Options'!$B$38)),IF(T581=531,MROUND(U585*0.6,'Start-Options'!$B$38),MROUND(U585*0.7,'Start-Options'!$B$38))))</f>
        <v>52.5</v>
      </c>
      <c r="D573" s="241"/>
      <c r="E573" s="242">
        <v>5.0</v>
      </c>
      <c r="F573" s="219"/>
      <c r="G573" s="219"/>
      <c r="H573" s="191"/>
      <c r="I573" s="27"/>
      <c r="J573" s="189"/>
      <c r="K573" s="189"/>
      <c r="L573" s="190">
        <f>IF(S571="Accessory Only","",IF(S571="Boring But Big",IF(V575="","",MROUND(T575*V575,'Start-Options'!$B$38)),IF(T581=531,MROUND(U585*0.7,'Start-Options'!$B$38),MROUND(U585*0.6,'Start-Options'!$B$38))))</f>
        <v>55</v>
      </c>
      <c r="M573" s="241"/>
      <c r="N573" s="242">
        <v>8.0</v>
      </c>
      <c r="O573" s="219"/>
      <c r="P573" s="219"/>
      <c r="Q573" s="201"/>
      <c r="R573" s="27"/>
      <c r="S573" s="70" t="s">
        <v>184</v>
      </c>
      <c r="T573" s="175"/>
      <c r="U573" s="175"/>
      <c r="V573" s="175"/>
      <c r="W573" s="175"/>
      <c r="X573" s="71"/>
      <c r="Y573" s="27"/>
      <c r="Z573" s="27"/>
      <c r="AA573" s="27"/>
    </row>
    <row r="574" ht="12.75" customHeight="1">
      <c r="A574" s="188"/>
      <c r="B574" s="189"/>
      <c r="C574" s="190">
        <f>IF(S571="Accessory Only","",IF(S571="Boring But Big",IF(U575="","",MROUND(T575*U575,'Start-Options'!$B$38)),IF(T581=531,MROUND(U585*0.7,'Start-Options'!$B$38),MROUND(U585*0.8,'Start-Options'!$B$38))))</f>
        <v>52.5</v>
      </c>
      <c r="D574" s="241"/>
      <c r="E574" s="242">
        <v>5.0</v>
      </c>
      <c r="F574" s="219"/>
      <c r="G574" s="219"/>
      <c r="H574" s="191"/>
      <c r="I574" s="27"/>
      <c r="J574" s="189"/>
      <c r="K574" s="189"/>
      <c r="L574" s="190">
        <f>IF(S571="Accessory Only","",IF(S571="Boring But Big",IF(V575="","",MROUND(T575*V575,'Start-Options'!$B$38)),IF(T581=531,MROUND(U585*0.8,'Start-Options'!$B$38),MROUND(U585*0.7,'Start-Options'!$B$38))))</f>
        <v>55</v>
      </c>
      <c r="M574" s="241"/>
      <c r="N574" s="242">
        <v>8.0</v>
      </c>
      <c r="O574" s="219"/>
      <c r="P574" s="219"/>
      <c r="Q574" s="201"/>
      <c r="R574" s="27"/>
      <c r="S574" s="25" t="s">
        <v>187</v>
      </c>
      <c r="T574" s="25" t="s">
        <v>28</v>
      </c>
      <c r="U574" s="25" t="s">
        <v>188</v>
      </c>
      <c r="V574" s="25" t="s">
        <v>189</v>
      </c>
      <c r="W574" s="192" t="s">
        <v>190</v>
      </c>
      <c r="X574" s="192" t="s">
        <v>191</v>
      </c>
      <c r="Y574" s="27"/>
      <c r="Z574" s="27"/>
      <c r="AA574" s="27"/>
    </row>
    <row r="575" ht="12.75" customHeight="1">
      <c r="A575" s="188"/>
      <c r="B575" s="189"/>
      <c r="C575" s="27">
        <f>IF(S571="Boring But Big",IF(U575="","",MROUND(T575*U575,'Start-Options'!$B$38)),"")</f>
        <v>52.5</v>
      </c>
      <c r="D575" s="241"/>
      <c r="E575" s="242">
        <v>5.0</v>
      </c>
      <c r="F575" s="219"/>
      <c r="G575" s="219"/>
      <c r="H575" s="191"/>
      <c r="I575" s="27"/>
      <c r="J575" s="189"/>
      <c r="K575" s="189"/>
      <c r="L575" s="27">
        <f>IF(S571="Boring But Big",IF(V575="","",MROUND(T575*V575,'Start-Options'!$B$38)),"")</f>
        <v>55</v>
      </c>
      <c r="M575" s="241"/>
      <c r="N575" s="242">
        <v>8.0</v>
      </c>
      <c r="O575" s="219"/>
      <c r="P575" s="219"/>
      <c r="Q575" s="201"/>
      <c r="R575" s="27"/>
      <c r="S575" s="25" t="s">
        <v>30</v>
      </c>
      <c r="T575" s="25">
        <f>'531'!Z205</f>
        <v>80</v>
      </c>
      <c r="U575" s="250">
        <v>0.65</v>
      </c>
      <c r="V575" s="250">
        <v>0.7</v>
      </c>
      <c r="W575" s="251">
        <v>0.75</v>
      </c>
      <c r="X575" s="251">
        <v>0.5</v>
      </c>
      <c r="Y575" s="27"/>
      <c r="Z575" s="27"/>
      <c r="AA575" s="27"/>
    </row>
    <row r="576" ht="12.75" customHeight="1">
      <c r="A576" s="194"/>
      <c r="B576" s="195"/>
      <c r="C576" s="27">
        <f>IF(S571="Boring But Big",IF(U575="","",MROUND(T575*U575,'Start-Options'!$B$38)),"")</f>
        <v>52.5</v>
      </c>
      <c r="D576" s="241"/>
      <c r="E576" s="242">
        <v>5.0</v>
      </c>
      <c r="F576" s="154"/>
      <c r="G576" s="154"/>
      <c r="H576" s="155"/>
      <c r="I576" s="27"/>
      <c r="J576" s="195"/>
      <c r="K576" s="195"/>
      <c r="L576" s="27">
        <f>IF(S571="Boring But Big",IF(V575="","",MROUND(T575*V575,'Start-Options'!$B$38)),"")</f>
        <v>55</v>
      </c>
      <c r="M576" s="241"/>
      <c r="N576" s="242">
        <v>8.0</v>
      </c>
      <c r="O576" s="154"/>
      <c r="P576" s="154"/>
      <c r="Q576" s="206"/>
      <c r="R576" s="27"/>
      <c r="S576" s="25" t="s">
        <v>31</v>
      </c>
      <c r="T576" s="25">
        <f>'531'!Z206</f>
        <v>170</v>
      </c>
      <c r="U576" s="250">
        <v>0.65</v>
      </c>
      <c r="V576" s="250">
        <v>0.7</v>
      </c>
      <c r="W576" s="251">
        <v>0.75</v>
      </c>
      <c r="X576" s="250">
        <v>0.5</v>
      </c>
      <c r="Y576" s="27"/>
      <c r="Z576" s="27"/>
      <c r="AA576" s="27"/>
    </row>
    <row r="577" ht="12.75" customHeight="1">
      <c r="A577" s="234" t="s">
        <v>262</v>
      </c>
      <c r="B577" s="197" t="str">
        <f>IF(S571="Accessory Only","",IF(S571="Boring But Big",'Start-Options'!$B$5,T586))</f>
        <v>Deadlift</v>
      </c>
      <c r="C577" s="198">
        <f>IF(S571="Accessory Only","",IF(S571="Boring But Big",IF(U576="","",MROUND(T576*U576,'Start-Options'!$B$38)),IF(T581=531,MROUND(U586*0.5,'Start-Options'!$B$38),MROUND(U586*0.6,'Start-Options'!$B$38))))</f>
        <v>110</v>
      </c>
      <c r="D577" s="243"/>
      <c r="E577" s="244">
        <v>5.0</v>
      </c>
      <c r="F577" s="185"/>
      <c r="G577" s="185"/>
      <c r="H577" s="200"/>
      <c r="I577" s="27"/>
      <c r="J577" s="252" t="s">
        <v>44</v>
      </c>
      <c r="K577" s="197" t="str">
        <f>IF(S571="Accessory Only","",IF(S571="Boring But Big",'Start-Options'!$B$5,T586))</f>
        <v>Deadlift</v>
      </c>
      <c r="L577" s="198">
        <f>IF(S571="Accessory Only","",IF(S571="Boring But Big",IF(V576="","",MROUND(T576*V576,'Start-Options'!$B$38)),IF(T581=531,MROUND(U586*0.6,'Start-Options'!$B$38),MROUND(U586*0.5,'Start-Options'!$B$38))))</f>
        <v>120</v>
      </c>
      <c r="M577" s="243"/>
      <c r="N577" s="244">
        <v>8.0</v>
      </c>
      <c r="O577" s="185"/>
      <c r="P577" s="185"/>
      <c r="Q577" s="187"/>
      <c r="R577" s="27"/>
      <c r="S577" s="25" t="s">
        <v>32</v>
      </c>
      <c r="T577" s="25">
        <f>'531'!Z207</f>
        <v>100</v>
      </c>
      <c r="U577" s="250">
        <v>0.65</v>
      </c>
      <c r="V577" s="250">
        <v>0.7</v>
      </c>
      <c r="W577" s="251">
        <v>0.75</v>
      </c>
      <c r="X577" s="193">
        <v>0.5</v>
      </c>
      <c r="Y577" s="27"/>
      <c r="Z577" s="27"/>
      <c r="AA577" s="27"/>
    </row>
    <row r="578" ht="12.75" customHeight="1">
      <c r="A578" s="188"/>
      <c r="B578" s="189"/>
      <c r="C578" s="190">
        <f>IF(S571="Accessory Only","",IF(S571="Boring But Big",IF(U576="","",MROUND(T576*U576,'Start-Options'!$B$38)),IF(T581=531,MROUND(U586*0.6,'Start-Options'!$B$38),MROUND(U586*0.7,'Start-Options'!$B$38))))</f>
        <v>110</v>
      </c>
      <c r="D578" s="241"/>
      <c r="E578" s="242">
        <v>5.0</v>
      </c>
      <c r="F578" s="219"/>
      <c r="G578" s="219"/>
      <c r="H578" s="191"/>
      <c r="I578" s="27"/>
      <c r="J578" s="189"/>
      <c r="K578" s="189"/>
      <c r="L578" s="190">
        <f>IF(S571="Accessory Only","",IF(S571="Boring But Big",IF(V576="","",MROUND(T576*V576,'Start-Options'!$B$38)),IF(T581=531,MROUND(U586*0.7,'Start-Options'!$B$38),MROUND(U586*0.6,'Start-Options'!$B$38))))</f>
        <v>120</v>
      </c>
      <c r="M578" s="241"/>
      <c r="N578" s="242">
        <v>8.0</v>
      </c>
      <c r="O578" s="219"/>
      <c r="P578" s="219"/>
      <c r="Q578" s="201"/>
      <c r="R578" s="27"/>
      <c r="S578" s="25" t="s">
        <v>194</v>
      </c>
      <c r="T578" s="25">
        <f>'531'!Z208</f>
        <v>140</v>
      </c>
      <c r="U578" s="250">
        <v>0.65</v>
      </c>
      <c r="V578" s="250">
        <v>0.7</v>
      </c>
      <c r="W578" s="251">
        <v>0.75</v>
      </c>
      <c r="X578" s="253">
        <v>0.5</v>
      </c>
      <c r="Y578" s="27"/>
      <c r="Z578" s="27"/>
      <c r="AA578" s="27"/>
    </row>
    <row r="579" ht="12.75" customHeight="1">
      <c r="A579" s="188"/>
      <c r="B579" s="189"/>
      <c r="C579" s="190">
        <f>IF(S571="Accessory Only","",IF(S571="Boring But Big",IF(U576="","",MROUND(T576*U576,'Start-Options'!$B$38)),IF(T581=531,MROUND(U586*0.7,'Start-Options'!$B$38),MROUND(U586*0.8,'Start-Options'!$B$38))))</f>
        <v>110</v>
      </c>
      <c r="D579" s="241"/>
      <c r="E579" s="242">
        <v>5.0</v>
      </c>
      <c r="F579" s="219"/>
      <c r="G579" s="219"/>
      <c r="H579" s="191"/>
      <c r="I579" s="27"/>
      <c r="J579" s="189"/>
      <c r="K579" s="189"/>
      <c r="L579" s="190">
        <f>IF(S571="Accessory Only","",IF(S571="Boring But Big",IF(V576="","",MROUND(T576*V576,'Start-Options'!$B$38)),IF(T581=531,MROUND(U586*0.8,'Start-Options'!$B$38),MROUND(U586*0.7,'Start-Options'!$B$38))))</f>
        <v>120</v>
      </c>
      <c r="M579" s="241"/>
      <c r="N579" s="242">
        <v>8.0</v>
      </c>
      <c r="O579" s="219"/>
      <c r="P579" s="219"/>
      <c r="Q579" s="201"/>
      <c r="R579" s="27"/>
      <c r="S579" s="27"/>
      <c r="T579" s="27"/>
      <c r="U579" s="27"/>
      <c r="V579" s="27"/>
      <c r="W579" s="27"/>
      <c r="X579" s="27"/>
      <c r="Y579" s="27"/>
      <c r="Z579" s="27"/>
      <c r="AA579" s="27"/>
    </row>
    <row r="580" ht="12.75" customHeight="1">
      <c r="A580" s="188"/>
      <c r="B580" s="189"/>
      <c r="C580" s="27">
        <f>IF(S571="Boring But Big",IF(U576="","",MROUND(T576*U576,'Start-Options'!$B$38)),"")</f>
        <v>110</v>
      </c>
      <c r="D580" s="241"/>
      <c r="E580" s="242">
        <v>5.0</v>
      </c>
      <c r="F580" s="219"/>
      <c r="G580" s="219"/>
      <c r="H580" s="191"/>
      <c r="I580" s="27"/>
      <c r="J580" s="189"/>
      <c r="K580" s="189"/>
      <c r="L580" s="27">
        <f>IF(S571="Boring But Big",IF(V576="","",MROUND(T576*V576,'Start-Options'!$B$38)),"")</f>
        <v>120</v>
      </c>
      <c r="M580" s="241"/>
      <c r="N580" s="242">
        <v>8.0</v>
      </c>
      <c r="O580" s="219"/>
      <c r="P580" s="219"/>
      <c r="Q580" s="201"/>
      <c r="R580" s="27"/>
      <c r="S580" s="70" t="s">
        <v>204</v>
      </c>
      <c r="T580" s="71"/>
      <c r="U580" s="27"/>
      <c r="V580" s="27"/>
      <c r="W580" s="27"/>
      <c r="X580" s="27"/>
      <c r="Y580" s="27"/>
      <c r="Z580" s="27"/>
      <c r="AA580" s="27"/>
    </row>
    <row r="581" ht="12.75" customHeight="1">
      <c r="A581" s="188"/>
      <c r="B581" s="195"/>
      <c r="C581" s="27">
        <f>IF(S571="Boring But Big",IF(U576="","",MROUND(T576*U576,'Start-Options'!$B$38)),"")</f>
        <v>110</v>
      </c>
      <c r="D581" s="241"/>
      <c r="E581" s="242">
        <v>5.0</v>
      </c>
      <c r="F581" s="154"/>
      <c r="G581" s="154"/>
      <c r="H581" s="155"/>
      <c r="I581" s="27"/>
      <c r="J581" s="189"/>
      <c r="K581" s="195"/>
      <c r="L581" s="27">
        <f>IF(S571="Boring But Big",IF(V576="","",MROUND(T576*V576,'Start-Options'!$B$38)),"")</f>
        <v>120</v>
      </c>
      <c r="M581" s="241"/>
      <c r="N581" s="242">
        <v>8.0</v>
      </c>
      <c r="O581" s="154"/>
      <c r="P581" s="154"/>
      <c r="Q581" s="206"/>
      <c r="R581" s="27"/>
      <c r="S581" s="25" t="s">
        <v>205</v>
      </c>
      <c r="T581" s="28">
        <v>531.0</v>
      </c>
      <c r="U581" s="27"/>
      <c r="V581" s="27"/>
      <c r="W581" s="27"/>
      <c r="X581" s="27"/>
      <c r="Y581" s="27"/>
      <c r="Z581" s="27"/>
      <c r="AA581" s="27"/>
    </row>
    <row r="582" ht="12.75" customHeight="1">
      <c r="A582" s="234" t="s">
        <v>48</v>
      </c>
      <c r="B582" s="197" t="str">
        <f>IF(S571="Accessory Only","",IF(S571="Boring But Big",'Start-Options'!$B$6,T587))</f>
        <v>Bench</v>
      </c>
      <c r="C582" s="198">
        <f>IF(S571="Accessory Only","",IF(S571="Boring But Big",IF(U577="","",MROUND(T577*U577,'Start-Options'!$B$38)),IF(T581=531,MROUND(U587*0.5,'Start-Options'!$B$38),MROUND(U587*0.6,'Start-Options'!$B$38))))</f>
        <v>65</v>
      </c>
      <c r="D582" s="243"/>
      <c r="E582" s="244">
        <v>5.0</v>
      </c>
      <c r="F582" s="185"/>
      <c r="G582" s="185"/>
      <c r="H582" s="200"/>
      <c r="I582" s="27"/>
      <c r="J582" s="252" t="s">
        <v>48</v>
      </c>
      <c r="K582" s="197" t="str">
        <f>IF(S571="Accessory Only","",IF(S571="Boring But Big",'Start-Options'!$B$6,T587))</f>
        <v>Bench</v>
      </c>
      <c r="L582" s="198">
        <f>IF(S571="Accessory Only","",IF(S571="Boring But Big",IF(V577="","",MROUND(T577*V577,'Start-Options'!$B$38)),IF(T581=531,MROUND(U587*0.6,'Start-Options'!$B$38),MROUND(U587*0.5,'Start-Options'!$B$38))))</f>
        <v>70</v>
      </c>
      <c r="M582" s="243"/>
      <c r="N582" s="244">
        <v>8.0</v>
      </c>
      <c r="O582" s="185"/>
      <c r="P582" s="185"/>
      <c r="Q582" s="187"/>
      <c r="R582" s="27"/>
      <c r="S582" s="27"/>
      <c r="T582" s="27"/>
      <c r="U582" s="27"/>
      <c r="V582" s="27"/>
      <c r="W582" s="27"/>
      <c r="X582" s="27"/>
      <c r="Y582" s="27"/>
      <c r="Z582" s="27"/>
      <c r="AA582" s="27"/>
    </row>
    <row r="583" ht="12.75" customHeight="1">
      <c r="A583" s="188"/>
      <c r="B583" s="189"/>
      <c r="C583" s="190">
        <f>IF(S571="Accessory Only","",IF(S571="Boring But Big",IF(U577="","",MROUND(T577*U577,'Start-Options'!$B$38)),IF(T581=531,MROUND(U587*0.6,'Start-Options'!$B$38),MROUND(U587*0.7,'Start-Options'!$B$38))))</f>
        <v>65</v>
      </c>
      <c r="D583" s="241"/>
      <c r="E583" s="242">
        <v>5.0</v>
      </c>
      <c r="F583" s="219"/>
      <c r="G583" s="219"/>
      <c r="H583" s="191"/>
      <c r="I583" s="27"/>
      <c r="J583" s="189"/>
      <c r="K583" s="189"/>
      <c r="L583" s="190">
        <f>IF(S571="Accessory Only","",IF(S571="Boring But Big",IF(V577="","",MROUND(T577*V577,'Start-Options'!$B$38)),IF(T581=531,MROUND(U587*0.7,'Start-Options'!$B$38),MROUND(U587*0.6,'Start-Options'!$B$38))))</f>
        <v>70</v>
      </c>
      <c r="M583" s="241"/>
      <c r="N583" s="242">
        <v>8.0</v>
      </c>
      <c r="O583" s="219"/>
      <c r="P583" s="219"/>
      <c r="Q583" s="201"/>
      <c r="R583" s="27"/>
      <c r="S583" s="70" t="s">
        <v>204</v>
      </c>
      <c r="T583" s="175"/>
      <c r="U583" s="71"/>
      <c r="V583" s="27"/>
      <c r="W583" s="27"/>
      <c r="X583" s="27"/>
      <c r="Y583" s="27"/>
      <c r="Z583" s="27"/>
      <c r="AA583" s="27"/>
    </row>
    <row r="584" ht="12.75" customHeight="1">
      <c r="A584" s="188"/>
      <c r="B584" s="189"/>
      <c r="C584" s="190">
        <f>IF(S571="Accessory Only","",IF(S571="Boring But Big",IF(U577="","",MROUND(T577*U577,'Start-Options'!$B$38)),IF(T581=531,MROUND(U587*0.7,'Start-Options'!$B$38),MROUND(U587*0.8,'Start-Options'!$B$38))))</f>
        <v>65</v>
      </c>
      <c r="D584" s="241"/>
      <c r="E584" s="242">
        <v>5.0</v>
      </c>
      <c r="F584" s="219"/>
      <c r="G584" s="219"/>
      <c r="H584" s="191"/>
      <c r="I584" s="27"/>
      <c r="J584" s="189"/>
      <c r="K584" s="189"/>
      <c r="L584" s="190">
        <f>IF(S571="Accessory Only","",IF(S571="Boring But Big",IF(V577="","",MROUND(T577*V577,'Start-Options'!$B$38)),IF(T581=531,MROUND(U587*0.8,'Start-Options'!$B$38),MROUND(U587*0.7,'Start-Options'!$B$38))))</f>
        <v>70</v>
      </c>
      <c r="M584" s="241"/>
      <c r="N584" s="242">
        <v>8.0</v>
      </c>
      <c r="O584" s="219"/>
      <c r="P584" s="219"/>
      <c r="Q584" s="201"/>
      <c r="R584" s="27"/>
      <c r="S584" s="25"/>
      <c r="T584" s="223" t="s">
        <v>182</v>
      </c>
      <c r="U584" s="223" t="s">
        <v>28</v>
      </c>
      <c r="V584" s="27"/>
      <c r="W584" s="27"/>
      <c r="X584" s="27"/>
      <c r="Y584" s="27"/>
      <c r="Z584" s="27"/>
      <c r="AA584" s="27"/>
    </row>
    <row r="585" ht="12.75" customHeight="1">
      <c r="A585" s="188"/>
      <c r="B585" s="189"/>
      <c r="C585" s="27">
        <f>IF(S571="Boring But Big",IF(U577="","",MROUND(T577*U577,'Start-Options'!$B$38)),"")</f>
        <v>65</v>
      </c>
      <c r="D585" s="241"/>
      <c r="E585" s="242">
        <v>5.0</v>
      </c>
      <c r="F585" s="219"/>
      <c r="G585" s="219"/>
      <c r="H585" s="207"/>
      <c r="I585" s="77"/>
      <c r="J585" s="189"/>
      <c r="K585" s="189"/>
      <c r="L585" s="27">
        <f>IF(S571="Boring But Big",IF(V577="","",MROUND(T577*V577,'Start-Options'!$B$38)),"")</f>
        <v>70</v>
      </c>
      <c r="M585" s="241"/>
      <c r="N585" s="242">
        <v>8.0</v>
      </c>
      <c r="O585" s="219"/>
      <c r="P585" s="219"/>
      <c r="Q585" s="201"/>
      <c r="R585" s="27"/>
      <c r="S585" s="77" t="s">
        <v>36</v>
      </c>
      <c r="T585" s="147" t="s">
        <v>208</v>
      </c>
      <c r="U585" s="147">
        <v>100.0</v>
      </c>
      <c r="V585" s="27"/>
      <c r="W585" s="27"/>
      <c r="X585" s="27"/>
      <c r="Y585" s="27"/>
      <c r="Z585" s="27"/>
      <c r="AA585" s="27"/>
    </row>
    <row r="586" ht="12.75" customHeight="1">
      <c r="A586" s="194"/>
      <c r="B586" s="195"/>
      <c r="C586" s="27">
        <f>IF(S571="Boring But Big",IF(U577="","",MROUND(T577*U577,'Start-Options'!$B$38)),"")</f>
        <v>65</v>
      </c>
      <c r="D586" s="241"/>
      <c r="E586" s="242">
        <v>5.0</v>
      </c>
      <c r="F586" s="154"/>
      <c r="G586" s="154"/>
      <c r="H586" s="155"/>
      <c r="I586" s="27"/>
      <c r="J586" s="195"/>
      <c r="K586" s="195"/>
      <c r="L586" s="27">
        <f>IF(S571="Boring But Big",IF(V577="","",MROUND(T577*V577,'Start-Options'!$B$38)),"")</f>
        <v>70</v>
      </c>
      <c r="M586" s="241"/>
      <c r="N586" s="242">
        <v>8.0</v>
      </c>
      <c r="O586" s="154"/>
      <c r="P586" s="154"/>
      <c r="Q586" s="206"/>
      <c r="R586" s="27"/>
      <c r="S586" s="25" t="s">
        <v>44</v>
      </c>
      <c r="T586" s="162" t="s">
        <v>210</v>
      </c>
      <c r="U586" s="162">
        <v>100.0</v>
      </c>
      <c r="V586" s="27"/>
      <c r="W586" s="27"/>
      <c r="X586" s="27"/>
      <c r="Y586" s="27"/>
      <c r="Z586" s="27"/>
      <c r="AA586" s="27"/>
    </row>
    <row r="587" ht="12.75" customHeight="1">
      <c r="A587" s="234" t="s">
        <v>53</v>
      </c>
      <c r="B587" s="197" t="str">
        <f>IF(S571="Accessory Only","",IF(S571="Boring But Big",'Start-Options'!$B$7,T588))</f>
        <v>Squat</v>
      </c>
      <c r="C587" s="198">
        <f>IF(S571="Accessory Only","",IF(S571="Boring But Big",IF(U578="","",MROUND(T578*U578,'Start-Options'!$B$38)),IF(T581=531,MROUND(U588*0.5,'Start-Options'!$B$38),MROUND(U588*0.6,'Start-Options'!$B$38))))</f>
        <v>90</v>
      </c>
      <c r="D587" s="243"/>
      <c r="E587" s="244">
        <v>5.0</v>
      </c>
      <c r="F587" s="185"/>
      <c r="G587" s="185"/>
      <c r="H587" s="200"/>
      <c r="I587" s="27"/>
      <c r="J587" s="252" t="s">
        <v>53</v>
      </c>
      <c r="K587" s="197" t="str">
        <f>IF(S571="Accessory Only","",IF(S571="Boring But Big",'Start-Options'!$B$7,T588))</f>
        <v>Squat</v>
      </c>
      <c r="L587" s="198">
        <f>IF(S571="Accessory Only","",IF(S571="Boring But Big",IF(V578="","",MROUND(T578*V578,'Start-Options'!$B$38)),IF(T581=531,MROUND(U588*0.6,'Start-Options'!$B$38),MROUND(U588*0.5,'Start-Options'!$B$38))))</f>
        <v>97.5</v>
      </c>
      <c r="M587" s="243"/>
      <c r="N587" s="244">
        <v>8.0</v>
      </c>
      <c r="O587" s="185"/>
      <c r="P587" s="185"/>
      <c r="Q587" s="187"/>
      <c r="R587" s="27"/>
      <c r="S587" s="25" t="s">
        <v>48</v>
      </c>
      <c r="T587" s="162" t="s">
        <v>212</v>
      </c>
      <c r="U587" s="162">
        <v>100.0</v>
      </c>
      <c r="V587" s="27"/>
      <c r="W587" s="27"/>
      <c r="X587" s="27"/>
      <c r="Y587" s="27"/>
      <c r="Z587" s="27"/>
      <c r="AA587" s="27"/>
    </row>
    <row r="588" ht="12.75" customHeight="1">
      <c r="A588" s="188"/>
      <c r="B588" s="189"/>
      <c r="C588" s="190">
        <f>IF(S571="Accessory Only","",IF(S571="Boring But Big",IF(U578="","",MROUND(T578*U578,'Start-Options'!$B$38)),IF(T581=531,MROUND(U588*0.6,'Start-Options'!$B$38),MROUND(U588*0.7,'Start-Options'!$B$38))))</f>
        <v>90</v>
      </c>
      <c r="D588" s="241"/>
      <c r="E588" s="242">
        <v>5.0</v>
      </c>
      <c r="F588" s="219"/>
      <c r="G588" s="219"/>
      <c r="H588" s="191"/>
      <c r="I588" s="27"/>
      <c r="J588" s="189"/>
      <c r="K588" s="189"/>
      <c r="L588" s="190">
        <f>IF(S571="Accessory Only","",IF(S571="Boring But Big",IF(V578="","",MROUND(T578*V578,'Start-Options'!$B$38)),IF(T581=531,MROUND(U588*0.7,'Start-Options'!$B$38),MROUND(U588*0.6,'Start-Options'!$B$38))))</f>
        <v>97.5</v>
      </c>
      <c r="M588" s="241"/>
      <c r="N588" s="242">
        <v>8.0</v>
      </c>
      <c r="O588" s="219"/>
      <c r="P588" s="219"/>
      <c r="Q588" s="201"/>
      <c r="R588" s="27"/>
      <c r="S588" s="82" t="s">
        <v>53</v>
      </c>
      <c r="T588" s="155" t="s">
        <v>224</v>
      </c>
      <c r="U588" s="155">
        <v>100.0</v>
      </c>
      <c r="V588" s="27"/>
      <c r="W588" s="27"/>
      <c r="X588" s="27"/>
      <c r="Y588" s="27"/>
      <c r="Z588" s="27"/>
      <c r="AA588" s="27"/>
    </row>
    <row r="589" ht="12.75" customHeight="1">
      <c r="A589" s="188"/>
      <c r="B589" s="189"/>
      <c r="C589" s="190">
        <f>IF(S571="Accessory Only","",IF(S571="Boring But Big",IF(U578="","",MROUND(T578*U578,'Start-Options'!$B$38)),IF(T581=531,MROUND(U588*0.7,'Start-Options'!$B$38),MROUND(U588*0.8,'Start-Options'!$B$38))))</f>
        <v>90</v>
      </c>
      <c r="D589" s="241"/>
      <c r="E589" s="242">
        <v>5.0</v>
      </c>
      <c r="F589" s="219"/>
      <c r="G589" s="219"/>
      <c r="H589" s="191"/>
      <c r="I589" s="27"/>
      <c r="J589" s="189"/>
      <c r="K589" s="189"/>
      <c r="L589" s="190">
        <f>IF(S571="Accessory Only","",IF(S571="Boring But Big",IF(V578="","",MROUND(T578*V578,'Start-Options'!$B$38)),IF(T581=531,MROUND(U588*0.8,'Start-Options'!$B$38),MROUND(U588*0.7,'Start-Options'!$B$38))))</f>
        <v>97.5</v>
      </c>
      <c r="M589" s="241"/>
      <c r="N589" s="242">
        <v>8.0</v>
      </c>
      <c r="O589" s="219"/>
      <c r="P589" s="219"/>
      <c r="Q589" s="201"/>
      <c r="R589" s="27"/>
      <c r="S589" s="27"/>
      <c r="T589" s="27"/>
      <c r="U589" s="27"/>
      <c r="V589" s="27"/>
      <c r="W589" s="27"/>
      <c r="X589" s="27"/>
      <c r="Y589" s="27"/>
      <c r="Z589" s="27"/>
      <c r="AA589" s="27"/>
    </row>
    <row r="590" ht="12.75" customHeight="1">
      <c r="A590" s="188"/>
      <c r="B590" s="189"/>
      <c r="C590" s="27">
        <f>IF(S571="Boring But Big",IF(U578="","",MROUND(T578*U578,'Start-Options'!$B$38)),"")</f>
        <v>90</v>
      </c>
      <c r="D590" s="241"/>
      <c r="E590" s="242">
        <v>5.0</v>
      </c>
      <c r="F590" s="219"/>
      <c r="G590" s="219"/>
      <c r="H590" s="191"/>
      <c r="I590" s="27"/>
      <c r="J590" s="189"/>
      <c r="K590" s="189"/>
      <c r="L590" s="27">
        <f>IF(S571="Boring But Big",IF(V578="","",MROUND(T578*V578,'Start-Options'!$B$38)),"")</f>
        <v>97.5</v>
      </c>
      <c r="M590" s="241"/>
      <c r="N590" s="242">
        <v>8.0</v>
      </c>
      <c r="O590" s="219"/>
      <c r="P590" s="219"/>
      <c r="Q590" s="201"/>
      <c r="R590" s="27"/>
      <c r="S590" s="27"/>
      <c r="T590" s="27"/>
      <c r="U590" s="27"/>
      <c r="V590" s="27"/>
      <c r="W590" s="27"/>
      <c r="X590" s="27"/>
      <c r="Y590" s="27"/>
      <c r="Z590" s="27"/>
      <c r="AA590" s="27"/>
    </row>
    <row r="591" ht="12.75" customHeight="1">
      <c r="A591" s="194"/>
      <c r="B591" s="195"/>
      <c r="C591" s="208">
        <f>IF(S571="Boring But Big",IF(U578="","",MROUND(T578*U578,'Start-Options'!$B$38)),"")</f>
        <v>90</v>
      </c>
      <c r="D591" s="241"/>
      <c r="E591" s="248">
        <v>5.0</v>
      </c>
      <c r="F591" s="154"/>
      <c r="G591" s="154"/>
      <c r="H591" s="155"/>
      <c r="I591" s="27"/>
      <c r="J591" s="195"/>
      <c r="K591" s="195"/>
      <c r="L591" s="208">
        <f>IF(S571="Boring But Big",IF(V578="","",MROUND(T578*V578,'Start-Options'!$B$38)),"")</f>
        <v>97.5</v>
      </c>
      <c r="M591" s="245"/>
      <c r="N591" s="246">
        <v>8.0</v>
      </c>
      <c r="O591" s="154"/>
      <c r="P591" s="154"/>
      <c r="Q591" s="206"/>
      <c r="R591" s="27"/>
      <c r="S591" s="27"/>
      <c r="T591" s="27"/>
      <c r="U591" s="27"/>
      <c r="V591" s="27"/>
      <c r="W591" s="27"/>
      <c r="X591" s="27"/>
      <c r="Y591" s="27"/>
      <c r="Z591" s="27"/>
      <c r="AA591" s="27"/>
    </row>
    <row r="592" ht="12.75" customHeight="1">
      <c r="A592" s="168"/>
      <c r="B592" s="27"/>
      <c r="C592" s="27"/>
      <c r="D592" s="27"/>
      <c r="E592" s="27"/>
      <c r="F592" s="27"/>
      <c r="G592" s="27"/>
      <c r="H592" s="27"/>
      <c r="I592" s="27"/>
      <c r="J592" s="27"/>
      <c r="K592" s="27"/>
      <c r="L592" s="27"/>
      <c r="M592" s="27"/>
      <c r="N592" s="27"/>
      <c r="O592" s="27"/>
      <c r="P592" s="27"/>
      <c r="Q592" s="209"/>
      <c r="R592" s="27"/>
      <c r="S592" s="27"/>
      <c r="T592" s="27"/>
      <c r="U592" s="27"/>
      <c r="V592" s="27"/>
      <c r="W592" s="27"/>
      <c r="X592" s="27"/>
      <c r="Y592" s="27"/>
      <c r="Z592" s="27"/>
      <c r="AA592" s="27"/>
    </row>
    <row r="593" ht="12.75" customHeight="1">
      <c r="A593" s="210" t="s">
        <v>291</v>
      </c>
      <c r="B593" s="211" t="s">
        <v>177</v>
      </c>
      <c r="C593" s="41"/>
      <c r="D593" s="41"/>
      <c r="E593" s="42"/>
      <c r="F593" s="211" t="s">
        <v>178</v>
      </c>
      <c r="G593" s="41"/>
      <c r="H593" s="42"/>
      <c r="I593" s="27"/>
      <c r="J593" s="212" t="s">
        <v>292</v>
      </c>
      <c r="K593" s="211" t="s">
        <v>177</v>
      </c>
      <c r="L593" s="41"/>
      <c r="M593" s="41"/>
      <c r="N593" s="42"/>
      <c r="O593" s="211" t="s">
        <v>178</v>
      </c>
      <c r="P593" s="41"/>
      <c r="Q593" s="213"/>
      <c r="R593" s="27"/>
      <c r="S593" s="70" t="s">
        <v>93</v>
      </c>
      <c r="T593" s="71"/>
      <c r="U593" s="27"/>
      <c r="V593" s="27"/>
      <c r="W593" s="27"/>
      <c r="X593" s="27"/>
      <c r="Y593" s="27"/>
      <c r="Z593" s="27"/>
      <c r="AA593" s="27"/>
    </row>
    <row r="594" ht="12.75" customHeight="1">
      <c r="A594" s="194"/>
      <c r="B594" s="214" t="s">
        <v>181</v>
      </c>
      <c r="C594" s="215" t="s">
        <v>26</v>
      </c>
      <c r="D594" s="215"/>
      <c r="E594" s="215" t="s">
        <v>27</v>
      </c>
      <c r="F594" s="215" t="s">
        <v>182</v>
      </c>
      <c r="G594" s="216" t="s">
        <v>183</v>
      </c>
      <c r="H594" s="215" t="s">
        <v>26</v>
      </c>
      <c r="I594" s="27"/>
      <c r="J594" s="217"/>
      <c r="K594" s="214" t="s">
        <v>181</v>
      </c>
      <c r="L594" s="215" t="s">
        <v>26</v>
      </c>
      <c r="M594" s="215"/>
      <c r="N594" s="215" t="s">
        <v>27</v>
      </c>
      <c r="O594" s="215" t="s">
        <v>182</v>
      </c>
      <c r="P594" s="216" t="s">
        <v>183</v>
      </c>
      <c r="Q594" s="218" t="s">
        <v>26</v>
      </c>
      <c r="R594" s="27"/>
      <c r="S594" s="25" t="s">
        <v>94</v>
      </c>
      <c r="T594" s="162"/>
      <c r="U594" s="27"/>
      <c r="V594" s="27"/>
      <c r="W594" s="27"/>
      <c r="X594" s="27"/>
      <c r="Y594" s="27"/>
      <c r="Z594" s="27"/>
      <c r="AA594" s="27"/>
    </row>
    <row r="595" ht="12.75" customHeight="1">
      <c r="A595" s="234" t="s">
        <v>36</v>
      </c>
      <c r="B595" s="197" t="str">
        <f>IF(S571="Accessory Only","",IF(S571="Boring But Big",'Start-Options'!$B$4,T585))</f>
        <v>Military</v>
      </c>
      <c r="C595" s="198">
        <f>IF(S571="Accessory Only","",IF(S571="Boring But Big",IF(W575="","",MROUND(T575*W575,'Start-Options'!$B$38)),IF(T581=531,MROUND(U585*0.65,'Start-Options'!$B$38),MROUND(U585*0.65,'Start-Options'!$B$38))))</f>
        <v>60</v>
      </c>
      <c r="D595" s="243"/>
      <c r="E595" s="244">
        <v>5.0</v>
      </c>
      <c r="F595" s="185"/>
      <c r="G595" s="185"/>
      <c r="H595" s="200"/>
      <c r="I595" s="27"/>
      <c r="J595" s="252" t="s">
        <v>36</v>
      </c>
      <c r="K595" s="197" t="str">
        <f>IF(S571="Accessory Only","",IF(S571="Boring But Big",'Start-Options'!$B$4,T585))</f>
        <v>Military</v>
      </c>
      <c r="L595" s="198">
        <f>IF(S571="Accessory Only","",IF(S571="Boring But Big",IF(X575="","",MROUND(T575*X575,'Start-Options'!$B$38)),MROUND(U585*0.4,'Start-Options'!$B$38)))</f>
        <v>40</v>
      </c>
      <c r="M595" s="198"/>
      <c r="N595" s="199">
        <f>IF(S571="Accessory Only","",IF(S571="Boring But Big",10,5))</f>
        <v>10</v>
      </c>
      <c r="O595" s="185"/>
      <c r="P595" s="185"/>
      <c r="Q595" s="187"/>
      <c r="R595" s="27"/>
      <c r="S595" s="77" t="s">
        <v>95</v>
      </c>
      <c r="T595" s="78" t="str">
        <f>IF(T594="","",MROUND(T594*0.4,'Start-Options'!$B$38))</f>
        <v/>
      </c>
      <c r="U595" s="27"/>
      <c r="V595" s="27"/>
      <c r="W595" s="27"/>
      <c r="X595" s="27"/>
      <c r="Y595" s="27"/>
      <c r="Z595" s="27"/>
      <c r="AA595" s="27"/>
    </row>
    <row r="596" ht="12.75" customHeight="1">
      <c r="A596" s="188"/>
      <c r="B596" s="189"/>
      <c r="C596" s="190">
        <f>IF(S571="Accessory Only","",IF(S571="Boring But Big",IF(W575="","",MROUND(T575*W575,'Start-Options'!$B$38)),IF(T581=531,MROUND(U585*0.75,'Start-Options'!$B$38),MROUND(U585*0.75,'Start-Options'!$B$38))))</f>
        <v>60</v>
      </c>
      <c r="D596" s="241"/>
      <c r="E596" s="242">
        <v>5.0</v>
      </c>
      <c r="F596" s="219"/>
      <c r="G596" s="219"/>
      <c r="H596" s="191"/>
      <c r="I596" s="27"/>
      <c r="J596" s="189"/>
      <c r="K596" s="189"/>
      <c r="L596" s="190">
        <f>IF(S571="Accessory Only","",IF(S571="Boring But Big",IF(X575="","",MROUND(T575*X575,'Start-Options'!$B$38)),MROUND(U585*0.5,'Start-Options'!$B$38)))</f>
        <v>40</v>
      </c>
      <c r="M596" s="27"/>
      <c r="N596" s="78">
        <f>IF(S571="Accessory Only","",IF(S571="Boring But Big",10,5))</f>
        <v>10</v>
      </c>
      <c r="O596" s="220"/>
      <c r="P596" s="220"/>
      <c r="Q596" s="221"/>
      <c r="R596" s="27"/>
      <c r="S596" s="77" t="s">
        <v>96</v>
      </c>
      <c r="T596" s="78" t="str">
        <f>IF(T594="","",MROUND(T594*0.5,'Start-Options'!$B$38))</f>
        <v/>
      </c>
      <c r="U596" s="27"/>
      <c r="V596" s="27"/>
      <c r="W596" s="27"/>
      <c r="X596" s="27"/>
      <c r="Y596" s="27"/>
      <c r="Z596" s="27"/>
      <c r="AA596" s="27"/>
    </row>
    <row r="597" ht="12.75" customHeight="1">
      <c r="A597" s="188"/>
      <c r="B597" s="189"/>
      <c r="C597" s="190">
        <f>IF(S571="Accessory Only","",IF(S571="Boring But Big",IF(W575="","",MROUND(T575*W575,'Start-Options'!$B$38)),IF(T581=531,MROUND(U585*0.85,'Start-Options'!$B$38),MROUND(U585*0.85,'Start-Options'!$B$38))))</f>
        <v>60</v>
      </c>
      <c r="D597" s="241"/>
      <c r="E597" s="242">
        <v>5.0</v>
      </c>
      <c r="F597" s="219"/>
      <c r="G597" s="219"/>
      <c r="H597" s="191"/>
      <c r="I597" s="27"/>
      <c r="J597" s="189"/>
      <c r="K597" s="189"/>
      <c r="L597" s="190">
        <f>IF(S571="Accessory Only","",IF(S571="Boring But Big",IF(X575="","",MROUND(T575*X575,'Start-Options'!$B$38)),MROUND(U585*0.6,'Start-Options'!$B$38)))</f>
        <v>40</v>
      </c>
      <c r="M597" s="27"/>
      <c r="N597" s="78">
        <f>IF(S571="Accessory Only","",IF(S571="Boring But Big",10,5))</f>
        <v>10</v>
      </c>
      <c r="O597" s="220"/>
      <c r="P597" s="220"/>
      <c r="Q597" s="222"/>
      <c r="R597" s="27"/>
      <c r="S597" s="82" t="s">
        <v>97</v>
      </c>
      <c r="T597" s="83" t="str">
        <f>IF(T594="","",MROUND(T594*0.6,'Start-Options'!$B$38))</f>
        <v/>
      </c>
      <c r="U597" s="27"/>
      <c r="V597" s="27"/>
      <c r="W597" s="27"/>
      <c r="X597" s="27"/>
      <c r="Y597" s="27"/>
      <c r="Z597" s="27"/>
      <c r="AA597" s="27"/>
    </row>
    <row r="598" ht="12.75" customHeight="1">
      <c r="A598" s="188"/>
      <c r="B598" s="189"/>
      <c r="C598" s="27">
        <f>IF(S571="Boring But Big",IF(W575="","",MROUND(T575*W575,'Start-Options'!$B$38)),"")</f>
        <v>60</v>
      </c>
      <c r="D598" s="241"/>
      <c r="E598" s="242">
        <v>5.0</v>
      </c>
      <c r="F598" s="219"/>
      <c r="G598" s="219"/>
      <c r="H598" s="191"/>
      <c r="I598" s="27"/>
      <c r="J598" s="189"/>
      <c r="K598" s="189"/>
      <c r="L598" s="27">
        <f>IF(S571="Boring But Big",IF(X575="","",MROUND(T575*X575,'Start-Options'!$B$38)),"")</f>
        <v>40</v>
      </c>
      <c r="M598" s="27"/>
      <c r="N598" s="78">
        <f>IF(S571="Boring But Big",10,"")</f>
        <v>10</v>
      </c>
      <c r="O598" s="219"/>
      <c r="P598" s="219"/>
      <c r="Q598" s="201"/>
      <c r="R598" s="27"/>
      <c r="S598" s="27"/>
      <c r="T598" s="27"/>
      <c r="U598" s="27"/>
      <c r="V598" s="27"/>
      <c r="W598" s="27"/>
      <c r="X598" s="27"/>
      <c r="Y598" s="27"/>
      <c r="Z598" s="27"/>
      <c r="AA598" s="27"/>
    </row>
    <row r="599" ht="12.75" customHeight="1">
      <c r="A599" s="194"/>
      <c r="B599" s="195"/>
      <c r="C599" s="27">
        <f>IF(S571="Boring But Big",IF(W575="","",MROUND(T575*W575,'Start-Options'!$B$38)),"")</f>
        <v>60</v>
      </c>
      <c r="D599" s="241"/>
      <c r="E599" s="242">
        <v>5.0</v>
      </c>
      <c r="F599" s="154"/>
      <c r="G599" s="154"/>
      <c r="H599" s="155"/>
      <c r="I599" s="27"/>
      <c r="J599" s="195"/>
      <c r="K599" s="195"/>
      <c r="L599" s="27">
        <f>IF(S571="Boring But Big",IF(X575="","",MROUND(T575*X575,'Start-Options'!$B$38)),"")</f>
        <v>40</v>
      </c>
      <c r="M599" s="27"/>
      <c r="N599" s="78">
        <f>IF(S571="Boring But Big",10,"")</f>
        <v>10</v>
      </c>
      <c r="O599" s="154"/>
      <c r="P599" s="154"/>
      <c r="Q599" s="206"/>
      <c r="R599" s="27"/>
      <c r="S599" s="27"/>
      <c r="T599" s="27"/>
      <c r="U599" s="27"/>
      <c r="V599" s="27"/>
      <c r="W599" s="27"/>
      <c r="X599" s="27"/>
      <c r="Y599" s="27"/>
      <c r="Z599" s="27"/>
      <c r="AA599" s="27"/>
    </row>
    <row r="600" ht="12.75" customHeight="1">
      <c r="A600" s="234" t="s">
        <v>44</v>
      </c>
      <c r="B600" s="197" t="str">
        <f>IF(S571="Accessory Only","",IF(S571="Boring But Big",'Start-Options'!$B$5,T586))</f>
        <v>Deadlift</v>
      </c>
      <c r="C600" s="198">
        <f>IF(S571="Accessory Only","",IF(S571="Boring But Big",IF(W576="","",MROUND(T576*W576,'Start-Options'!$B$38)),IF(T581=531,MROUND(U586*0.65,'Start-Options'!$B$38),MROUND(U586*0.65,'Start-Options'!$B$38))))</f>
        <v>127.5</v>
      </c>
      <c r="D600" s="243"/>
      <c r="E600" s="244">
        <v>5.0</v>
      </c>
      <c r="F600" s="185"/>
      <c r="G600" s="185"/>
      <c r="H600" s="200"/>
      <c r="I600" s="27"/>
      <c r="J600" s="252" t="s">
        <v>44</v>
      </c>
      <c r="K600" s="197" t="str">
        <f>IF(S571="Accessory Only","",IF(S571="Boring But Big",'Start-Options'!$B$5,T586))</f>
        <v>Deadlift</v>
      </c>
      <c r="L600" s="198">
        <f>IF(S571="Accessory Only","",IF(S571="Boring But Big",IF(X576="","",MROUND(T576*X576,'Start-Options'!$B$38)),MROUND(U586*0.4,'Start-Options'!$B$38)))</f>
        <v>85</v>
      </c>
      <c r="M600" s="198"/>
      <c r="N600" s="199">
        <f>IF(S571="Accessory Only","",IF(S571="Boring But Big",10,5))</f>
        <v>10</v>
      </c>
      <c r="O600" s="185"/>
      <c r="P600" s="185"/>
      <c r="Q600" s="187"/>
      <c r="R600" s="27"/>
      <c r="S600" s="27"/>
      <c r="T600" s="27"/>
      <c r="U600" s="27"/>
      <c r="V600" s="27"/>
      <c r="W600" s="27"/>
      <c r="X600" s="27"/>
      <c r="Y600" s="27"/>
      <c r="Z600" s="27"/>
      <c r="AA600" s="27"/>
    </row>
    <row r="601" ht="12.75" customHeight="1">
      <c r="A601" s="188"/>
      <c r="B601" s="189"/>
      <c r="C601" s="190">
        <f>IF(S571="Accessory Only","",IF(S571="Boring But Big",IF(W576="","",MROUND(T576*W576,'Start-Options'!$B$38)),IF(T581=531,MROUND(U586*0.75,'Start-Options'!$B$38),MROUND(U586*0.75,'Start-Options'!$B$38))))</f>
        <v>127.5</v>
      </c>
      <c r="D601" s="241"/>
      <c r="E601" s="242">
        <v>5.0</v>
      </c>
      <c r="F601" s="219"/>
      <c r="G601" s="219"/>
      <c r="H601" s="191"/>
      <c r="I601" s="27"/>
      <c r="J601" s="189"/>
      <c r="K601" s="189"/>
      <c r="L601" s="190">
        <f>IF(S571="Accessory Only","",IF(S571="Boring But Big",IF(X576="","",MROUND(T576*X576,'Start-Options'!$B$38)),MROUND(U586*0.5,'Start-Options'!$B$38)))</f>
        <v>85</v>
      </c>
      <c r="M601" s="27"/>
      <c r="N601" s="78">
        <f>IF(S571="Accessory Only","",IF(S571="Boring But Big",10,5))</f>
        <v>10</v>
      </c>
      <c r="O601" s="220"/>
      <c r="P601" s="220"/>
      <c r="Q601" s="222"/>
      <c r="R601" s="27"/>
      <c r="S601" s="27"/>
      <c r="T601" s="27"/>
      <c r="U601" s="27"/>
      <c r="V601" s="27"/>
      <c r="W601" s="27"/>
      <c r="X601" s="27"/>
      <c r="Y601" s="27"/>
      <c r="Z601" s="27"/>
      <c r="AA601" s="27"/>
    </row>
    <row r="602" ht="12.75" customHeight="1">
      <c r="A602" s="188"/>
      <c r="B602" s="189"/>
      <c r="C602" s="190">
        <f>IF(S571="Accessory Only","",IF(S571="Boring But Big",IF(W576="","",MROUND(T576*W576,'Start-Options'!$B$38)),IF(T581=531,MROUND(U586*0.85,'Start-Options'!$B$38),MROUND(U586*0.85,'Start-Options'!$B$38))))</f>
        <v>127.5</v>
      </c>
      <c r="D602" s="241"/>
      <c r="E602" s="242">
        <v>5.0</v>
      </c>
      <c r="F602" s="219"/>
      <c r="G602" s="219"/>
      <c r="H602" s="191"/>
      <c r="I602" s="27"/>
      <c r="J602" s="189"/>
      <c r="K602" s="189"/>
      <c r="L602" s="190">
        <f>IF(S571="Accessory Only","",IF(S571="Boring But Big",IF(X576="","",MROUND(T576*X576,'Start-Options'!$B$38)),MROUND(U586*0.6,'Start-Options'!$B$38)))</f>
        <v>85</v>
      </c>
      <c r="M602" s="27"/>
      <c r="N602" s="78">
        <f>IF(S571="Accessory Only","",IF(S571="Boring But Big",10,5))</f>
        <v>10</v>
      </c>
      <c r="O602" s="220"/>
      <c r="P602" s="220"/>
      <c r="Q602" s="222"/>
      <c r="R602" s="27"/>
      <c r="S602" s="27"/>
      <c r="T602" s="27"/>
      <c r="U602" s="27"/>
      <c r="V602" s="27"/>
      <c r="W602" s="27"/>
      <c r="X602" s="27"/>
      <c r="Y602" s="27"/>
      <c r="Z602" s="27"/>
      <c r="AA602" s="27"/>
    </row>
    <row r="603" ht="12.75" customHeight="1">
      <c r="A603" s="188"/>
      <c r="B603" s="189"/>
      <c r="C603" s="27">
        <f>IF(S571="Boring But Big",IF(W576="","",MROUND(T576*W576,'Start-Options'!$B$38)),"")</f>
        <v>127.5</v>
      </c>
      <c r="D603" s="241"/>
      <c r="E603" s="242">
        <v>5.0</v>
      </c>
      <c r="F603" s="219"/>
      <c r="G603" s="219"/>
      <c r="H603" s="191"/>
      <c r="I603" s="27"/>
      <c r="J603" s="189"/>
      <c r="K603" s="189"/>
      <c r="L603" s="27">
        <f>IF(S571="Boring But Big",IF(X576="","",MROUND(T576*X576,'Start-Options'!$B$38)),"")</f>
        <v>85</v>
      </c>
      <c r="M603" s="27"/>
      <c r="N603" s="78">
        <f>IF(S571="Boring But Big",10,"")</f>
        <v>10</v>
      </c>
      <c r="O603" s="219"/>
      <c r="P603" s="219"/>
      <c r="Q603" s="201"/>
      <c r="R603" s="27"/>
      <c r="S603" s="27"/>
      <c r="T603" s="27"/>
      <c r="U603" s="27"/>
      <c r="V603" s="27"/>
      <c r="W603" s="27"/>
      <c r="X603" s="27"/>
      <c r="Y603" s="27"/>
      <c r="Z603" s="27"/>
      <c r="AA603" s="27"/>
    </row>
    <row r="604" ht="12.75" customHeight="1">
      <c r="A604" s="188"/>
      <c r="B604" s="195"/>
      <c r="C604" s="27">
        <f>IF(S571="Boring But Big",IF(W576="","",MROUND(T576*W576,'Start-Options'!$B$38)),"")</f>
        <v>127.5</v>
      </c>
      <c r="D604" s="241"/>
      <c r="E604" s="242">
        <v>5.0</v>
      </c>
      <c r="F604" s="154"/>
      <c r="G604" s="154"/>
      <c r="H604" s="155"/>
      <c r="I604" s="27"/>
      <c r="J604" s="189"/>
      <c r="K604" s="195"/>
      <c r="L604" s="27">
        <f>IF(S571="Boring But Big",IF(X576="","",MROUND(T576*X576,'Start-Options'!$B$38)),"")</f>
        <v>85</v>
      </c>
      <c r="M604" s="27"/>
      <c r="N604" s="78">
        <f>IF(S571="Boring But Big",10,"")</f>
        <v>10</v>
      </c>
      <c r="O604" s="154"/>
      <c r="P604" s="154"/>
      <c r="Q604" s="206"/>
      <c r="R604" s="27"/>
      <c r="S604" s="27"/>
      <c r="T604" s="27"/>
      <c r="U604" s="27"/>
      <c r="V604" s="27"/>
      <c r="W604" s="27"/>
      <c r="X604" s="27"/>
      <c r="Y604" s="27"/>
      <c r="Z604" s="27"/>
      <c r="AA604" s="27"/>
    </row>
    <row r="605" ht="12.75" customHeight="1">
      <c r="A605" s="234" t="s">
        <v>48</v>
      </c>
      <c r="B605" s="197" t="str">
        <f>IF(S571="Accessory Only","",IF(S571="Boring But Big",'Start-Options'!$B$6,T587))</f>
        <v>Bench</v>
      </c>
      <c r="C605" s="198">
        <f>IF(S571="Accessory Only","",IF(S571="Boring But Big",IF(W577="","",MROUND(T577*W577,'Start-Options'!$B$38)),IF(T581=531,MROUND(U587*0.65,'Start-Options'!$B$38),MROUND(U587*0.65,'Start-Options'!$B$38))))</f>
        <v>75</v>
      </c>
      <c r="D605" s="243"/>
      <c r="E605" s="244">
        <v>5.0</v>
      </c>
      <c r="F605" s="185"/>
      <c r="G605" s="185"/>
      <c r="H605" s="200"/>
      <c r="I605" s="27"/>
      <c r="J605" s="252" t="s">
        <v>48</v>
      </c>
      <c r="K605" s="197" t="str">
        <f>IF(S571="Accessory Only","",IF(S571="Boring But Big",'Start-Options'!$B$6,T587))</f>
        <v>Bench</v>
      </c>
      <c r="L605" s="198">
        <f>IF(S571="Accessory Only","",IF(S571="Boring But Big",IF(X577="","",MROUND(T577*X577,'Start-Options'!$B$38)),MROUND(U587*0.4,'Start-Options'!$B$38)))</f>
        <v>50</v>
      </c>
      <c r="M605" s="198"/>
      <c r="N605" s="199">
        <f>IF(S571="Accessory Only","",IF(S571="Boring But Big",10,5))</f>
        <v>10</v>
      </c>
      <c r="O605" s="185"/>
      <c r="P605" s="185"/>
      <c r="Q605" s="187"/>
      <c r="R605" s="27"/>
      <c r="S605" s="27"/>
      <c r="T605" s="27"/>
      <c r="U605" s="27"/>
      <c r="V605" s="27"/>
      <c r="W605" s="27"/>
      <c r="X605" s="27"/>
      <c r="Y605" s="27"/>
      <c r="Z605" s="27"/>
      <c r="AA605" s="27"/>
    </row>
    <row r="606" ht="12.75" customHeight="1">
      <c r="A606" s="188"/>
      <c r="B606" s="189"/>
      <c r="C606" s="190">
        <f>IF(S571="Accessory Only","",IF(S571="Boring But Big",IF(W577="","",MROUND(T577*W577,'Start-Options'!$B$38)),IF(T581=531,MROUND(U587*0.75,'Start-Options'!$B$38),MROUND(U587*0.75,'Start-Options'!$B$38))))</f>
        <v>75</v>
      </c>
      <c r="D606" s="241"/>
      <c r="E606" s="242">
        <v>5.0</v>
      </c>
      <c r="F606" s="219"/>
      <c r="G606" s="219"/>
      <c r="H606" s="191"/>
      <c r="I606" s="27"/>
      <c r="J606" s="189"/>
      <c r="K606" s="189"/>
      <c r="L606" s="190">
        <f>IF(S571="Accessory Only","",IF(S571="Boring But Big",IF(X577="","",MROUND(T577*X577,'Start-Options'!$B$38)),MROUND(U587*0.5,'Start-Options'!$B$38)))</f>
        <v>50</v>
      </c>
      <c r="M606" s="27"/>
      <c r="N606" s="78">
        <f>IF(S571="Accessory Only","",IF(S571="Boring But Big",10,5))</f>
        <v>10</v>
      </c>
      <c r="O606" s="220"/>
      <c r="P606" s="220"/>
      <c r="Q606" s="222"/>
      <c r="R606" s="27"/>
      <c r="S606" s="27"/>
      <c r="T606" s="27"/>
      <c r="U606" s="27"/>
      <c r="V606" s="27"/>
      <c r="W606" s="27"/>
      <c r="X606" s="27"/>
      <c r="Y606" s="27"/>
      <c r="Z606" s="27"/>
      <c r="AA606" s="27"/>
    </row>
    <row r="607" ht="12.75" customHeight="1">
      <c r="A607" s="188"/>
      <c r="B607" s="189"/>
      <c r="C607" s="190">
        <f>IF(S571="Accessory Only","",IF(S571="Boring But Big",IF(W577="","",MROUND(T577*W577,'Start-Options'!$B$38)),IF(T581=531,MROUND(U587*0.85,'Start-Options'!$B$38),MROUND(U587*0.85,'Start-Options'!$B$38))))</f>
        <v>75</v>
      </c>
      <c r="D607" s="241"/>
      <c r="E607" s="242">
        <v>5.0</v>
      </c>
      <c r="F607" s="219"/>
      <c r="G607" s="219"/>
      <c r="H607" s="191"/>
      <c r="I607" s="27"/>
      <c r="J607" s="189"/>
      <c r="K607" s="189"/>
      <c r="L607" s="190">
        <f>IF(S571="Accessory Only","",IF(S571="Boring But Big",IF(X577="","",MROUND(T577*X577,'Start-Options'!$B$38)),MROUND(U587*0.6,'Start-Options'!$B$38)))</f>
        <v>50</v>
      </c>
      <c r="M607" s="27"/>
      <c r="N607" s="78">
        <f>IF(S571="Accessory Only","",IF(S571="Boring But Big",10,5))</f>
        <v>10</v>
      </c>
      <c r="O607" s="220"/>
      <c r="P607" s="220"/>
      <c r="Q607" s="222"/>
      <c r="R607" s="27"/>
      <c r="S607" s="27"/>
      <c r="T607" s="27"/>
      <c r="U607" s="27"/>
      <c r="V607" s="27"/>
      <c r="W607" s="27"/>
      <c r="X607" s="27"/>
      <c r="Y607" s="27"/>
      <c r="Z607" s="27"/>
      <c r="AA607" s="27"/>
    </row>
    <row r="608" ht="12.75" customHeight="1">
      <c r="A608" s="188"/>
      <c r="B608" s="189"/>
      <c r="C608" s="27">
        <f>IF(S571="Boring But Big",IF(W577="","",MROUND(T577*W577,'Start-Options'!$B$38)),"")</f>
        <v>75</v>
      </c>
      <c r="D608" s="241"/>
      <c r="E608" s="242">
        <v>5.0</v>
      </c>
      <c r="F608" s="219"/>
      <c r="G608" s="219"/>
      <c r="H608" s="191"/>
      <c r="I608" s="27"/>
      <c r="J608" s="189"/>
      <c r="K608" s="189"/>
      <c r="L608" s="27">
        <f>IF(S571="Boring But Big",IF(X577="","",MROUND(T577*X577,'Start-Options'!$B$38)),"")</f>
        <v>50</v>
      </c>
      <c r="M608" s="27"/>
      <c r="N608" s="78">
        <f>IF(S571="Boring But Big",10,"")</f>
        <v>10</v>
      </c>
      <c r="O608" s="219"/>
      <c r="P608" s="219"/>
      <c r="Q608" s="201"/>
      <c r="R608" s="27"/>
      <c r="S608" s="27"/>
      <c r="T608" s="27"/>
      <c r="U608" s="27"/>
      <c r="V608" s="27"/>
      <c r="W608" s="27"/>
      <c r="X608" s="27"/>
      <c r="Y608" s="27"/>
      <c r="Z608" s="27"/>
      <c r="AA608" s="27"/>
    </row>
    <row r="609" ht="12.75" customHeight="1">
      <c r="A609" s="194"/>
      <c r="B609" s="195"/>
      <c r="C609" s="27">
        <f>IF(S571="Boring But Big",IF(W577="","",MROUND(T577*W577,'Start-Options'!$B$38)),"")</f>
        <v>75</v>
      </c>
      <c r="D609" s="241"/>
      <c r="E609" s="242">
        <v>5.0</v>
      </c>
      <c r="F609" s="154"/>
      <c r="G609" s="154"/>
      <c r="H609" s="155"/>
      <c r="I609" s="27"/>
      <c r="J609" s="195"/>
      <c r="K609" s="195"/>
      <c r="L609" s="27">
        <f>IF(S571="Boring But Big",IF(X577="","",MROUND(T577*X577,'Start-Options'!$B$38)),"")</f>
        <v>50</v>
      </c>
      <c r="M609" s="27"/>
      <c r="N609" s="78">
        <f>IF(S571="Boring But Big",10,"")</f>
        <v>10</v>
      </c>
      <c r="O609" s="154"/>
      <c r="P609" s="154"/>
      <c r="Q609" s="206"/>
      <c r="R609" s="27"/>
      <c r="S609" s="27"/>
      <c r="T609" s="27"/>
      <c r="U609" s="27"/>
      <c r="V609" s="27"/>
      <c r="W609" s="27"/>
      <c r="X609" s="27"/>
      <c r="Y609" s="27"/>
      <c r="Z609" s="27"/>
      <c r="AA609" s="27"/>
    </row>
    <row r="610" ht="12.75" customHeight="1">
      <c r="A610" s="234" t="s">
        <v>53</v>
      </c>
      <c r="B610" s="197" t="str">
        <f>IF(S571="Accessory Only","",IF(S571="Boring But Big",'Start-Options'!$B$7,T588))</f>
        <v>Squat</v>
      </c>
      <c r="C610" s="198">
        <f>IF(S571="Accessory Only","",IF(S571="Boring But Big",IF(W578="","",MROUND(T578*W578,'Start-Options'!$B$38)),IF(T581=531,MROUND(U588*0.65,'Start-Options'!$B$38),MROUND(U588*0.65,'Start-Options'!$B$38))))</f>
        <v>105</v>
      </c>
      <c r="D610" s="243"/>
      <c r="E610" s="244">
        <v>5.0</v>
      </c>
      <c r="F610" s="185"/>
      <c r="G610" s="185"/>
      <c r="H610" s="200"/>
      <c r="I610" s="27"/>
      <c r="J610" s="252" t="s">
        <v>53</v>
      </c>
      <c r="K610" s="197" t="str">
        <f>IF(S571="Accessory Only","",IF(S571="Boring But Big",'Start-Options'!$B$7,T588))</f>
        <v>Squat</v>
      </c>
      <c r="L610" s="198">
        <f>IF(S571="Accessory Only","",IF(S571="Boring But Big",IF(X578="","",MROUND(T578*X578,'Start-Options'!$B$38)),MROUND(U588*0.4,'Start-Options'!$B$38)))</f>
        <v>70</v>
      </c>
      <c r="M610" s="198"/>
      <c r="N610" s="199">
        <f>IF(S571="Accessory Only","",IF(S571="Boring But Big",10,5))</f>
        <v>10</v>
      </c>
      <c r="O610" s="185"/>
      <c r="P610" s="185"/>
      <c r="Q610" s="187"/>
      <c r="R610" s="27"/>
      <c r="S610" s="27"/>
      <c r="T610" s="27"/>
      <c r="U610" s="27"/>
      <c r="V610" s="27"/>
      <c r="W610" s="27"/>
      <c r="X610" s="27"/>
      <c r="Y610" s="27"/>
      <c r="Z610" s="27"/>
      <c r="AA610" s="27"/>
    </row>
    <row r="611" ht="12.75" customHeight="1">
      <c r="A611" s="188"/>
      <c r="B611" s="189"/>
      <c r="C611" s="190">
        <f>IF(S571="Accessory Only","",IF(S571="Boring But Big",IF(W578="","",MROUND(T578*W578,'Start-Options'!$B$38)),IF(T581=531,MROUND(U588*0.75,'Start-Options'!$B$38),MROUND(U588*0.75,'Start-Options'!$B$38))))</f>
        <v>105</v>
      </c>
      <c r="D611" s="241"/>
      <c r="E611" s="242">
        <v>5.0</v>
      </c>
      <c r="F611" s="219"/>
      <c r="G611" s="219"/>
      <c r="H611" s="191"/>
      <c r="I611" s="27"/>
      <c r="J611" s="189"/>
      <c r="K611" s="189"/>
      <c r="L611" s="190">
        <f>IF(S571="Accessory Only","",IF(S571="Boring But Big",IF(X578="","",MROUND(T578*X578,'Start-Options'!$B$38)),MROUND(U588*0.5,'Start-Options'!$B$38)))</f>
        <v>70</v>
      </c>
      <c r="M611" s="27"/>
      <c r="N611" s="78">
        <f>IF(S571="Accessory Only","",IF(S571="Boring But Big",10,5))</f>
        <v>10</v>
      </c>
      <c r="O611" s="220"/>
      <c r="P611" s="220"/>
      <c r="Q611" s="222"/>
      <c r="R611" s="27"/>
      <c r="S611" s="27"/>
      <c r="T611" s="27"/>
      <c r="U611" s="27"/>
      <c r="V611" s="27"/>
      <c r="W611" s="27"/>
      <c r="X611" s="27"/>
      <c r="Y611" s="27"/>
      <c r="Z611" s="27"/>
      <c r="AA611" s="27"/>
    </row>
    <row r="612" ht="12.75" customHeight="1">
      <c r="A612" s="188"/>
      <c r="B612" s="189"/>
      <c r="C612" s="190">
        <f>IF(S571="Accessory Only","",IF(S571="Boring But Big",IF(W578="","",MROUND(T578*W578,'Start-Options'!$B$38)),IF(T581=531,MROUND(U588*0.85,'Start-Options'!$B$38),MROUND(U588*0.85,'Start-Options'!$B$38))))</f>
        <v>105</v>
      </c>
      <c r="D612" s="241"/>
      <c r="E612" s="242">
        <v>5.0</v>
      </c>
      <c r="F612" s="219"/>
      <c r="G612" s="219"/>
      <c r="H612" s="191"/>
      <c r="I612" s="27"/>
      <c r="J612" s="189"/>
      <c r="K612" s="189"/>
      <c r="L612" s="190">
        <f>IF(S571="Accessory Only","",IF(S571="Boring But Big",IF(X578="","",MROUND(T578*X578,'Start-Options'!$B$38)),MROUND(U588*0.6,'Start-Options'!$B$38)))</f>
        <v>70</v>
      </c>
      <c r="M612" s="27"/>
      <c r="N612" s="78">
        <f>IF(S571="Accessory Only","",IF(S571="Boring But Big",10,5))</f>
        <v>10</v>
      </c>
      <c r="O612" s="220"/>
      <c r="P612" s="220"/>
      <c r="Q612" s="222"/>
      <c r="R612" s="27"/>
      <c r="S612" s="27"/>
      <c r="T612" s="27"/>
      <c r="U612" s="27"/>
      <c r="V612" s="27"/>
      <c r="W612" s="27"/>
      <c r="X612" s="27"/>
      <c r="Y612" s="27"/>
      <c r="Z612" s="27"/>
      <c r="AA612" s="27"/>
    </row>
    <row r="613" ht="12.75" customHeight="1">
      <c r="A613" s="188"/>
      <c r="B613" s="189"/>
      <c r="C613" s="27">
        <f>IF(S571="Boring But Big",IF(W578="","",MROUND(T578*W578,'Start-Options'!$B$38)),"")</f>
        <v>105</v>
      </c>
      <c r="D613" s="241"/>
      <c r="E613" s="242">
        <v>5.0</v>
      </c>
      <c r="F613" s="219"/>
      <c r="G613" s="219"/>
      <c r="H613" s="147"/>
      <c r="I613" s="27"/>
      <c r="J613" s="189"/>
      <c r="K613" s="189"/>
      <c r="L613" s="27">
        <f>IF(S571="Boring But Big",IF(X578="","",MROUND(T578*X578,'Start-Options'!$B$38)),"")</f>
        <v>70</v>
      </c>
      <c r="M613" s="27"/>
      <c r="N613" s="78">
        <f>IF(S571="Boring But Big",10,"")</f>
        <v>10</v>
      </c>
      <c r="O613" s="151"/>
      <c r="P613" s="219"/>
      <c r="Q613" s="224"/>
      <c r="R613" s="27"/>
      <c r="S613" s="27"/>
      <c r="T613" s="27"/>
      <c r="U613" s="27"/>
      <c r="V613" s="27"/>
      <c r="W613" s="27"/>
      <c r="X613" s="27"/>
      <c r="Y613" s="27"/>
      <c r="Z613" s="27"/>
      <c r="AA613" s="27"/>
    </row>
    <row r="614" ht="13.5" customHeight="1">
      <c r="A614" s="176"/>
      <c r="B614" s="225"/>
      <c r="C614" s="226">
        <f>IF(S571="Boring But Big",IF(W578="","",MROUND(T578*W578,'Start-Options'!$B$38)),"")</f>
        <v>105</v>
      </c>
      <c r="D614" s="247"/>
      <c r="E614" s="248">
        <v>5.0</v>
      </c>
      <c r="F614" s="228"/>
      <c r="G614" s="228"/>
      <c r="H614" s="229"/>
      <c r="I614" s="158"/>
      <c r="J614" s="225"/>
      <c r="K614" s="225"/>
      <c r="L614" s="226">
        <f>IF(S571="Boring But Big",IF(X578="","",MROUND(T578*X578,'Start-Options'!$B$38)),"")</f>
        <v>70</v>
      </c>
      <c r="M614" s="158"/>
      <c r="N614" s="227">
        <f>IF(S571="Boring But Big",10,"")</f>
        <v>10</v>
      </c>
      <c r="O614" s="229"/>
      <c r="P614" s="228"/>
      <c r="Q614" s="230"/>
      <c r="R614" s="27"/>
      <c r="S614" s="27"/>
      <c r="T614" s="27"/>
      <c r="U614" s="27"/>
      <c r="V614" s="27"/>
      <c r="W614" s="27"/>
      <c r="X614" s="27"/>
      <c r="Y614" s="27"/>
      <c r="Z614" s="27"/>
      <c r="AA614" s="27"/>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mergeCells count="651">
    <mergeCell ref="B102:B106"/>
    <mergeCell ref="B107:B111"/>
    <mergeCell ref="B112:B116"/>
    <mergeCell ref="B117:B121"/>
    <mergeCell ref="B123:E123"/>
    <mergeCell ref="F123:H123"/>
    <mergeCell ref="B125:B129"/>
    <mergeCell ref="B130:B134"/>
    <mergeCell ref="A70:A74"/>
    <mergeCell ref="A76:A77"/>
    <mergeCell ref="A78:A82"/>
    <mergeCell ref="B78:B82"/>
    <mergeCell ref="B83:B87"/>
    <mergeCell ref="B88:B92"/>
    <mergeCell ref="B93:B97"/>
    <mergeCell ref="B140:B144"/>
    <mergeCell ref="B149:B153"/>
    <mergeCell ref="B154:B158"/>
    <mergeCell ref="B159:B163"/>
    <mergeCell ref="B164:B168"/>
    <mergeCell ref="A130:A134"/>
    <mergeCell ref="A135:A139"/>
    <mergeCell ref="B135:B139"/>
    <mergeCell ref="A140:A144"/>
    <mergeCell ref="A147:A148"/>
    <mergeCell ref="B147:E147"/>
    <mergeCell ref="F147:H147"/>
    <mergeCell ref="A83:A87"/>
    <mergeCell ref="A102:A106"/>
    <mergeCell ref="A107:A111"/>
    <mergeCell ref="A112:A116"/>
    <mergeCell ref="A117:A121"/>
    <mergeCell ref="A123:A124"/>
    <mergeCell ref="A125:A129"/>
    <mergeCell ref="A149:A153"/>
    <mergeCell ref="A154:A158"/>
    <mergeCell ref="A159:A163"/>
    <mergeCell ref="A164:A168"/>
    <mergeCell ref="A170:A171"/>
    <mergeCell ref="B170:E170"/>
    <mergeCell ref="F170:H170"/>
    <mergeCell ref="A187:A191"/>
    <mergeCell ref="A194:A195"/>
    <mergeCell ref="B194:E194"/>
    <mergeCell ref="F194:H194"/>
    <mergeCell ref="A172:A176"/>
    <mergeCell ref="B172:B176"/>
    <mergeCell ref="A177:A181"/>
    <mergeCell ref="B177:B181"/>
    <mergeCell ref="A182:A186"/>
    <mergeCell ref="B182:B186"/>
    <mergeCell ref="B187:B191"/>
    <mergeCell ref="A211:A215"/>
    <mergeCell ref="A217:A218"/>
    <mergeCell ref="B217:E217"/>
    <mergeCell ref="F217:H217"/>
    <mergeCell ref="A196:A200"/>
    <mergeCell ref="B196:B200"/>
    <mergeCell ref="A201:A205"/>
    <mergeCell ref="B201:B205"/>
    <mergeCell ref="A206:A210"/>
    <mergeCell ref="B206:B210"/>
    <mergeCell ref="B211:B215"/>
    <mergeCell ref="A234:A238"/>
    <mergeCell ref="A241:A242"/>
    <mergeCell ref="B241:E241"/>
    <mergeCell ref="F241:H241"/>
    <mergeCell ref="A219:A223"/>
    <mergeCell ref="B219:B223"/>
    <mergeCell ref="A224:A228"/>
    <mergeCell ref="B224:B228"/>
    <mergeCell ref="A229:A233"/>
    <mergeCell ref="B229:B233"/>
    <mergeCell ref="B234:B238"/>
    <mergeCell ref="A258:A262"/>
    <mergeCell ref="A264:A265"/>
    <mergeCell ref="B264:E264"/>
    <mergeCell ref="F264:H264"/>
    <mergeCell ref="A243:A247"/>
    <mergeCell ref="B243:B247"/>
    <mergeCell ref="A248:A252"/>
    <mergeCell ref="B248:B252"/>
    <mergeCell ref="A253:A257"/>
    <mergeCell ref="B253:B257"/>
    <mergeCell ref="B258:B262"/>
    <mergeCell ref="S6:U6"/>
    <mergeCell ref="S7:U7"/>
    <mergeCell ref="S9:X9"/>
    <mergeCell ref="L3:N3"/>
    <mergeCell ref="A6:A7"/>
    <mergeCell ref="B6:E6"/>
    <mergeCell ref="F6:H6"/>
    <mergeCell ref="J6:J7"/>
    <mergeCell ref="K6:N6"/>
    <mergeCell ref="O6:Q6"/>
    <mergeCell ref="J18:J22"/>
    <mergeCell ref="K18:K22"/>
    <mergeCell ref="J23:J27"/>
    <mergeCell ref="K23:K27"/>
    <mergeCell ref="F29:H29"/>
    <mergeCell ref="J29:J30"/>
    <mergeCell ref="K29:N29"/>
    <mergeCell ref="O29:Q29"/>
    <mergeCell ref="A8:A12"/>
    <mergeCell ref="B8:B12"/>
    <mergeCell ref="J8:J12"/>
    <mergeCell ref="K8:K12"/>
    <mergeCell ref="B13:B17"/>
    <mergeCell ref="J13:J17"/>
    <mergeCell ref="K13:K17"/>
    <mergeCell ref="A31:A35"/>
    <mergeCell ref="B31:B35"/>
    <mergeCell ref="J31:J35"/>
    <mergeCell ref="K31:K35"/>
    <mergeCell ref="S33:T33"/>
    <mergeCell ref="S36:U36"/>
    <mergeCell ref="A13:A17"/>
    <mergeCell ref="A18:A22"/>
    <mergeCell ref="B18:B22"/>
    <mergeCell ref="A23:A27"/>
    <mergeCell ref="B23:B27"/>
    <mergeCell ref="A29:A30"/>
    <mergeCell ref="B29:E29"/>
    <mergeCell ref="J46:J50"/>
    <mergeCell ref="K46:K50"/>
    <mergeCell ref="S46:T46"/>
    <mergeCell ref="S53:U53"/>
    <mergeCell ref="S54:U54"/>
    <mergeCell ref="S56:X56"/>
    <mergeCell ref="A55:A59"/>
    <mergeCell ref="B55:B59"/>
    <mergeCell ref="J55:J59"/>
    <mergeCell ref="K55:K59"/>
    <mergeCell ref="A60:A64"/>
    <mergeCell ref="B60:B64"/>
    <mergeCell ref="J60:J64"/>
    <mergeCell ref="A65:A69"/>
    <mergeCell ref="B65:B69"/>
    <mergeCell ref="J65:J69"/>
    <mergeCell ref="K65:K69"/>
    <mergeCell ref="B70:B74"/>
    <mergeCell ref="J70:J74"/>
    <mergeCell ref="K70:K74"/>
    <mergeCell ref="A36:A40"/>
    <mergeCell ref="B36:B40"/>
    <mergeCell ref="J36:J40"/>
    <mergeCell ref="K36:K40"/>
    <mergeCell ref="B41:B45"/>
    <mergeCell ref="J41:J45"/>
    <mergeCell ref="K41:K45"/>
    <mergeCell ref="K53:N53"/>
    <mergeCell ref="O53:Q53"/>
    <mergeCell ref="A41:A45"/>
    <mergeCell ref="A46:A50"/>
    <mergeCell ref="B46:B50"/>
    <mergeCell ref="A53:A54"/>
    <mergeCell ref="B53:E53"/>
    <mergeCell ref="F53:H53"/>
    <mergeCell ref="J53:J54"/>
    <mergeCell ref="K60:K64"/>
    <mergeCell ref="S63:T63"/>
    <mergeCell ref="S66:U66"/>
    <mergeCell ref="B76:E76"/>
    <mergeCell ref="F76:H76"/>
    <mergeCell ref="J76:J77"/>
    <mergeCell ref="K76:N76"/>
    <mergeCell ref="O76:Q76"/>
    <mergeCell ref="S76:T76"/>
    <mergeCell ref="S100:U100"/>
    <mergeCell ref="S101:U101"/>
    <mergeCell ref="S103:X103"/>
    <mergeCell ref="S110:T110"/>
    <mergeCell ref="S113:U113"/>
    <mergeCell ref="A88:A92"/>
    <mergeCell ref="A93:A97"/>
    <mergeCell ref="A100:A101"/>
    <mergeCell ref="B100:E100"/>
    <mergeCell ref="F100:H100"/>
    <mergeCell ref="K100:N100"/>
    <mergeCell ref="O100:Q100"/>
    <mergeCell ref="J107:J111"/>
    <mergeCell ref="J125:J129"/>
    <mergeCell ref="J130:J134"/>
    <mergeCell ref="J135:J139"/>
    <mergeCell ref="J140:J144"/>
    <mergeCell ref="J147:J148"/>
    <mergeCell ref="K149:K153"/>
    <mergeCell ref="J149:J153"/>
    <mergeCell ref="J154:J158"/>
    <mergeCell ref="J159:J163"/>
    <mergeCell ref="J164:J168"/>
    <mergeCell ref="J170:J171"/>
    <mergeCell ref="J172:J176"/>
    <mergeCell ref="K172:K176"/>
    <mergeCell ref="J182:J186"/>
    <mergeCell ref="K182:K186"/>
    <mergeCell ref="J187:J191"/>
    <mergeCell ref="K187:K191"/>
    <mergeCell ref="J194:J195"/>
    <mergeCell ref="J196:J200"/>
    <mergeCell ref="K196:K200"/>
    <mergeCell ref="J201:J205"/>
    <mergeCell ref="K201:K205"/>
    <mergeCell ref="J206:J210"/>
    <mergeCell ref="K206:K210"/>
    <mergeCell ref="J211:J215"/>
    <mergeCell ref="K211:K215"/>
    <mergeCell ref="J217:J218"/>
    <mergeCell ref="J219:J223"/>
    <mergeCell ref="K219:K223"/>
    <mergeCell ref="J224:J228"/>
    <mergeCell ref="K224:K228"/>
    <mergeCell ref="J229:J233"/>
    <mergeCell ref="K229:K233"/>
    <mergeCell ref="K234:K238"/>
    <mergeCell ref="J253:J257"/>
    <mergeCell ref="J258:J262"/>
    <mergeCell ref="J264:J265"/>
    <mergeCell ref="J266:J270"/>
    <mergeCell ref="J271:J275"/>
    <mergeCell ref="J276:J280"/>
    <mergeCell ref="J281:J285"/>
    <mergeCell ref="J288:J289"/>
    <mergeCell ref="K258:K262"/>
    <mergeCell ref="K266:K270"/>
    <mergeCell ref="K271:K275"/>
    <mergeCell ref="K276:K280"/>
    <mergeCell ref="K281:K285"/>
    <mergeCell ref="J234:J238"/>
    <mergeCell ref="J241:J242"/>
    <mergeCell ref="J243:J247"/>
    <mergeCell ref="K243:K247"/>
    <mergeCell ref="J248:J252"/>
    <mergeCell ref="K248:K252"/>
    <mergeCell ref="K253:K257"/>
    <mergeCell ref="S241:U241"/>
    <mergeCell ref="S242:U242"/>
    <mergeCell ref="S244:X244"/>
    <mergeCell ref="S251:T251"/>
    <mergeCell ref="S254:U254"/>
    <mergeCell ref="K264:N264"/>
    <mergeCell ref="O264:Q264"/>
    <mergeCell ref="S264:T264"/>
    <mergeCell ref="S204:T204"/>
    <mergeCell ref="S207:U207"/>
    <mergeCell ref="K217:N217"/>
    <mergeCell ref="O217:Q217"/>
    <mergeCell ref="S217:T217"/>
    <mergeCell ref="K241:N241"/>
    <mergeCell ref="O241:Q241"/>
    <mergeCell ref="J78:J82"/>
    <mergeCell ref="K78:K82"/>
    <mergeCell ref="J83:J87"/>
    <mergeCell ref="K83:K87"/>
    <mergeCell ref="J88:J92"/>
    <mergeCell ref="K88:K92"/>
    <mergeCell ref="K93:K97"/>
    <mergeCell ref="J112:J116"/>
    <mergeCell ref="J117:J121"/>
    <mergeCell ref="J123:J124"/>
    <mergeCell ref="K123:N123"/>
    <mergeCell ref="O123:Q123"/>
    <mergeCell ref="S123:T123"/>
    <mergeCell ref="J93:J97"/>
    <mergeCell ref="J100:J101"/>
    <mergeCell ref="J102:J106"/>
    <mergeCell ref="K102:K106"/>
    <mergeCell ref="K107:K111"/>
    <mergeCell ref="K112:K116"/>
    <mergeCell ref="K117:K121"/>
    <mergeCell ref="S148:U148"/>
    <mergeCell ref="S150:X150"/>
    <mergeCell ref="S157:T157"/>
    <mergeCell ref="S160:U160"/>
    <mergeCell ref="K125:K129"/>
    <mergeCell ref="K130:K134"/>
    <mergeCell ref="K135:K139"/>
    <mergeCell ref="K140:K144"/>
    <mergeCell ref="K147:N147"/>
    <mergeCell ref="O147:Q147"/>
    <mergeCell ref="S147:U147"/>
    <mergeCell ref="K154:K158"/>
    <mergeCell ref="K159:K163"/>
    <mergeCell ref="K164:K168"/>
    <mergeCell ref="K170:N170"/>
    <mergeCell ref="O170:Q170"/>
    <mergeCell ref="S170:T170"/>
    <mergeCell ref="J177:J181"/>
    <mergeCell ref="K177:K181"/>
    <mergeCell ref="K194:N194"/>
    <mergeCell ref="O194:Q194"/>
    <mergeCell ref="S194:U194"/>
    <mergeCell ref="S195:U195"/>
    <mergeCell ref="S197:X197"/>
    <mergeCell ref="A337:A341"/>
    <mergeCell ref="B337:B341"/>
    <mergeCell ref="J337:J341"/>
    <mergeCell ref="K337:K341"/>
    <mergeCell ref="A342:A346"/>
    <mergeCell ref="B342:B346"/>
    <mergeCell ref="J342:J346"/>
    <mergeCell ref="A347:A351"/>
    <mergeCell ref="B347:B351"/>
    <mergeCell ref="J347:J351"/>
    <mergeCell ref="K347:K351"/>
    <mergeCell ref="B352:B356"/>
    <mergeCell ref="J352:J356"/>
    <mergeCell ref="K352:K356"/>
    <mergeCell ref="A469:A473"/>
    <mergeCell ref="A476:A477"/>
    <mergeCell ref="B476:E476"/>
    <mergeCell ref="F476:H476"/>
    <mergeCell ref="A478:A482"/>
    <mergeCell ref="B478:B482"/>
    <mergeCell ref="J478:J482"/>
    <mergeCell ref="K478:K482"/>
    <mergeCell ref="A483:A487"/>
    <mergeCell ref="B483:B487"/>
    <mergeCell ref="J483:J487"/>
    <mergeCell ref="K483:K487"/>
    <mergeCell ref="A488:A492"/>
    <mergeCell ref="B488:B492"/>
    <mergeCell ref="J488:J492"/>
    <mergeCell ref="K488:K492"/>
    <mergeCell ref="A454:A458"/>
    <mergeCell ref="B454:B458"/>
    <mergeCell ref="A459:A463"/>
    <mergeCell ref="B459:B463"/>
    <mergeCell ref="A464:A468"/>
    <mergeCell ref="B464:B468"/>
    <mergeCell ref="B469:B473"/>
    <mergeCell ref="F499:H499"/>
    <mergeCell ref="K499:N499"/>
    <mergeCell ref="O499:Q499"/>
    <mergeCell ref="S499:T499"/>
    <mergeCell ref="S524:U524"/>
    <mergeCell ref="S526:X526"/>
    <mergeCell ref="S533:T533"/>
    <mergeCell ref="S536:U536"/>
    <mergeCell ref="A523:A524"/>
    <mergeCell ref="B523:E523"/>
    <mergeCell ref="F523:H523"/>
    <mergeCell ref="J523:J524"/>
    <mergeCell ref="K523:N523"/>
    <mergeCell ref="O523:Q523"/>
    <mergeCell ref="S523:U523"/>
    <mergeCell ref="S571:U571"/>
    <mergeCell ref="S573:X573"/>
    <mergeCell ref="A563:A567"/>
    <mergeCell ref="A570:A571"/>
    <mergeCell ref="B570:E570"/>
    <mergeCell ref="F570:H570"/>
    <mergeCell ref="K570:N570"/>
    <mergeCell ref="O570:Q570"/>
    <mergeCell ref="S570:U570"/>
    <mergeCell ref="A572:A576"/>
    <mergeCell ref="B572:B576"/>
    <mergeCell ref="A577:A581"/>
    <mergeCell ref="B577:B581"/>
    <mergeCell ref="A582:A586"/>
    <mergeCell ref="B582:B586"/>
    <mergeCell ref="B587:B591"/>
    <mergeCell ref="A605:A609"/>
    <mergeCell ref="A610:A614"/>
    <mergeCell ref="A587:A591"/>
    <mergeCell ref="A593:A594"/>
    <mergeCell ref="A595:A599"/>
    <mergeCell ref="B595:B599"/>
    <mergeCell ref="A600:A604"/>
    <mergeCell ref="B600:B604"/>
    <mergeCell ref="B605:B609"/>
    <mergeCell ref="B610:B614"/>
    <mergeCell ref="K595:K599"/>
    <mergeCell ref="K600:K604"/>
    <mergeCell ref="J605:J609"/>
    <mergeCell ref="K605:K609"/>
    <mergeCell ref="J610:J614"/>
    <mergeCell ref="K610:K614"/>
    <mergeCell ref="K540:K544"/>
    <mergeCell ref="K548:K552"/>
    <mergeCell ref="K553:K557"/>
    <mergeCell ref="K558:K562"/>
    <mergeCell ref="K563:K567"/>
    <mergeCell ref="K582:K586"/>
    <mergeCell ref="K587:K591"/>
    <mergeCell ref="A506:A510"/>
    <mergeCell ref="A511:A515"/>
    <mergeCell ref="B511:B515"/>
    <mergeCell ref="J511:J515"/>
    <mergeCell ref="K511:K515"/>
    <mergeCell ref="A516:A520"/>
    <mergeCell ref="B516:B520"/>
    <mergeCell ref="A540:A544"/>
    <mergeCell ref="A546:A547"/>
    <mergeCell ref="B546:E546"/>
    <mergeCell ref="F546:H546"/>
    <mergeCell ref="K546:N546"/>
    <mergeCell ref="O546:Q546"/>
    <mergeCell ref="S546:T546"/>
    <mergeCell ref="J516:J520"/>
    <mergeCell ref="K516:K520"/>
    <mergeCell ref="J525:J529"/>
    <mergeCell ref="K525:K529"/>
    <mergeCell ref="J530:J534"/>
    <mergeCell ref="K530:K534"/>
    <mergeCell ref="K535:K539"/>
    <mergeCell ref="J570:J571"/>
    <mergeCell ref="J572:J576"/>
    <mergeCell ref="K572:K576"/>
    <mergeCell ref="J577:J581"/>
    <mergeCell ref="K577:K581"/>
    <mergeCell ref="S580:T580"/>
    <mergeCell ref="S583:U583"/>
    <mergeCell ref="J582:J586"/>
    <mergeCell ref="J587:J591"/>
    <mergeCell ref="B593:E593"/>
    <mergeCell ref="F593:H593"/>
    <mergeCell ref="J593:J594"/>
    <mergeCell ref="K593:N593"/>
    <mergeCell ref="O593:Q593"/>
    <mergeCell ref="S593:T593"/>
    <mergeCell ref="J595:J599"/>
    <mergeCell ref="J600:J604"/>
    <mergeCell ref="J535:J539"/>
    <mergeCell ref="J540:J544"/>
    <mergeCell ref="J546:J547"/>
    <mergeCell ref="J548:J552"/>
    <mergeCell ref="J553:J557"/>
    <mergeCell ref="J558:J562"/>
    <mergeCell ref="J563:J567"/>
    <mergeCell ref="A281:A285"/>
    <mergeCell ref="A288:A289"/>
    <mergeCell ref="B288:E288"/>
    <mergeCell ref="F288:H288"/>
    <mergeCell ref="K288:N288"/>
    <mergeCell ref="O288:Q288"/>
    <mergeCell ref="S288:U288"/>
    <mergeCell ref="S289:U289"/>
    <mergeCell ref="A290:A294"/>
    <mergeCell ref="B290:B294"/>
    <mergeCell ref="J290:J294"/>
    <mergeCell ref="K290:K294"/>
    <mergeCell ref="S291:X291"/>
    <mergeCell ref="A295:A299"/>
    <mergeCell ref="B295:B299"/>
    <mergeCell ref="J295:J299"/>
    <mergeCell ref="K295:K299"/>
    <mergeCell ref="S298:T298"/>
    <mergeCell ref="S301:U301"/>
    <mergeCell ref="A300:A304"/>
    <mergeCell ref="B300:B304"/>
    <mergeCell ref="J300:J304"/>
    <mergeCell ref="K300:K304"/>
    <mergeCell ref="A266:A270"/>
    <mergeCell ref="B266:B270"/>
    <mergeCell ref="A271:A275"/>
    <mergeCell ref="B271:B275"/>
    <mergeCell ref="A276:A280"/>
    <mergeCell ref="B276:B280"/>
    <mergeCell ref="B281:B285"/>
    <mergeCell ref="F311:H311"/>
    <mergeCell ref="K311:N311"/>
    <mergeCell ref="O311:Q311"/>
    <mergeCell ref="S311:T311"/>
    <mergeCell ref="A318:A322"/>
    <mergeCell ref="A323:A327"/>
    <mergeCell ref="B323:B327"/>
    <mergeCell ref="J323:J327"/>
    <mergeCell ref="K323:K327"/>
    <mergeCell ref="A305:A309"/>
    <mergeCell ref="B305:B309"/>
    <mergeCell ref="J305:J309"/>
    <mergeCell ref="K305:K309"/>
    <mergeCell ref="A311:A312"/>
    <mergeCell ref="B311:E311"/>
    <mergeCell ref="J311:J312"/>
    <mergeCell ref="A313:A317"/>
    <mergeCell ref="B313:B317"/>
    <mergeCell ref="J313:J317"/>
    <mergeCell ref="K313:K317"/>
    <mergeCell ref="B318:B322"/>
    <mergeCell ref="J318:J322"/>
    <mergeCell ref="K318:K322"/>
    <mergeCell ref="F335:H335"/>
    <mergeCell ref="K335:N335"/>
    <mergeCell ref="O335:Q335"/>
    <mergeCell ref="S335:U335"/>
    <mergeCell ref="S336:U336"/>
    <mergeCell ref="S338:X338"/>
    <mergeCell ref="A328:A332"/>
    <mergeCell ref="B328:B332"/>
    <mergeCell ref="J328:J332"/>
    <mergeCell ref="K328:K332"/>
    <mergeCell ref="A335:A336"/>
    <mergeCell ref="B335:E335"/>
    <mergeCell ref="J335:J336"/>
    <mergeCell ref="K342:K346"/>
    <mergeCell ref="S345:T345"/>
    <mergeCell ref="S348:U348"/>
    <mergeCell ref="B358:E358"/>
    <mergeCell ref="F358:H358"/>
    <mergeCell ref="J358:J359"/>
    <mergeCell ref="K358:N358"/>
    <mergeCell ref="O358:Q358"/>
    <mergeCell ref="S358:T358"/>
    <mergeCell ref="K360:K364"/>
    <mergeCell ref="S392:T392"/>
    <mergeCell ref="S395:U395"/>
    <mergeCell ref="B382:E382"/>
    <mergeCell ref="F382:H382"/>
    <mergeCell ref="K382:N382"/>
    <mergeCell ref="O382:Q382"/>
    <mergeCell ref="S382:U382"/>
    <mergeCell ref="S383:U383"/>
    <mergeCell ref="S385:X385"/>
    <mergeCell ref="J452:J453"/>
    <mergeCell ref="J454:J458"/>
    <mergeCell ref="K454:K458"/>
    <mergeCell ref="J459:J463"/>
    <mergeCell ref="K459:K463"/>
    <mergeCell ref="J464:J468"/>
    <mergeCell ref="K464:K468"/>
    <mergeCell ref="S477:U477"/>
    <mergeCell ref="S486:T486"/>
    <mergeCell ref="S489:U489"/>
    <mergeCell ref="J469:J473"/>
    <mergeCell ref="K469:K473"/>
    <mergeCell ref="J476:J477"/>
    <mergeCell ref="K476:N476"/>
    <mergeCell ref="O476:Q476"/>
    <mergeCell ref="S476:U476"/>
    <mergeCell ref="S479:X479"/>
    <mergeCell ref="J360:J364"/>
    <mergeCell ref="J365:J369"/>
    <mergeCell ref="K365:K369"/>
    <mergeCell ref="J370:J374"/>
    <mergeCell ref="K370:K374"/>
    <mergeCell ref="J375:J379"/>
    <mergeCell ref="K375:K379"/>
    <mergeCell ref="J399:J403"/>
    <mergeCell ref="K399:K403"/>
    <mergeCell ref="J405:J406"/>
    <mergeCell ref="K405:N405"/>
    <mergeCell ref="O405:Q405"/>
    <mergeCell ref="S405:T405"/>
    <mergeCell ref="J382:J383"/>
    <mergeCell ref="J384:J388"/>
    <mergeCell ref="K384:K388"/>
    <mergeCell ref="J389:J393"/>
    <mergeCell ref="K389:K393"/>
    <mergeCell ref="J394:J398"/>
    <mergeCell ref="K394:K398"/>
    <mergeCell ref="J422:J426"/>
    <mergeCell ref="J429:J430"/>
    <mergeCell ref="K429:N429"/>
    <mergeCell ref="O429:Q429"/>
    <mergeCell ref="S429:U429"/>
    <mergeCell ref="S430:U430"/>
    <mergeCell ref="S432:X432"/>
    <mergeCell ref="J431:J435"/>
    <mergeCell ref="K431:K435"/>
    <mergeCell ref="J436:J440"/>
    <mergeCell ref="K436:K440"/>
    <mergeCell ref="S439:T439"/>
    <mergeCell ref="S442:U442"/>
    <mergeCell ref="J407:J411"/>
    <mergeCell ref="K407:K411"/>
    <mergeCell ref="J412:J416"/>
    <mergeCell ref="K412:K416"/>
    <mergeCell ref="J417:J421"/>
    <mergeCell ref="K417:K421"/>
    <mergeCell ref="K422:K426"/>
    <mergeCell ref="J441:J445"/>
    <mergeCell ref="K441:K445"/>
    <mergeCell ref="J446:J450"/>
    <mergeCell ref="K446:K450"/>
    <mergeCell ref="K452:N452"/>
    <mergeCell ref="O452:Q452"/>
    <mergeCell ref="S452:T452"/>
    <mergeCell ref="B375:B379"/>
    <mergeCell ref="B384:B388"/>
    <mergeCell ref="B389:B393"/>
    <mergeCell ref="B394:B398"/>
    <mergeCell ref="B399:B403"/>
    <mergeCell ref="B405:E405"/>
    <mergeCell ref="F405:H405"/>
    <mergeCell ref="A352:A356"/>
    <mergeCell ref="A358:A359"/>
    <mergeCell ref="A360:A364"/>
    <mergeCell ref="B360:B364"/>
    <mergeCell ref="A365:A369"/>
    <mergeCell ref="B365:B369"/>
    <mergeCell ref="B370:B374"/>
    <mergeCell ref="A370:A374"/>
    <mergeCell ref="A375:A379"/>
    <mergeCell ref="A382:A383"/>
    <mergeCell ref="A384:A388"/>
    <mergeCell ref="A389:A393"/>
    <mergeCell ref="A394:A398"/>
    <mergeCell ref="A399:A403"/>
    <mergeCell ref="A422:A426"/>
    <mergeCell ref="B422:B426"/>
    <mergeCell ref="A429:A430"/>
    <mergeCell ref="B429:E429"/>
    <mergeCell ref="F429:H429"/>
    <mergeCell ref="A405:A406"/>
    <mergeCell ref="A407:A411"/>
    <mergeCell ref="B407:B411"/>
    <mergeCell ref="A412:A416"/>
    <mergeCell ref="B412:B416"/>
    <mergeCell ref="A417:A421"/>
    <mergeCell ref="B417:B421"/>
    <mergeCell ref="A446:A450"/>
    <mergeCell ref="A452:A453"/>
    <mergeCell ref="B452:E452"/>
    <mergeCell ref="F452:H452"/>
    <mergeCell ref="A431:A435"/>
    <mergeCell ref="B431:B435"/>
    <mergeCell ref="A436:A440"/>
    <mergeCell ref="B436:B440"/>
    <mergeCell ref="A441:A445"/>
    <mergeCell ref="B441:B445"/>
    <mergeCell ref="B446:B450"/>
    <mergeCell ref="A493:A497"/>
    <mergeCell ref="B493:B497"/>
    <mergeCell ref="J493:J497"/>
    <mergeCell ref="K493:K497"/>
    <mergeCell ref="A499:A500"/>
    <mergeCell ref="B499:E499"/>
    <mergeCell ref="J499:J500"/>
    <mergeCell ref="A501:A505"/>
    <mergeCell ref="B501:B505"/>
    <mergeCell ref="J501:J505"/>
    <mergeCell ref="K501:K505"/>
    <mergeCell ref="B506:B510"/>
    <mergeCell ref="J506:J510"/>
    <mergeCell ref="K506:K510"/>
    <mergeCell ref="A525:A529"/>
    <mergeCell ref="B525:B529"/>
    <mergeCell ref="A530:A534"/>
    <mergeCell ref="B530:B534"/>
    <mergeCell ref="A535:A539"/>
    <mergeCell ref="B535:B539"/>
    <mergeCell ref="B540:B544"/>
    <mergeCell ref="A548:A552"/>
    <mergeCell ref="B548:B552"/>
    <mergeCell ref="A553:A557"/>
    <mergeCell ref="B553:B557"/>
    <mergeCell ref="A558:A562"/>
    <mergeCell ref="B558:B562"/>
    <mergeCell ref="B563:B567"/>
  </mergeCells>
  <dataValidations>
    <dataValidation type="list" allowBlank="1" showInputMessage="1" showErrorMessage="1" prompt=" - " sqref="T34 T64 T111 T158 T205 T252 T299 T346 T393 T440 T487 T534 T581">
      <formula1>"531,351"</formula1>
    </dataValidation>
    <dataValidation type="list" allowBlank="1" showInputMessage="1" showErrorMessage="1" prompt=" - " sqref="S7 S54 S101 S148 S195 S242 S289 S336 S383 S430 S477 S524 S571">
      <formula1>"Boring But Big,Simplest Strength Template,Accessory Only"</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6.38"/>
    <col customWidth="1" min="4" max="4" width="9.63"/>
    <col customWidth="1" min="8" max="8" width="1.25"/>
    <col customWidth="1" min="9" max="9" width="24.0"/>
    <col customWidth="1" min="10" max="10" width="5.13"/>
    <col customWidth="1" min="16" max="16" width="1.25"/>
    <col customWidth="1" min="17" max="17" width="24.0"/>
    <col customWidth="1" min="18" max="18" width="5.13"/>
    <col customWidth="1" min="24" max="24" width="1.25"/>
  </cols>
  <sheetData>
    <row r="1">
      <c r="E1" s="264" t="s">
        <v>293</v>
      </c>
    </row>
    <row r="2">
      <c r="E2" s="264" t="s">
        <v>294</v>
      </c>
    </row>
    <row r="3">
      <c r="A3" s="47" t="s">
        <v>56</v>
      </c>
      <c r="B3" s="264" t="s">
        <v>295</v>
      </c>
      <c r="E3" s="264" t="s">
        <v>296</v>
      </c>
    </row>
    <row r="4">
      <c r="A4" s="88"/>
      <c r="B4" s="89" t="s">
        <v>84</v>
      </c>
      <c r="C4" s="60"/>
      <c r="D4" s="60"/>
      <c r="E4" s="90"/>
      <c r="F4" s="91"/>
      <c r="G4" s="91"/>
      <c r="I4" s="91"/>
      <c r="J4" s="89"/>
      <c r="K4" s="89" t="s">
        <v>85</v>
      </c>
      <c r="L4" s="91"/>
      <c r="M4" s="91"/>
      <c r="N4" s="91"/>
      <c r="O4" s="91"/>
      <c r="Q4" s="91"/>
      <c r="R4" s="89"/>
      <c r="S4" s="89" t="s">
        <v>86</v>
      </c>
      <c r="T4" s="91"/>
      <c r="U4" s="91"/>
      <c r="V4" s="91"/>
      <c r="W4" s="91"/>
      <c r="Y4" s="93" t="s">
        <v>87</v>
      </c>
      <c r="Z4" s="94"/>
    </row>
    <row r="5">
      <c r="A5" s="44" t="s">
        <v>36</v>
      </c>
      <c r="B5" s="96" t="s">
        <v>27</v>
      </c>
      <c r="C5" s="96" t="s">
        <v>26</v>
      </c>
      <c r="D5" s="265" t="s">
        <v>88</v>
      </c>
      <c r="E5" s="97" t="s">
        <v>89</v>
      </c>
      <c r="F5" s="265" t="s">
        <v>297</v>
      </c>
      <c r="G5" s="96" t="s">
        <v>91</v>
      </c>
      <c r="I5" s="44" t="s">
        <v>36</v>
      </c>
      <c r="J5" s="96" t="s">
        <v>27</v>
      </c>
      <c r="K5" s="96" t="s">
        <v>26</v>
      </c>
      <c r="L5" s="265" t="s">
        <v>88</v>
      </c>
      <c r="M5" s="97" t="s">
        <v>89</v>
      </c>
      <c r="N5" s="265" t="s">
        <v>297</v>
      </c>
      <c r="O5" s="96" t="s">
        <v>91</v>
      </c>
      <c r="Q5" s="44" t="s">
        <v>36</v>
      </c>
      <c r="R5" s="96" t="s">
        <v>27</v>
      </c>
      <c r="S5" s="96" t="s">
        <v>26</v>
      </c>
      <c r="T5" s="265" t="s">
        <v>88</v>
      </c>
      <c r="U5" s="97" t="s">
        <v>89</v>
      </c>
      <c r="V5" s="265" t="s">
        <v>297</v>
      </c>
      <c r="W5" s="96" t="s">
        <v>91</v>
      </c>
    </row>
    <row r="6">
      <c r="A6" s="47" t="s">
        <v>37</v>
      </c>
      <c r="B6" s="47" t="s">
        <v>298</v>
      </c>
      <c r="C6" s="266">
        <v>90.0</v>
      </c>
      <c r="D6" s="120">
        <f>IF('Start-Options'!D11="","",ROUND((37-36*C6/('Start-Options'!F11+'Start-Options'!F36)),0))</f>
        <v>5</v>
      </c>
      <c r="E6" s="120">
        <f>IF('Start-Options'!D11="","",MROUND(C6*36/(37-D6),'Start-Options'!$B$38))</f>
        <v>102.5</v>
      </c>
      <c r="F6" s="121">
        <v>8.0</v>
      </c>
      <c r="G6" s="122">
        <f>IF(F6="","",MROUND(36*C6/(37-F6),'Start-Options'!$B$38))</f>
        <v>112.5</v>
      </c>
      <c r="I6" s="47" t="s">
        <v>37</v>
      </c>
      <c r="J6" s="47" t="s">
        <v>298</v>
      </c>
      <c r="K6" s="266">
        <v>90.0</v>
      </c>
      <c r="N6" s="121"/>
      <c r="Q6" s="47" t="s">
        <v>37</v>
      </c>
      <c r="R6" s="47" t="s">
        <v>298</v>
      </c>
    </row>
    <row r="7">
      <c r="A7" s="47" t="s">
        <v>39</v>
      </c>
      <c r="B7" s="47" t="s">
        <v>299</v>
      </c>
      <c r="C7" s="266">
        <v>90.0</v>
      </c>
      <c r="D7" s="120">
        <f>IF('Start-Options'!D11="","",ROUND((37-36*C7/('Start-Options'!F11+'Start-Options'!F35)),0))</f>
        <v>5</v>
      </c>
      <c r="E7" s="120">
        <f>IF('Start-Options'!D11="","",MROUND(C7*36/(37-D7),'Start-Options'!$B$38))</f>
        <v>102.5</v>
      </c>
      <c r="F7" s="121">
        <v>8.0</v>
      </c>
      <c r="G7" s="122">
        <f>IF(F7="","",MROUND(36*C7/(37-F7),'Start-Options'!$B$38))</f>
        <v>112.5</v>
      </c>
      <c r="I7" s="47" t="s">
        <v>39</v>
      </c>
      <c r="J7" s="47" t="s">
        <v>299</v>
      </c>
      <c r="K7" s="266">
        <v>90.0</v>
      </c>
      <c r="N7" s="121"/>
      <c r="Q7" s="47" t="s">
        <v>39</v>
      </c>
      <c r="R7" s="47" t="s">
        <v>299</v>
      </c>
    </row>
    <row r="8">
      <c r="A8" s="47" t="s">
        <v>38</v>
      </c>
      <c r="B8" s="47" t="s">
        <v>300</v>
      </c>
      <c r="C8" s="103">
        <f>IF('Start-Options'!D12="","",MROUND('Start-Options'!F12*0.75,'Start-Options'!$B$38))</f>
        <v>37.5</v>
      </c>
      <c r="D8" s="120">
        <f>IF('Start-Options'!D12="","",ROUND((37-36*C8/('Start-Options'!F12+'Start-Options'!F36)),0))</f>
        <v>11</v>
      </c>
      <c r="E8" s="120">
        <f>IF('Start-Options'!D12="","",MROUND(C8*36/(37-D8),'Start-Options'!$B$38))</f>
        <v>52.5</v>
      </c>
      <c r="F8" s="121">
        <v>12.0</v>
      </c>
      <c r="G8" s="122">
        <f>IF(F8="","",MROUND(36*C8/(37-F8),'Start-Options'!$B$38))</f>
        <v>55</v>
      </c>
      <c r="I8" s="47" t="s">
        <v>38</v>
      </c>
      <c r="J8" s="47" t="s">
        <v>300</v>
      </c>
      <c r="K8" s="103">
        <f>IF('Start-Options'!D12="","",MROUND('Start-Options'!D12*0.75,'Start-Options'!$B$38))</f>
        <v>7.5</v>
      </c>
      <c r="N8" s="121"/>
      <c r="Q8" s="47" t="s">
        <v>38</v>
      </c>
      <c r="R8" s="47" t="s">
        <v>300</v>
      </c>
    </row>
    <row r="9">
      <c r="A9" s="47" t="s">
        <v>40</v>
      </c>
      <c r="B9" s="47" t="s">
        <v>300</v>
      </c>
      <c r="C9" s="103">
        <f>IF('Start-Options'!D14="","",MROUND('Start-Options'!F14*0.75,'Start-Options'!$B$38))</f>
        <v>20</v>
      </c>
      <c r="D9" s="120">
        <f>IF('Start-Options'!D14="","",ROUND((37-36*C9/('Start-Options'!F14+'Start-Options'!F36)),0))</f>
        <v>11</v>
      </c>
      <c r="E9" s="120">
        <f>IF('Start-Options'!D14="","",MROUND(C9*36/(37-D9),'Start-Options'!$B$38))</f>
        <v>27.5</v>
      </c>
      <c r="F9" s="121">
        <v>9.0</v>
      </c>
      <c r="G9" s="122">
        <f>IF(F9="","",MROUND(36*C9/(37-F9),'Start-Options'!$B$38))</f>
        <v>25</v>
      </c>
      <c r="I9" s="47" t="s">
        <v>40</v>
      </c>
      <c r="J9" s="47" t="s">
        <v>300</v>
      </c>
      <c r="K9" s="103">
        <f>IF('Start-Options'!D14="","",MROUND('Start-Options'!F14*0.75,'Start-Options'!$B$38))</f>
        <v>20</v>
      </c>
      <c r="N9" s="121"/>
      <c r="Q9" s="47" t="s">
        <v>40</v>
      </c>
      <c r="R9" s="47" t="s">
        <v>300</v>
      </c>
    </row>
    <row r="10">
      <c r="A10" s="47" t="s">
        <v>301</v>
      </c>
      <c r="B10" s="47" t="s">
        <v>302</v>
      </c>
      <c r="C10" s="266">
        <v>30.0</v>
      </c>
      <c r="D10" s="120">
        <f>IF('Start-Options'!D15="","",ROUND((37-36*C10/('Start-Options'!F15+'Start-Options'!F34)),0))</f>
        <v>8</v>
      </c>
      <c r="E10" s="120">
        <f>IF('Start-Options'!D15="","",MROUND(C10*36/(37-D10),'Start-Options'!$B$38))</f>
        <v>37.5</v>
      </c>
      <c r="F10" s="121">
        <v>10.0</v>
      </c>
      <c r="G10" s="122">
        <f>IF(F10="","",MROUND(36*C10/(37-F10),'Start-Options'!$B$38))</f>
        <v>40</v>
      </c>
      <c r="I10" s="47" t="s">
        <v>301</v>
      </c>
      <c r="J10" s="47" t="s">
        <v>302</v>
      </c>
      <c r="K10" s="266">
        <v>30.0</v>
      </c>
      <c r="N10" s="121"/>
      <c r="Q10" s="47" t="s">
        <v>301</v>
      </c>
      <c r="R10" s="47" t="s">
        <v>302</v>
      </c>
    </row>
    <row r="11">
      <c r="A11" s="47" t="s">
        <v>42</v>
      </c>
      <c r="B11" s="47" t="s">
        <v>302</v>
      </c>
      <c r="C11" s="266">
        <v>10.0</v>
      </c>
      <c r="D11" s="120">
        <f>IF('Start-Options'!D16="","",ROUND((37-36*C11/('Start-Options'!F16+'Start-Options'!F35)),0))</f>
        <v>16</v>
      </c>
      <c r="E11" s="120">
        <f>IF('Start-Options'!D16="","",MROUND(C11*36/(37-D11),'Start-Options'!$B$38))</f>
        <v>17.5</v>
      </c>
      <c r="F11" s="121">
        <v>12.0</v>
      </c>
      <c r="G11" s="122">
        <f>IF(F11="","",MROUND(36*C11/(37-F11),'Start-Options'!$B$38))</f>
        <v>15</v>
      </c>
      <c r="I11" s="47" t="s">
        <v>42</v>
      </c>
      <c r="J11" s="47" t="s">
        <v>302</v>
      </c>
      <c r="K11" s="266">
        <v>10.0</v>
      </c>
      <c r="N11" s="121"/>
      <c r="Q11" s="47" t="s">
        <v>42</v>
      </c>
      <c r="R11" s="47" t="s">
        <v>302</v>
      </c>
    </row>
    <row r="12">
      <c r="A12" s="44" t="s">
        <v>44</v>
      </c>
      <c r="B12" s="96" t="s">
        <v>27</v>
      </c>
      <c r="C12" s="96" t="s">
        <v>26</v>
      </c>
      <c r="D12" s="265" t="s">
        <v>88</v>
      </c>
      <c r="E12" s="97" t="s">
        <v>89</v>
      </c>
      <c r="F12" s="265" t="s">
        <v>297</v>
      </c>
      <c r="G12" s="96" t="s">
        <v>91</v>
      </c>
      <c r="I12" s="44" t="s">
        <v>44</v>
      </c>
      <c r="J12" s="96" t="s">
        <v>27</v>
      </c>
      <c r="Q12" s="44" t="s">
        <v>44</v>
      </c>
      <c r="R12" s="96" t="s">
        <v>27</v>
      </c>
    </row>
    <row r="13">
      <c r="A13" s="47" t="s">
        <v>45</v>
      </c>
      <c r="B13" s="47" t="s">
        <v>303</v>
      </c>
      <c r="C13" s="266">
        <f>IF('Start-Options'!D18="","",MROUND('Start-Options'!F18*0.75,'Start-Options'!$B$38))</f>
        <v>42.5</v>
      </c>
      <c r="D13" s="120">
        <f>IF('Start-Options'!D18="","",ROUND((37-36*C13/('Start-Options'!F18+'Start-Options'!$F$36)),0))</f>
        <v>10</v>
      </c>
      <c r="E13" s="120">
        <f>IF('Start-Options'!D18="","",MROUND(C13*36/(37-D13),'Start-Options'!$B$38))</f>
        <v>57.5</v>
      </c>
      <c r="F13" s="121"/>
      <c r="G13" s="122" t="str">
        <f>IF(F13="","",MROUND(36*C13/(37-F13),'Start-Options'!$B$38))</f>
        <v/>
      </c>
      <c r="I13" s="47" t="s">
        <v>45</v>
      </c>
      <c r="J13" s="47" t="s">
        <v>303</v>
      </c>
      <c r="Q13" s="47" t="s">
        <v>45</v>
      </c>
      <c r="R13" s="47" t="s">
        <v>303</v>
      </c>
    </row>
    <row r="14">
      <c r="A14" s="47" t="s">
        <v>46</v>
      </c>
      <c r="B14" s="47" t="s">
        <v>300</v>
      </c>
      <c r="C14" s="266">
        <f>IF('Start-Options'!D19="","",MROUND('Start-Options'!F19*0.75,'Start-Options'!$B$38))</f>
        <v>27.5</v>
      </c>
      <c r="D14" s="120">
        <f>IF('Start-Options'!D19="","",ROUND((37-36*C14/('Start-Options'!F19+'Start-Options'!$F$36)),0))</f>
        <v>11</v>
      </c>
      <c r="E14" s="120">
        <f>IF('Start-Options'!D19="","",MROUND(C14*36/(37-D14),'Start-Options'!$B$38))</f>
        <v>37.5</v>
      </c>
      <c r="F14" s="121"/>
      <c r="G14" s="122" t="str">
        <f>IF(F14="","",MROUND(36*C14/(37-F14),'Start-Options'!$B$38))</f>
        <v/>
      </c>
      <c r="I14" s="47" t="s">
        <v>46</v>
      </c>
      <c r="J14" s="47" t="s">
        <v>300</v>
      </c>
      <c r="Q14" s="47" t="s">
        <v>46</v>
      </c>
      <c r="R14" s="47" t="s">
        <v>300</v>
      </c>
    </row>
    <row r="15">
      <c r="A15" s="47" t="s">
        <v>47</v>
      </c>
      <c r="B15" s="47" t="s">
        <v>304</v>
      </c>
      <c r="C15" s="266">
        <v>90.0</v>
      </c>
      <c r="D15" s="120">
        <f>IF('Start-Options'!D20="","",ROUND((37-36*C15/('Start-Options'!F20+'Start-Options'!$F$36)),0))</f>
        <v>5</v>
      </c>
      <c r="E15" s="120">
        <f>IF('Start-Options'!D20="","",MROUND(C15*36/(37-D15),'Start-Options'!$B$38))</f>
        <v>102.5</v>
      </c>
      <c r="F15" s="121">
        <v>22.0</v>
      </c>
      <c r="G15" s="122">
        <f>IF(F15="","",MROUND(36*C15/(37-F15),'Start-Options'!$B$38))</f>
        <v>215</v>
      </c>
      <c r="I15" s="47" t="s">
        <v>47</v>
      </c>
      <c r="J15" s="47" t="s">
        <v>304</v>
      </c>
      <c r="Q15" s="47" t="s">
        <v>47</v>
      </c>
      <c r="R15" s="47" t="s">
        <v>304</v>
      </c>
    </row>
    <row r="16">
      <c r="A16" s="44" t="s">
        <v>48</v>
      </c>
      <c r="B16" s="96" t="s">
        <v>27</v>
      </c>
      <c r="C16" s="96" t="s">
        <v>26</v>
      </c>
      <c r="D16" s="265" t="s">
        <v>88</v>
      </c>
      <c r="E16" s="97" t="s">
        <v>89</v>
      </c>
      <c r="F16" s="265" t="s">
        <v>297</v>
      </c>
      <c r="G16" s="96" t="s">
        <v>91</v>
      </c>
      <c r="I16" s="44" t="s">
        <v>48</v>
      </c>
      <c r="J16" s="96" t="s">
        <v>27</v>
      </c>
      <c r="Q16" s="44" t="s">
        <v>48</v>
      </c>
      <c r="R16" s="96" t="s">
        <v>27</v>
      </c>
    </row>
    <row r="17">
      <c r="A17" s="47" t="s">
        <v>38</v>
      </c>
      <c r="B17" s="47" t="s">
        <v>300</v>
      </c>
      <c r="C17" s="266">
        <f>IF('Start-Options'!D12="","",MROUND('Start-Options'!F12*0.75,'Start-Options'!$B$38))</f>
        <v>37.5</v>
      </c>
      <c r="D17" s="120">
        <f>IF(G8="","",IF(G8&lt;'Start-Options'!F12,ROUND((37-36*C17/('Start-Options'!F12+'Start-Options'!$F$36)),0),ROUND((37-36*C17/(G8+'Start-Options'!$F$36)),0)))</f>
        <v>14</v>
      </c>
      <c r="E17" s="120">
        <f>IF(D17="","",MROUND(C17*36/(37-D17),'Start-Options'!B38))</f>
        <v>57.5</v>
      </c>
      <c r="F17" s="121">
        <v>3.0</v>
      </c>
      <c r="G17" s="122">
        <f>IF(F17="","",MROUND(36*C17/(37-F17),'Start-Options'!$B$38))</f>
        <v>40</v>
      </c>
      <c r="I17" s="47" t="s">
        <v>38</v>
      </c>
      <c r="J17" s="47" t="s">
        <v>300</v>
      </c>
      <c r="Q17" s="47" t="s">
        <v>38</v>
      </c>
      <c r="R17" s="47" t="s">
        <v>300</v>
      </c>
    </row>
    <row r="18">
      <c r="A18" s="47" t="s">
        <v>49</v>
      </c>
      <c r="B18" s="47" t="s">
        <v>298</v>
      </c>
      <c r="C18" s="266">
        <v>90.0</v>
      </c>
      <c r="D18" s="120">
        <f>IF('Start-Options'!D22="","",ROUND((37-36*C18/('Start-Options'!F22+'Start-Options'!$F$36)),0))</f>
        <v>5</v>
      </c>
      <c r="E18" s="120">
        <f>IF('Start-Options'!D22="","",MROUND(C18*36/(37-D18),'Start-Options'!$B$38))</f>
        <v>102.5</v>
      </c>
      <c r="F18" s="121"/>
      <c r="G18" s="122" t="str">
        <f>IF(F18="","",MROUND(36*C18/(37-F18),'Start-Options'!$B$38))</f>
        <v/>
      </c>
      <c r="I18" s="47" t="s">
        <v>49</v>
      </c>
      <c r="J18" s="47" t="s">
        <v>298</v>
      </c>
      <c r="Q18" s="47" t="s">
        <v>49</v>
      </c>
      <c r="R18" s="47" t="s">
        <v>298</v>
      </c>
    </row>
    <row r="19">
      <c r="A19" s="47" t="s">
        <v>50</v>
      </c>
      <c r="B19" s="47" t="s">
        <v>304</v>
      </c>
      <c r="C19" s="266">
        <f>IF('Start-Options'!D23="","",MROUND('Start-Options'!F23*0.75,'Start-Options'!$B$38))</f>
        <v>42.5</v>
      </c>
      <c r="D19" s="120">
        <f>IF('Start-Options'!D23="","",ROUND((37-36*C19/('Start-Options'!F23+'Start-Options'!$F$36)),0))</f>
        <v>10</v>
      </c>
      <c r="E19" s="120">
        <f>IF(D19="","",MROUND(C19*36/(37-D19),'Start-Options'!$B$38))</f>
        <v>57.5</v>
      </c>
      <c r="F19" s="121"/>
      <c r="G19" s="122" t="str">
        <f>IF(F19="","",MROUND(36*C19/(37-F19),'Start-Options'!$B$38))</f>
        <v/>
      </c>
      <c r="I19" s="47" t="s">
        <v>50</v>
      </c>
      <c r="J19" s="47" t="s">
        <v>304</v>
      </c>
      <c r="Q19" s="47" t="s">
        <v>50</v>
      </c>
      <c r="R19" s="47" t="s">
        <v>304</v>
      </c>
    </row>
    <row r="20">
      <c r="A20" s="47" t="s">
        <v>51</v>
      </c>
      <c r="B20" s="47" t="s">
        <v>300</v>
      </c>
      <c r="C20" s="266">
        <f>IF('Start-Options'!D24="","",MROUND('Start-Options'!F24*0.75,'Start-Options'!$B$38))</f>
        <v>27.5</v>
      </c>
      <c r="D20" s="120">
        <f>IF('Start-Options'!D24="","",ROUND((37-36*C20/('Start-Options'!F24+'Start-Options'!$F$36)),0))</f>
        <v>11</v>
      </c>
      <c r="E20" s="120">
        <f>IF(D20="","",MROUND(C20*36/(37-D20),'Start-Options'!$B$38))</f>
        <v>37.5</v>
      </c>
      <c r="F20" s="121"/>
      <c r="G20" s="122" t="str">
        <f>IF(F20="","",MROUND(36*C20/(37-F20),'Start-Options'!$B$38))</f>
        <v/>
      </c>
      <c r="I20" s="47" t="s">
        <v>51</v>
      </c>
      <c r="J20" s="47" t="s">
        <v>300</v>
      </c>
      <c r="Q20" s="47" t="s">
        <v>51</v>
      </c>
      <c r="R20" s="47" t="s">
        <v>300</v>
      </c>
    </row>
    <row r="21">
      <c r="A21" s="47" t="s">
        <v>305</v>
      </c>
      <c r="B21" s="47" t="s">
        <v>300</v>
      </c>
      <c r="C21" s="266">
        <f>IF('Start-Options'!D25="","",MROUND('Start-Options'!F25*0.75,'Start-Options'!$B$38))</f>
        <v>12.5</v>
      </c>
      <c r="D21" s="120">
        <f>IF('Start-Options'!D25="","",ROUND((37-36*C21/('Start-Options'!F25+'Start-Options'!$F$36)),0))</f>
        <v>11</v>
      </c>
      <c r="E21" s="120">
        <f>IF(D21="","",MROUND(C21*36/(37-D21),'Start-Options'!$B$38))</f>
        <v>17.5</v>
      </c>
      <c r="F21" s="121"/>
      <c r="G21" s="122" t="str">
        <f>IF(F21="","",MROUND(36*C21/(37-F21),'Start-Options'!$B$38))</f>
        <v/>
      </c>
      <c r="I21" s="47" t="s">
        <v>305</v>
      </c>
      <c r="J21" s="47" t="s">
        <v>300</v>
      </c>
      <c r="Q21" s="47" t="s">
        <v>305</v>
      </c>
      <c r="R21" s="47" t="s">
        <v>300</v>
      </c>
    </row>
    <row r="22">
      <c r="A22" s="47" t="s">
        <v>301</v>
      </c>
      <c r="B22" s="47" t="s">
        <v>302</v>
      </c>
      <c r="C22" s="266">
        <f>IF('Start-Options'!D15="","",MROUND('Start-Options'!F15*0.75,'Start-Options'!$B$38))</f>
        <v>27.5</v>
      </c>
      <c r="D22" s="120">
        <f>IF(G10="","",IF(G10&lt;'Start-Options'!F17,ROUND((37-36*C22/('Start-Options'!F17+'Start-Options'!$F$36)),0),ROUND((37-36*C22/(G10+'Start-Options'!$F$36)),0)))</f>
        <v>14</v>
      </c>
      <c r="E22" s="120">
        <f>IF(D22="","",MROUND(C22*36/(37-D22),'Start-Options'!$B$38))</f>
        <v>42.5</v>
      </c>
      <c r="F22" s="121"/>
      <c r="G22" s="122" t="str">
        <f>IF(F22="","",MROUND(36*C22/(37-F22),'Start-Options'!$B$38))</f>
        <v/>
      </c>
      <c r="I22" s="47" t="s">
        <v>301</v>
      </c>
      <c r="J22" s="47" t="s">
        <v>302</v>
      </c>
      <c r="Q22" s="47" t="s">
        <v>301</v>
      </c>
      <c r="R22" s="47" t="s">
        <v>302</v>
      </c>
    </row>
    <row r="23">
      <c r="A23" s="44" t="s">
        <v>53</v>
      </c>
      <c r="B23" s="96" t="s">
        <v>27</v>
      </c>
      <c r="C23" s="96" t="s">
        <v>26</v>
      </c>
      <c r="D23" s="265" t="s">
        <v>88</v>
      </c>
      <c r="E23" s="97" t="s">
        <v>89</v>
      </c>
      <c r="F23" s="265" t="s">
        <v>297</v>
      </c>
      <c r="G23" s="96" t="s">
        <v>91</v>
      </c>
      <c r="I23" s="44" t="s">
        <v>53</v>
      </c>
      <c r="J23" s="96" t="s">
        <v>27</v>
      </c>
      <c r="Q23" s="44" t="s">
        <v>53</v>
      </c>
      <c r="R23" s="96" t="s">
        <v>27</v>
      </c>
    </row>
    <row r="24">
      <c r="A24" s="47" t="s">
        <v>38</v>
      </c>
      <c r="B24" s="47" t="s">
        <v>300</v>
      </c>
      <c r="C24" s="266">
        <f>IF('Start-Options'!D12="","",MROUND('Start-Options'!F12*0.75,'Start-Options'!$B$38))</f>
        <v>37.5</v>
      </c>
      <c r="D24" s="120">
        <f>IF(G17="","",IF(G17&lt;'Start-Options'!F19,ROUND((37-36*C24/('Start-Options'!F19+'Start-Options'!$F$36)),0),ROUND((37-36*C24/(G17+'Start-Options'!$F$36)),0)))</f>
        <v>5</v>
      </c>
      <c r="E24" s="120">
        <f>IF(D24="","",MROUND(C24*36/(37-D24),'Start-Options'!$B$38))</f>
        <v>42.5</v>
      </c>
      <c r="F24" s="121"/>
      <c r="G24" s="122" t="str">
        <f>IF(F24="","",MROUND(36*C24/(37-F24),'Start-Options'!$B$38))</f>
        <v/>
      </c>
      <c r="I24" s="47" t="s">
        <v>38</v>
      </c>
      <c r="J24" s="47" t="s">
        <v>300</v>
      </c>
      <c r="Q24" s="47" t="s">
        <v>38</v>
      </c>
      <c r="R24" s="47" t="s">
        <v>300</v>
      </c>
    </row>
    <row r="25">
      <c r="A25" s="47" t="s">
        <v>54</v>
      </c>
      <c r="B25" s="47" t="s">
        <v>300</v>
      </c>
      <c r="C25" s="266">
        <f>IF('Start-Options'!D27="","",MROUND('Start-Options'!F27*0.75,'Start-Options'!$B$38))</f>
        <v>27.5</v>
      </c>
      <c r="D25" s="120">
        <f>IF('Start-Options'!D27="","",ROUND((37-36*C25/('Start-Options'!F27+'Start-Options'!$F$36)),0))</f>
        <v>11</v>
      </c>
      <c r="E25" s="120">
        <f>IF(D25="","",MROUND(C25*36/(37-D25),'Start-Options'!$B$38))</f>
        <v>37.5</v>
      </c>
      <c r="F25" s="121"/>
      <c r="G25" s="122" t="str">
        <f>IF(F25="","",MROUND(36*C25/(37-F25),'Start-Options'!$B$38))</f>
        <v/>
      </c>
      <c r="I25" s="47" t="s">
        <v>54</v>
      </c>
      <c r="J25" s="47" t="s">
        <v>300</v>
      </c>
      <c r="Q25" s="47" t="s">
        <v>54</v>
      </c>
      <c r="R25" s="47" t="s">
        <v>300</v>
      </c>
    </row>
    <row r="26">
      <c r="A26" s="47" t="s">
        <v>55</v>
      </c>
      <c r="B26" s="47" t="s">
        <v>300</v>
      </c>
      <c r="C26" s="266">
        <f>IF('Start-Options'!D28="","",MROUND('Start-Options'!F28*0.75,'Start-Options'!$B$38))</f>
        <v>12.5</v>
      </c>
      <c r="D26" s="120">
        <f>IF('Start-Options'!D28="","",ROUND((37-36*C26/('Start-Options'!F28+'Start-Options'!$F$36)),0))</f>
        <v>11</v>
      </c>
      <c r="E26" s="120">
        <f>IF(D26="","",MROUND(C26*36/(37-D26),'Start-Options'!$B$38))</f>
        <v>17.5</v>
      </c>
      <c r="F26" s="121"/>
      <c r="G26" s="122" t="str">
        <f>IF(F26="","",MROUND(36*C26/(37-F26),'Start-Options'!$B$38))</f>
        <v/>
      </c>
      <c r="I26" s="47" t="s">
        <v>55</v>
      </c>
      <c r="J26" s="47" t="s">
        <v>300</v>
      </c>
      <c r="Q26" s="47" t="s">
        <v>55</v>
      </c>
      <c r="R26" s="47" t="s">
        <v>300</v>
      </c>
    </row>
    <row r="27">
      <c r="A27" s="47" t="s">
        <v>56</v>
      </c>
      <c r="B27" s="47" t="s">
        <v>304</v>
      </c>
      <c r="C27" s="266">
        <f>IF('Start-Options'!D29="","",MROUND('Start-Options'!F29*0.75,'Start-Options'!$B$38))</f>
        <v>12.5</v>
      </c>
      <c r="D27" s="120">
        <f>IF('Start-Options'!D29="","",ROUND((37-36*C27/('Start-Options'!F29+'Start-Options'!$F$36)),0))</f>
        <v>11</v>
      </c>
      <c r="E27" s="120">
        <f>IF(D27="","",MROUND(C27*36/(37-D27),'Start-Options'!$B$38))</f>
        <v>17.5</v>
      </c>
      <c r="F27" s="121"/>
      <c r="G27" s="122" t="str">
        <f>IF(F27="","",MROUND(36*C27/(37-F27),'Start-Options'!$B$38))</f>
        <v/>
      </c>
      <c r="I27" s="47" t="s">
        <v>56</v>
      </c>
      <c r="J27" s="47" t="s">
        <v>304</v>
      </c>
      <c r="Q27" s="47" t="s">
        <v>56</v>
      </c>
      <c r="R27" s="47" t="s">
        <v>304</v>
      </c>
    </row>
    <row r="28">
      <c r="A28" s="47" t="s">
        <v>47</v>
      </c>
      <c r="B28" s="47" t="s">
        <v>304</v>
      </c>
      <c r="C28" s="266">
        <v>90.0</v>
      </c>
      <c r="D28" s="120">
        <f>IF(G15="","",IF(G15&lt;'Start-Options'!F23,ROUND((37-36*C28/('Start-Options'!F23+'Start-Options'!$F$36)),0),ROUND((37-36*C28/(G15+'Start-Options'!$F$36)),0)))</f>
        <v>22</v>
      </c>
      <c r="E28" s="120">
        <f>IF(D28="","",MROUND(C28*36/(37-D28),'Start-Options'!$B$38))</f>
        <v>215</v>
      </c>
      <c r="F28" s="121"/>
      <c r="G28" s="122" t="str">
        <f>IF(F28="","",MROUND(36*C28/(37-F28),'Start-Options'!$B$38))</f>
        <v/>
      </c>
      <c r="I28" s="47" t="s">
        <v>47</v>
      </c>
      <c r="J28" s="47" t="s">
        <v>304</v>
      </c>
      <c r="Q28" s="47" t="s">
        <v>47</v>
      </c>
      <c r="R28" s="47" t="s">
        <v>304</v>
      </c>
    </row>
  </sheetData>
  <mergeCells count="2">
    <mergeCell ref="B4:D4"/>
    <mergeCell ref="Y4:Z4"/>
  </mergeCells>
  <hyperlinks>
    <hyperlink r:id="rId1" ref="E1"/>
    <hyperlink r:id="rId2" ref="E2"/>
    <hyperlink r:id="rId3" ref="B3"/>
    <hyperlink r:id="rId4" ref="E3"/>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4" width="7.75"/>
    <col customWidth="1" min="15" max="15" width="2.88"/>
    <col customWidth="1" min="16" max="17" width="7.75"/>
    <col customWidth="1" min="18" max="20" width="8.0"/>
    <col customWidth="1" min="21" max="21" width="1.5"/>
    <col customWidth="1" min="22" max="22" width="4.25"/>
    <col customWidth="1" min="23" max="23" width="4.63"/>
    <col customWidth="1" min="24" max="27" width="7.63"/>
  </cols>
  <sheetData>
    <row r="1" ht="26.25" customHeight="1">
      <c r="A1" s="1"/>
      <c r="B1" s="1"/>
      <c r="C1" s="1"/>
      <c r="D1" s="1"/>
      <c r="E1" s="1"/>
      <c r="F1" s="1"/>
      <c r="G1" s="1"/>
      <c r="H1" s="267" t="s">
        <v>306</v>
      </c>
      <c r="I1" s="1"/>
      <c r="J1" s="1"/>
      <c r="K1" s="1"/>
      <c r="L1" s="1"/>
      <c r="M1" s="3" t="s">
        <v>1</v>
      </c>
      <c r="N1" s="1"/>
      <c r="O1" s="1"/>
      <c r="P1" s="1"/>
      <c r="Q1" s="1"/>
      <c r="R1" s="1"/>
      <c r="S1" s="1"/>
      <c r="T1" s="1"/>
      <c r="U1" s="27"/>
      <c r="V1" s="27"/>
      <c r="W1" s="27"/>
      <c r="X1" s="27"/>
      <c r="Y1" s="27"/>
      <c r="Z1" s="7"/>
      <c r="AA1" s="7"/>
    </row>
    <row r="2" ht="18.0" customHeight="1">
      <c r="A2" s="1"/>
      <c r="B2" s="268"/>
      <c r="C2" s="269" t="s">
        <v>307</v>
      </c>
      <c r="D2" s="5"/>
      <c r="E2" s="5"/>
      <c r="F2" s="5"/>
      <c r="G2" s="5"/>
      <c r="H2" s="5"/>
      <c r="I2" s="5"/>
      <c r="J2" s="5"/>
      <c r="K2" s="5"/>
      <c r="L2" s="5"/>
      <c r="M2" s="5"/>
      <c r="N2" s="5"/>
      <c r="O2" s="5"/>
      <c r="P2" s="5"/>
      <c r="Q2" s="5"/>
      <c r="R2" s="6"/>
      <c r="S2" s="70"/>
      <c r="T2" s="71"/>
      <c r="U2" s="27"/>
      <c r="V2" s="27"/>
      <c r="W2" s="27"/>
      <c r="X2" s="27"/>
      <c r="Y2" s="27"/>
      <c r="Z2" s="7"/>
      <c r="AA2" s="7"/>
    </row>
    <row r="3" ht="7.5" customHeight="1">
      <c r="A3" s="7"/>
      <c r="B3" s="7"/>
      <c r="C3" s="7"/>
      <c r="D3" s="7"/>
      <c r="E3" s="7"/>
      <c r="F3" s="7"/>
      <c r="G3" s="7"/>
      <c r="H3" s="7"/>
      <c r="I3" s="7"/>
      <c r="J3" s="7"/>
      <c r="K3" s="7"/>
      <c r="L3" s="7"/>
      <c r="M3" s="7"/>
      <c r="N3" s="7"/>
      <c r="O3" s="7"/>
      <c r="P3" s="7"/>
      <c r="Q3" s="7"/>
      <c r="R3" s="27"/>
      <c r="S3" s="27"/>
      <c r="T3" s="27"/>
      <c r="U3" s="27"/>
      <c r="V3" s="27"/>
      <c r="W3" s="27"/>
      <c r="X3" s="27"/>
      <c r="Y3" s="27"/>
      <c r="Z3" s="7"/>
      <c r="AA3" s="7"/>
    </row>
    <row r="4" ht="12.0" customHeight="1">
      <c r="A4" s="7"/>
      <c r="B4" s="7"/>
      <c r="C4" s="7"/>
      <c r="D4" s="7"/>
      <c r="E4" s="7"/>
      <c r="F4" s="7"/>
      <c r="G4" s="7"/>
      <c r="H4" s="211" t="s">
        <v>308</v>
      </c>
      <c r="I4" s="41"/>
      <c r="J4" s="41"/>
      <c r="K4" s="42"/>
      <c r="L4" s="7"/>
      <c r="M4" s="54" t="s">
        <v>60</v>
      </c>
      <c r="N4" s="6"/>
      <c r="O4" s="7"/>
      <c r="P4" s="7"/>
      <c r="Q4" s="7"/>
      <c r="R4" s="7"/>
      <c r="S4" s="7"/>
      <c r="T4" s="7"/>
      <c r="U4" s="7"/>
      <c r="V4" s="7"/>
      <c r="W4" s="7"/>
      <c r="X4" s="27"/>
      <c r="Y4" s="27"/>
      <c r="Z4" s="7"/>
      <c r="AA4" s="7"/>
    </row>
    <row r="5" ht="12.0" customHeight="1">
      <c r="A5" s="7"/>
      <c r="B5" s="7"/>
      <c r="C5" s="7"/>
      <c r="D5" s="7"/>
      <c r="E5" s="7"/>
      <c r="F5" s="7"/>
      <c r="G5" s="7"/>
      <c r="H5" s="215" t="s">
        <v>30</v>
      </c>
      <c r="I5" s="215" t="s">
        <v>31</v>
      </c>
      <c r="J5" s="215" t="s">
        <v>32</v>
      </c>
      <c r="K5" s="215" t="s">
        <v>194</v>
      </c>
      <c r="L5" s="7"/>
      <c r="M5" s="53" t="s">
        <v>64</v>
      </c>
      <c r="N5" s="6"/>
      <c r="O5" s="7"/>
      <c r="P5" s="7"/>
      <c r="Q5" s="7"/>
      <c r="R5" s="7"/>
      <c r="S5" s="7"/>
      <c r="T5" s="7"/>
      <c r="U5" s="7"/>
      <c r="V5" s="7"/>
      <c r="W5" s="7"/>
      <c r="X5" s="27"/>
      <c r="Y5" s="27"/>
      <c r="Z5" s="7"/>
      <c r="AA5" s="7"/>
    </row>
    <row r="6" ht="12.75" customHeight="1">
      <c r="A6" s="7"/>
      <c r="B6" s="7"/>
      <c r="C6" s="7"/>
      <c r="D6" s="7"/>
      <c r="E6" s="7"/>
      <c r="F6" s="7"/>
      <c r="G6" s="7"/>
      <c r="H6" s="25">
        <f t="shared" ref="H6:K6" si="1">IF(MAX(X11:X49)=0,"",MAX(X11:X49))</f>
        <v>67.5</v>
      </c>
      <c r="I6" s="25">
        <f t="shared" si="1"/>
        <v>152.5</v>
      </c>
      <c r="J6" s="25">
        <f t="shared" si="1"/>
        <v>85</v>
      </c>
      <c r="K6" s="25">
        <f t="shared" si="1"/>
        <v>107.5</v>
      </c>
      <c r="L6" s="7"/>
      <c r="M6" s="53" t="s">
        <v>77</v>
      </c>
      <c r="N6" s="6"/>
      <c r="O6" s="7"/>
      <c r="P6" s="7"/>
      <c r="Q6" s="7"/>
      <c r="R6" s="7"/>
      <c r="S6" s="7"/>
      <c r="T6" s="7"/>
      <c r="U6" s="7"/>
      <c r="V6" s="7"/>
      <c r="W6" s="7"/>
      <c r="X6" s="25" t="s">
        <v>30</v>
      </c>
      <c r="Y6" s="25" t="s">
        <v>31</v>
      </c>
      <c r="Z6" s="25" t="s">
        <v>32</v>
      </c>
      <c r="AA6" s="25" t="s">
        <v>33</v>
      </c>
    </row>
    <row r="7" ht="17.25" customHeight="1">
      <c r="A7" s="7"/>
      <c r="B7" s="7"/>
      <c r="C7" s="7"/>
      <c r="D7" s="7"/>
      <c r="E7" s="7"/>
      <c r="F7" s="7"/>
      <c r="G7" s="7"/>
      <c r="H7" s="7"/>
      <c r="I7" s="7"/>
      <c r="J7" s="7"/>
      <c r="K7" s="7"/>
      <c r="L7" s="7"/>
      <c r="M7" s="7"/>
      <c r="N7" s="7"/>
      <c r="O7" s="7"/>
      <c r="P7" s="7"/>
      <c r="Q7" s="7"/>
      <c r="R7" s="7"/>
      <c r="S7" s="7"/>
      <c r="T7" s="7"/>
      <c r="U7" s="7"/>
      <c r="V7" s="14" t="s">
        <v>309</v>
      </c>
      <c r="W7" s="7"/>
      <c r="X7" s="270">
        <f>IF(X9="Beginner!",'Nivåer'!D4,IF(X9="Novice!",'Nivåer'!D5,IF(X9="Intermediate!",'Nivåer'!D6,IF(X9="Advanced!",'Nivåer'!D7,IF(X9="Elite!",'Nivåer'!D8,"")))))</f>
        <v>71</v>
      </c>
      <c r="Y7" s="270">
        <f>IF(Y9="Beginner!",'Nivåer'!F4,IF(Y9="Novice!",'Nivåer'!F5,IF(Y9="Intermediate!",'Nivåer'!F6,IF(Y9="Advanced!",'Nivåer'!F7,IF(Y9="Elite!",'Nivåer'!F8,"")))))</f>
        <v>161</v>
      </c>
      <c r="Z7" s="270">
        <f>IF(Z9="Beginner!",'Nivåer'!B4,IF(Z9="Novice!",'Nivåer'!B5,IF(Z9="Intermediate!",'Nivåer'!B6,IF(Z9="Advanced!",'Nivåer'!B7,IF(Z9="Elite!",'Nivåer'!B8,"")))))</f>
        <v>106</v>
      </c>
      <c r="AA7" s="270">
        <f>IF(AA9="Beginner!",'Nivåer'!H4,IF(AA9="Novice!",'Nivåer'!H5,IF(AA9="Intermediate!",'Nivåer'!H6,IF(AA9="Advanced!",'Nivåer'!H7,IF(AA9="Elite!",'Nivåer'!H8,"")))))</f>
        <v>139</v>
      </c>
    </row>
    <row r="8" ht="17.25" customHeight="1">
      <c r="A8" s="7"/>
      <c r="B8" s="7"/>
      <c r="C8" s="7"/>
      <c r="D8" s="7"/>
      <c r="E8" s="7"/>
      <c r="F8" s="7"/>
      <c r="G8" s="7"/>
      <c r="H8" s="7"/>
      <c r="I8" s="7"/>
      <c r="J8" s="7"/>
      <c r="K8" s="7"/>
      <c r="L8" s="7"/>
      <c r="M8" s="7"/>
      <c r="N8" s="7"/>
      <c r="O8" s="7"/>
      <c r="P8" s="7"/>
      <c r="Q8" s="7"/>
      <c r="R8" s="7"/>
      <c r="S8" s="7"/>
      <c r="T8" s="7"/>
      <c r="U8" s="7"/>
      <c r="V8" s="14" t="s">
        <v>310</v>
      </c>
      <c r="W8" s="7"/>
      <c r="X8" s="270">
        <f t="shared" ref="X8:AA8" si="2">X7-H6</f>
        <v>3.5</v>
      </c>
      <c r="Y8" s="270">
        <f t="shared" si="2"/>
        <v>8.5</v>
      </c>
      <c r="Z8" s="270">
        <f t="shared" si="2"/>
        <v>21</v>
      </c>
      <c r="AA8" s="270">
        <f t="shared" si="2"/>
        <v>31.5</v>
      </c>
    </row>
    <row r="9" ht="12.75" customHeight="1">
      <c r="A9" s="7"/>
      <c r="B9" s="7"/>
      <c r="C9" s="7"/>
      <c r="D9" s="7"/>
      <c r="E9" s="7"/>
      <c r="F9" s="7"/>
      <c r="G9" s="7"/>
      <c r="H9" s="7"/>
      <c r="I9" s="7"/>
      <c r="J9" s="7"/>
      <c r="K9" s="7"/>
      <c r="L9" s="7"/>
      <c r="M9" s="7"/>
      <c r="N9" s="7"/>
      <c r="O9" s="7"/>
      <c r="P9" s="7"/>
      <c r="Q9" s="7"/>
      <c r="R9" s="27"/>
      <c r="S9" s="27"/>
      <c r="T9" s="27"/>
      <c r="U9" s="27"/>
      <c r="V9" s="271" t="s">
        <v>311</v>
      </c>
      <c r="W9" s="7"/>
      <c r="X9" s="85" t="str">
        <f>IF(AND(MAX($X$11:$X$49)&gt;'Nivåer'!D3,MAX($X$11:$X$49)&lt;'Nivåer'!D4),"Beginner!",IF(AND(MAX($X$11:$X$49)&gt;'Nivåer'!D4,MAX($X$11:$X$49)&lt;'Nivåer'!D5),"Novice!",IF(AND(MAX($X$11:$X$49)&gt;'Nivåer'!D5,MAX($X$11:$X$49)&lt;'Nivåer'!D6),"Intermediate!",IF(AND(MAX($X$11:$X$49)&gt;'Nivåer'!D6,MAX($X$11:$X$49)&lt;'Nivåer'!D7),"Advanced!",IF(MAX($X$11:$X$49)&gt;'Nivåer'!D7,"Elite!")))))</f>
        <v>Novice!</v>
      </c>
      <c r="Y9" s="85" t="str">
        <f>IF(AND(MAX($Y$11:$Y$49)&gt;'Nivåer'!F3,MAX($Y$11:$Y$49)&lt;'Nivåer'!F4),"Beginner!",IF(AND(MAX($Y$11:$Y$49)&gt;'Nivåer'!F4,MAX($Y$11:$Y$49)&lt;'Nivåer'!F5),"Novice!",IF(AND(MAX($Y$11:$Y$49)&gt;'Nivåer'!F5,MAX($Y$11:$Y$49)&lt;'Nivåer'!F6),"Intermediate!",IF(AND(MAX($Y$11:$Y$49)&gt;'Nivåer'!F6,MAX($Y$11:$Y$49)&lt;'Nivåer'!F7),"Advanced!",IF(MAX($Y$11:$Y$49)&gt;'Nivåer'!F7,"Elite!")))))</f>
        <v>Novice!</v>
      </c>
      <c r="Z9" s="85" t="str">
        <f>IF(AND(MAX($Z$11:$Z$49)&gt;'Nivåer'!B3,MAX($Z$11:$Z$49)&lt;'Nivåer'!B4),"Beginner!",IF(AND(MAX($Z$11:$Z$49)&gt;'Nivåer'!B4,MAX($Z$11:$Z$49)&lt;'Nivåer'!B5),"Novice!",IF(AND(MAX($Z$11:$Z$49)&gt;'Nivåer'!B5,MAX($Z$11:$Z$49)&lt;'Nivåer'!B6),"Intermediate!",IF(AND(MAX($Z$11:$Z$49)&gt;'Nivåer'!B6,MAX($Z$11:$Z$49)&lt;'Nivåer'!B7),"Advanced!",IF(MAX($Z$11:$Z$49)&gt;'Nivåer'!B7,"Elite!")))))</f>
        <v>Novice!</v>
      </c>
      <c r="AA9" s="85" t="str">
        <f>IF(AND(MAX($AA$11:$AA$49)&gt;'Nivåer'!H3,MAX($AA$11:$AA$49)&lt;'Nivåer'!H4),"Beginner!",IF(AND(MAX($AA$11:$AA$49)&gt;'Nivåer'!H4,MAX($AA$11:$AA$49)&lt;'Nivåer'!H5),"Novice!",IF(AND(MAX($AA$11:$AA$49)&gt;'Nivåer'!H5,MAX($AA$11:$AA$49)&lt;'Nivåer'!H6),"Intermediate!",IF(AND(MAX($AA$11:$AA$49)&gt;'Nivåer'!A6,MAX($AA$11:$AA$49)&lt;'Nivåer'!A7),"Advanced!",IF(MAX($AA$11:$AA$49)&gt;'Nivåer'!A7,"Elite!")))))</f>
        <v>Novice!</v>
      </c>
    </row>
    <row r="10" ht="12.75" customHeight="1">
      <c r="A10" s="7"/>
      <c r="B10" s="7"/>
      <c r="C10" s="7"/>
      <c r="D10" s="7"/>
      <c r="E10" s="7"/>
      <c r="F10" s="7"/>
      <c r="G10" s="7"/>
      <c r="H10" s="7"/>
      <c r="I10" s="7"/>
      <c r="J10" s="7"/>
      <c r="K10" s="7"/>
      <c r="L10" s="7"/>
      <c r="M10" s="7"/>
      <c r="N10" s="7"/>
      <c r="O10" s="7"/>
      <c r="P10" s="7"/>
      <c r="Q10" s="7"/>
      <c r="R10" s="27"/>
      <c r="S10" s="27"/>
      <c r="T10" s="27"/>
      <c r="U10" s="27"/>
      <c r="V10" s="272" t="s">
        <v>312</v>
      </c>
      <c r="W10" s="192" t="s">
        <v>313</v>
      </c>
      <c r="X10" s="192" t="s">
        <v>28</v>
      </c>
      <c r="Y10" s="192" t="s">
        <v>28</v>
      </c>
      <c r="Z10" s="192" t="s">
        <v>28</v>
      </c>
      <c r="AA10" s="192" t="s">
        <v>28</v>
      </c>
    </row>
    <row r="11" ht="12.75" customHeight="1">
      <c r="A11" s="7"/>
      <c r="B11" s="7"/>
      <c r="C11" s="7"/>
      <c r="D11" s="7"/>
      <c r="E11" s="7"/>
      <c r="F11" s="7"/>
      <c r="G11" s="7"/>
      <c r="H11" s="7"/>
      <c r="I11" s="7"/>
      <c r="J11" s="7"/>
      <c r="K11" s="7"/>
      <c r="L11" s="7"/>
      <c r="M11" s="7"/>
      <c r="N11" s="7"/>
      <c r="O11" s="7"/>
      <c r="P11" s="7"/>
      <c r="Q11" s="7"/>
      <c r="R11" s="27"/>
      <c r="S11" s="27"/>
      <c r="T11" s="27"/>
      <c r="U11" s="27"/>
      <c r="V11" s="273">
        <v>1.0</v>
      </c>
      <c r="W11" s="146">
        <v>1.0</v>
      </c>
      <c r="X11" s="36">
        <f>'531'!F15</f>
        <v>52.5</v>
      </c>
      <c r="Y11" s="36">
        <f>'531'!F18</f>
        <v>110</v>
      </c>
      <c r="Z11" s="274" t="str">
        <f>'531'!F21</f>
        <v/>
      </c>
      <c r="AA11" s="274" t="str">
        <f>'531'!F24</f>
        <v/>
      </c>
    </row>
    <row r="12" ht="12.75" customHeight="1">
      <c r="A12" s="7"/>
      <c r="B12" s="7"/>
      <c r="C12" s="7"/>
      <c r="D12" s="7"/>
      <c r="E12" s="7"/>
      <c r="F12" s="7"/>
      <c r="G12" s="7"/>
      <c r="H12" s="7"/>
      <c r="I12" s="7"/>
      <c r="J12" s="7"/>
      <c r="K12" s="7"/>
      <c r="L12" s="7"/>
      <c r="M12" s="7"/>
      <c r="N12" s="7"/>
      <c r="O12" s="7"/>
      <c r="P12" s="7"/>
      <c r="Q12" s="7"/>
      <c r="R12" s="27"/>
      <c r="S12" s="27"/>
      <c r="T12" s="27"/>
      <c r="U12" s="27"/>
      <c r="V12" s="189"/>
      <c r="W12" s="150">
        <v>2.0</v>
      </c>
      <c r="X12" s="151" t="str">
        <f>'531'!M15</f>
        <v/>
      </c>
      <c r="Y12" s="151" t="str">
        <f>'531'!M18</f>
        <v/>
      </c>
      <c r="Z12" s="147" t="str">
        <f>'531'!M21</f>
        <v/>
      </c>
      <c r="AA12" s="147" t="str">
        <f>'531'!M24</f>
        <v/>
      </c>
    </row>
    <row r="13" ht="12.75" customHeight="1">
      <c r="A13" s="7"/>
      <c r="B13" s="7"/>
      <c r="C13" s="7"/>
      <c r="D13" s="7"/>
      <c r="E13" s="7"/>
      <c r="F13" s="7"/>
      <c r="G13" s="7"/>
      <c r="H13" s="7"/>
      <c r="I13" s="7"/>
      <c r="J13" s="7"/>
      <c r="K13" s="7"/>
      <c r="L13" s="7"/>
      <c r="M13" s="7"/>
      <c r="N13" s="7"/>
      <c r="O13" s="7"/>
      <c r="P13" s="7"/>
      <c r="Q13" s="7"/>
      <c r="R13" s="27"/>
      <c r="S13" s="27"/>
      <c r="T13" s="27"/>
      <c r="U13" s="27"/>
      <c r="V13" s="195"/>
      <c r="W13" s="153">
        <v>3.0</v>
      </c>
      <c r="X13" s="154" t="str">
        <f>'531'!T15</f>
        <v/>
      </c>
      <c r="Y13" s="154" t="str">
        <f>'531'!T18</f>
        <v/>
      </c>
      <c r="Z13" s="155" t="str">
        <f>'531'!T21</f>
        <v/>
      </c>
      <c r="AA13" s="155" t="str">
        <f>'531'!T24</f>
        <v/>
      </c>
    </row>
    <row r="14" ht="12.75" customHeight="1">
      <c r="A14" s="7"/>
      <c r="B14" s="7"/>
      <c r="C14" s="7"/>
      <c r="D14" s="7"/>
      <c r="E14" s="7"/>
      <c r="F14" s="7"/>
      <c r="G14" s="7"/>
      <c r="H14" s="7"/>
      <c r="I14" s="7"/>
      <c r="J14" s="7"/>
      <c r="K14" s="7"/>
      <c r="L14" s="7"/>
      <c r="M14" s="7"/>
      <c r="N14" s="7"/>
      <c r="O14" s="7"/>
      <c r="P14" s="7"/>
      <c r="Q14" s="7"/>
      <c r="R14" s="27"/>
      <c r="S14" s="27"/>
      <c r="T14" s="27"/>
      <c r="U14" s="27"/>
      <c r="V14" s="275">
        <v>2.0</v>
      </c>
      <c r="W14" s="106">
        <v>5.0</v>
      </c>
      <c r="X14" s="37" t="str">
        <f>'531'!F31</f>
        <v/>
      </c>
      <c r="Y14" s="37" t="str">
        <f>'531'!F34</f>
        <v/>
      </c>
      <c r="Z14" s="109" t="str">
        <f>'531'!F37</f>
        <v/>
      </c>
      <c r="AA14" s="109" t="str">
        <f>'531'!F40</f>
        <v/>
      </c>
    </row>
    <row r="15" ht="12.75" customHeight="1">
      <c r="A15" s="7"/>
      <c r="B15" s="7"/>
      <c r="C15" s="7"/>
      <c r="D15" s="7"/>
      <c r="E15" s="7"/>
      <c r="F15" s="7"/>
      <c r="G15" s="7"/>
      <c r="H15" s="7"/>
      <c r="I15" s="7"/>
      <c r="J15" s="7"/>
      <c r="K15" s="7"/>
      <c r="L15" s="7"/>
      <c r="M15" s="7"/>
      <c r="N15" s="7"/>
      <c r="O15" s="7"/>
      <c r="P15" s="7"/>
      <c r="Q15" s="7"/>
      <c r="R15" s="27"/>
      <c r="S15" s="27"/>
      <c r="T15" s="27"/>
      <c r="U15" s="27"/>
      <c r="V15" s="189"/>
      <c r="W15" s="114">
        <v>6.0</v>
      </c>
      <c r="X15" s="118" t="str">
        <f>'531'!M31</f>
        <v/>
      </c>
      <c r="Y15" s="118" t="str">
        <f>'531'!M34</f>
        <v/>
      </c>
      <c r="Z15" s="116" t="str">
        <f>'531'!M37</f>
        <v/>
      </c>
      <c r="AA15" s="116" t="str">
        <f>'531'!M40</f>
        <v/>
      </c>
    </row>
    <row r="16" ht="12.75" customHeight="1">
      <c r="A16" s="7"/>
      <c r="B16" s="7"/>
      <c r="C16" s="7"/>
      <c r="D16" s="7"/>
      <c r="E16" s="7"/>
      <c r="F16" s="7"/>
      <c r="G16" s="7"/>
      <c r="H16" s="7"/>
      <c r="I16" s="7"/>
      <c r="J16" s="7"/>
      <c r="K16" s="7"/>
      <c r="L16" s="7"/>
      <c r="M16" s="7"/>
      <c r="N16" s="7"/>
      <c r="O16" s="7"/>
      <c r="P16" s="7"/>
      <c r="Q16" s="7"/>
      <c r="R16" s="27"/>
      <c r="S16" s="27"/>
      <c r="T16" s="27"/>
      <c r="U16" s="27"/>
      <c r="V16" s="195"/>
      <c r="W16" s="123">
        <v>7.0</v>
      </c>
      <c r="X16" s="129" t="str">
        <f>'531'!T31</f>
        <v/>
      </c>
      <c r="Y16" s="129" t="str">
        <f>'531'!T34</f>
        <v/>
      </c>
      <c r="Z16" s="127" t="str">
        <f>'531'!T37</f>
        <v/>
      </c>
      <c r="AA16" s="127" t="str">
        <f>'531'!T40</f>
        <v/>
      </c>
    </row>
    <row r="17" ht="12.75" customHeight="1">
      <c r="A17" s="7"/>
      <c r="B17" s="7"/>
      <c r="C17" s="7"/>
      <c r="D17" s="7"/>
      <c r="E17" s="7"/>
      <c r="F17" s="7"/>
      <c r="G17" s="7"/>
      <c r="H17" s="7"/>
      <c r="I17" s="7"/>
      <c r="J17" s="7"/>
      <c r="K17" s="7"/>
      <c r="L17" s="7"/>
      <c r="M17" s="7"/>
      <c r="N17" s="7"/>
      <c r="O17" s="7"/>
      <c r="P17" s="7"/>
      <c r="Q17" s="7"/>
      <c r="R17" s="27"/>
      <c r="S17" s="27"/>
      <c r="T17" s="27"/>
      <c r="U17" s="27"/>
      <c r="V17" s="273">
        <v>3.0</v>
      </c>
      <c r="W17" s="146">
        <v>9.0</v>
      </c>
      <c r="X17" s="36" t="str">
        <f>'531'!F47</f>
        <v/>
      </c>
      <c r="Y17" s="36" t="str">
        <f>'531'!F50</f>
        <v/>
      </c>
      <c r="Z17" s="274" t="str">
        <f>'531'!F53</f>
        <v/>
      </c>
      <c r="AA17" s="274" t="str">
        <f>'531'!F56</f>
        <v/>
      </c>
    </row>
    <row r="18" ht="12.75" customHeight="1">
      <c r="A18" s="7"/>
      <c r="B18" s="7"/>
      <c r="C18" s="7"/>
      <c r="D18" s="7"/>
      <c r="E18" s="7"/>
      <c r="F18" s="7"/>
      <c r="G18" s="7"/>
      <c r="H18" s="7"/>
      <c r="I18" s="7"/>
      <c r="J18" s="7"/>
      <c r="K18" s="7"/>
      <c r="L18" s="7"/>
      <c r="M18" s="7"/>
      <c r="N18" s="7"/>
      <c r="O18" s="7"/>
      <c r="P18" s="7"/>
      <c r="Q18" s="7"/>
      <c r="R18" s="27"/>
      <c r="S18" s="27"/>
      <c r="T18" s="27"/>
      <c r="U18" s="27"/>
      <c r="V18" s="189"/>
      <c r="W18" s="150">
        <v>10.0</v>
      </c>
      <c r="X18" s="151" t="str">
        <f>'531'!M47</f>
        <v/>
      </c>
      <c r="Y18" s="151" t="str">
        <f>'531'!M50</f>
        <v/>
      </c>
      <c r="Z18" s="147" t="str">
        <f>'531'!M53</f>
        <v/>
      </c>
      <c r="AA18" s="147" t="str">
        <f>'531'!M56</f>
        <v/>
      </c>
    </row>
    <row r="19" ht="12.75" customHeight="1">
      <c r="A19" s="7"/>
      <c r="B19" s="7"/>
      <c r="C19" s="7"/>
      <c r="D19" s="7"/>
      <c r="E19" s="7"/>
      <c r="F19" s="7"/>
      <c r="G19" s="7"/>
      <c r="H19" s="7"/>
      <c r="I19" s="7"/>
      <c r="J19" s="7"/>
      <c r="K19" s="7"/>
      <c r="L19" s="7"/>
      <c r="M19" s="7"/>
      <c r="N19" s="7"/>
      <c r="O19" s="7"/>
      <c r="P19" s="7"/>
      <c r="Q19" s="7"/>
      <c r="R19" s="27"/>
      <c r="S19" s="27"/>
      <c r="T19" s="27"/>
      <c r="U19" s="27"/>
      <c r="V19" s="195"/>
      <c r="W19" s="153">
        <v>11.0</v>
      </c>
      <c r="X19" s="154" t="str">
        <f>'531'!T47</f>
        <v/>
      </c>
      <c r="Y19" s="154" t="str">
        <f>'531'!T50</f>
        <v/>
      </c>
      <c r="Z19" s="155" t="str">
        <f>'531'!T53</f>
        <v/>
      </c>
      <c r="AA19" s="155" t="str">
        <f>'531'!T56</f>
        <v/>
      </c>
    </row>
    <row r="20" ht="12.75" customHeight="1">
      <c r="A20" s="7"/>
      <c r="B20" s="7"/>
      <c r="C20" s="7"/>
      <c r="D20" s="7"/>
      <c r="E20" s="7"/>
      <c r="F20" s="7"/>
      <c r="G20" s="7"/>
      <c r="H20" s="7"/>
      <c r="I20" s="7"/>
      <c r="J20" s="7"/>
      <c r="K20" s="7"/>
      <c r="L20" s="7"/>
      <c r="M20" s="7"/>
      <c r="N20" s="7"/>
      <c r="O20" s="7"/>
      <c r="P20" s="7"/>
      <c r="Q20" s="7"/>
      <c r="R20" s="27"/>
      <c r="S20" s="27"/>
      <c r="T20" s="27"/>
      <c r="U20" s="27"/>
      <c r="V20" s="275">
        <v>4.0</v>
      </c>
      <c r="W20" s="106">
        <v>13.0</v>
      </c>
      <c r="X20" s="37" t="str">
        <f>'531'!F63</f>
        <v/>
      </c>
      <c r="Y20" s="37" t="str">
        <f>'531'!F66</f>
        <v/>
      </c>
      <c r="Z20" s="109" t="str">
        <f>'531'!F69</f>
        <v/>
      </c>
      <c r="AA20" s="109" t="str">
        <f>'531'!F72</f>
        <v/>
      </c>
    </row>
    <row r="21" ht="12.75" customHeight="1">
      <c r="A21" s="7"/>
      <c r="B21" s="7"/>
      <c r="C21" s="7"/>
      <c r="D21" s="7"/>
      <c r="E21" s="7"/>
      <c r="F21" s="7"/>
      <c r="G21" s="7"/>
      <c r="H21" s="7"/>
      <c r="I21" s="7"/>
      <c r="J21" s="7"/>
      <c r="K21" s="7"/>
      <c r="L21" s="7"/>
      <c r="M21" s="7"/>
      <c r="N21" s="7"/>
      <c r="O21" s="7"/>
      <c r="P21" s="7"/>
      <c r="Q21" s="7"/>
      <c r="R21" s="27"/>
      <c r="S21" s="27"/>
      <c r="T21" s="27"/>
      <c r="U21" s="27"/>
      <c r="V21" s="189"/>
      <c r="W21" s="114">
        <v>14.0</v>
      </c>
      <c r="X21" s="118" t="str">
        <f>'531'!M63</f>
        <v/>
      </c>
      <c r="Y21" s="118" t="str">
        <f>'531'!M66</f>
        <v/>
      </c>
      <c r="Z21" s="116" t="str">
        <f>'531'!M69</f>
        <v/>
      </c>
      <c r="AA21" s="116" t="str">
        <f>'531'!M72</f>
        <v/>
      </c>
    </row>
    <row r="22" ht="12.75" customHeight="1">
      <c r="A22" s="7"/>
      <c r="B22" s="7"/>
      <c r="C22" s="7"/>
      <c r="D22" s="7"/>
      <c r="E22" s="7"/>
      <c r="F22" s="7"/>
      <c r="G22" s="7"/>
      <c r="H22" s="7"/>
      <c r="I22" s="7"/>
      <c r="J22" s="7"/>
      <c r="K22" s="7"/>
      <c r="L22" s="7"/>
      <c r="M22" s="7"/>
      <c r="N22" s="7"/>
      <c r="O22" s="7"/>
      <c r="P22" s="7"/>
      <c r="Q22" s="7"/>
      <c r="R22" s="27"/>
      <c r="S22" s="27"/>
      <c r="T22" s="27"/>
      <c r="U22" s="27"/>
      <c r="V22" s="195"/>
      <c r="W22" s="123">
        <v>15.0</v>
      </c>
      <c r="X22" s="129" t="str">
        <f>'531'!T63</f>
        <v/>
      </c>
      <c r="Y22" s="129" t="str">
        <f>'531'!T66</f>
        <v/>
      </c>
      <c r="Z22" s="127" t="str">
        <f>'531'!T69</f>
        <v/>
      </c>
      <c r="AA22" s="127" t="str">
        <f>'531'!T72</f>
        <v/>
      </c>
    </row>
    <row r="23" ht="12.75" customHeight="1">
      <c r="A23" s="7"/>
      <c r="B23" s="7"/>
      <c r="C23" s="7"/>
      <c r="D23" s="7"/>
      <c r="E23" s="7"/>
      <c r="F23" s="7"/>
      <c r="G23" s="7"/>
      <c r="H23" s="7"/>
      <c r="I23" s="7"/>
      <c r="J23" s="7"/>
      <c r="K23" s="7"/>
      <c r="L23" s="7"/>
      <c r="M23" s="7"/>
      <c r="N23" s="7"/>
      <c r="O23" s="7"/>
      <c r="P23" s="7"/>
      <c r="Q23" s="7"/>
      <c r="R23" s="27"/>
      <c r="S23" s="27"/>
      <c r="T23" s="27"/>
      <c r="U23" s="27"/>
      <c r="V23" s="273">
        <v>5.0</v>
      </c>
      <c r="W23" s="146">
        <v>17.0</v>
      </c>
      <c r="X23" s="36">
        <f>'531'!F79</f>
        <v>62.5</v>
      </c>
      <c r="Y23" s="36">
        <f>'531'!F82</f>
        <v>132.5</v>
      </c>
      <c r="Z23" s="274">
        <f>'531'!F85</f>
        <v>80</v>
      </c>
      <c r="AA23" s="274">
        <f>'531'!F88</f>
        <v>102.5</v>
      </c>
    </row>
    <row r="24" ht="12.75" customHeight="1">
      <c r="A24" s="7"/>
      <c r="B24" s="7"/>
      <c r="C24" s="7"/>
      <c r="D24" s="7"/>
      <c r="E24" s="7"/>
      <c r="F24" s="7"/>
      <c r="G24" s="7"/>
      <c r="H24" s="7"/>
      <c r="I24" s="7"/>
      <c r="J24" s="7"/>
      <c r="K24" s="7"/>
      <c r="L24" s="7"/>
      <c r="M24" s="7"/>
      <c r="N24" s="7"/>
      <c r="O24" s="7"/>
      <c r="P24" s="7"/>
      <c r="Q24" s="7"/>
      <c r="R24" s="27"/>
      <c r="S24" s="27"/>
      <c r="T24" s="27"/>
      <c r="U24" s="27"/>
      <c r="V24" s="189"/>
      <c r="W24" s="150">
        <v>18.0</v>
      </c>
      <c r="X24" s="151">
        <f>'531'!M79</f>
        <v>62.5</v>
      </c>
      <c r="Y24" s="151">
        <f>'531'!M82</f>
        <v>137.5</v>
      </c>
      <c r="Z24" s="147">
        <f>'531'!M85</f>
        <v>82.5</v>
      </c>
      <c r="AA24" s="147">
        <f>'531'!M88</f>
        <v>105</v>
      </c>
    </row>
    <row r="25" ht="12.75" customHeight="1">
      <c r="A25" s="7"/>
      <c r="B25" s="7"/>
      <c r="C25" s="7"/>
      <c r="D25" s="7"/>
      <c r="E25" s="7"/>
      <c r="F25" s="7"/>
      <c r="G25" s="7"/>
      <c r="H25" s="7"/>
      <c r="I25" s="7"/>
      <c r="J25" s="7"/>
      <c r="K25" s="7"/>
      <c r="L25" s="7"/>
      <c r="M25" s="7"/>
      <c r="N25" s="7"/>
      <c r="O25" s="7"/>
      <c r="P25" s="7"/>
      <c r="Q25" s="7"/>
      <c r="R25" s="27"/>
      <c r="S25" s="27"/>
      <c r="T25" s="27"/>
      <c r="U25" s="27"/>
      <c r="V25" s="195"/>
      <c r="W25" s="153">
        <v>19.0</v>
      </c>
      <c r="X25" s="154">
        <f>'531'!T79</f>
        <v>67.5</v>
      </c>
      <c r="Y25" s="154">
        <f>'531'!T82</f>
        <v>152.5</v>
      </c>
      <c r="Z25" s="155">
        <f>'531'!T85</f>
        <v>80</v>
      </c>
      <c r="AA25" s="155">
        <f>'531'!T88</f>
        <v>107.5</v>
      </c>
    </row>
    <row r="26" ht="12.75" customHeight="1">
      <c r="A26" s="7"/>
      <c r="B26" s="7"/>
      <c r="C26" s="7"/>
      <c r="D26" s="7"/>
      <c r="E26" s="7"/>
      <c r="F26" s="7"/>
      <c r="G26" s="7"/>
      <c r="H26" s="7"/>
      <c r="I26" s="7"/>
      <c r="J26" s="7"/>
      <c r="K26" s="7"/>
      <c r="L26" s="7"/>
      <c r="M26" s="7"/>
      <c r="N26" s="7"/>
      <c r="O26" s="7"/>
      <c r="P26" s="7"/>
      <c r="Q26" s="7"/>
      <c r="R26" s="27"/>
      <c r="S26" s="27"/>
      <c r="T26" s="27"/>
      <c r="U26" s="27"/>
      <c r="V26" s="275">
        <v>6.0</v>
      </c>
      <c r="W26" s="106">
        <v>21.0</v>
      </c>
      <c r="X26" s="37">
        <f>'531'!F95</f>
        <v>60</v>
      </c>
      <c r="Y26" s="37">
        <f>'531'!F98</f>
        <v>142.5</v>
      </c>
      <c r="Z26" s="109">
        <f>'531'!F101</f>
        <v>85</v>
      </c>
      <c r="AA26" s="109">
        <f>'531'!F104</f>
        <v>102.5</v>
      </c>
    </row>
    <row r="27" ht="12.75" customHeight="1">
      <c r="A27" s="7"/>
      <c r="B27" s="7"/>
      <c r="C27" s="7"/>
      <c r="D27" s="7"/>
      <c r="E27" s="7"/>
      <c r="F27" s="7"/>
      <c r="G27" s="7"/>
      <c r="H27" s="7"/>
      <c r="I27" s="7"/>
      <c r="J27" s="7"/>
      <c r="K27" s="7"/>
      <c r="L27" s="7"/>
      <c r="M27" s="7"/>
      <c r="N27" s="7"/>
      <c r="O27" s="7"/>
      <c r="P27" s="7"/>
      <c r="Q27" s="7"/>
      <c r="R27" s="27"/>
      <c r="S27" s="27"/>
      <c r="T27" s="27"/>
      <c r="U27" s="27"/>
      <c r="V27" s="189"/>
      <c r="W27" s="114">
        <v>22.0</v>
      </c>
      <c r="X27" s="118">
        <f>'531'!M95</f>
        <v>67.5</v>
      </c>
      <c r="Y27" s="118">
        <f>'531'!M98</f>
        <v>147.5</v>
      </c>
      <c r="Z27" s="116">
        <f>'531'!M101</f>
        <v>82.5</v>
      </c>
      <c r="AA27" s="116">
        <f>'531'!M104</f>
        <v>107.5</v>
      </c>
    </row>
    <row r="28" ht="12.75" customHeight="1">
      <c r="A28" s="7"/>
      <c r="B28" s="7"/>
      <c r="C28" s="7"/>
      <c r="D28" s="7"/>
      <c r="E28" s="7"/>
      <c r="F28" s="7"/>
      <c r="G28" s="7"/>
      <c r="H28" s="7"/>
      <c r="I28" s="7"/>
      <c r="J28" s="7"/>
      <c r="K28" s="7"/>
      <c r="L28" s="7"/>
      <c r="M28" s="7"/>
      <c r="N28" s="7"/>
      <c r="O28" s="7"/>
      <c r="P28" s="7"/>
      <c r="Q28" s="7"/>
      <c r="R28" s="27"/>
      <c r="S28" s="27"/>
      <c r="T28" s="27"/>
      <c r="U28" s="27"/>
      <c r="V28" s="195"/>
      <c r="W28" s="123">
        <v>23.0</v>
      </c>
      <c r="X28" s="129">
        <f>'531'!T95</f>
        <v>62.5</v>
      </c>
      <c r="Y28" s="129">
        <f>'531'!T98</f>
        <v>142.5</v>
      </c>
      <c r="Z28" s="127" t="str">
        <f>'531'!T101</f>
        <v/>
      </c>
      <c r="AA28" s="127" t="str">
        <f>'531'!T104</f>
        <v/>
      </c>
    </row>
    <row r="29" ht="12.75" customHeight="1">
      <c r="A29" s="7"/>
      <c r="B29" s="7"/>
      <c r="C29" s="7"/>
      <c r="D29" s="7"/>
      <c r="E29" s="7"/>
      <c r="F29" s="7"/>
      <c r="G29" s="7"/>
      <c r="H29" s="7"/>
      <c r="I29" s="7"/>
      <c r="J29" s="7"/>
      <c r="K29" s="7"/>
      <c r="L29" s="7"/>
      <c r="M29" s="7"/>
      <c r="N29" s="7"/>
      <c r="O29" s="7"/>
      <c r="P29" s="7"/>
      <c r="Q29" s="7"/>
      <c r="R29" s="27"/>
      <c r="S29" s="27"/>
      <c r="T29" s="27"/>
      <c r="U29" s="27"/>
      <c r="V29" s="273">
        <v>7.0</v>
      </c>
      <c r="W29" s="150">
        <v>25.0</v>
      </c>
      <c r="X29" s="151" t="str">
        <f>'531'!F111</f>
        <v/>
      </c>
      <c r="Y29" s="151" t="str">
        <f>'531'!F114</f>
        <v/>
      </c>
      <c r="Z29" s="147" t="str">
        <f>'531'!F117</f>
        <v/>
      </c>
      <c r="AA29" s="147" t="str">
        <f>'531'!F120</f>
        <v/>
      </c>
    </row>
    <row r="30" ht="12.75" customHeight="1">
      <c r="A30" s="7"/>
      <c r="B30" s="7"/>
      <c r="C30" s="7"/>
      <c r="D30" s="7"/>
      <c r="E30" s="7"/>
      <c r="F30" s="7"/>
      <c r="G30" s="7"/>
      <c r="H30" s="7"/>
      <c r="I30" s="7"/>
      <c r="J30" s="7"/>
      <c r="K30" s="7"/>
      <c r="L30" s="7"/>
      <c r="M30" s="7"/>
      <c r="N30" s="7"/>
      <c r="O30" s="7"/>
      <c r="P30" s="7"/>
      <c r="Q30" s="7"/>
      <c r="R30" s="27"/>
      <c r="S30" s="27"/>
      <c r="T30" s="27"/>
      <c r="U30" s="27"/>
      <c r="V30" s="189"/>
      <c r="W30" s="150">
        <v>26.0</v>
      </c>
      <c r="X30" s="151" t="str">
        <f>'531'!M111</f>
        <v/>
      </c>
      <c r="Y30" s="151" t="str">
        <f>'531'!M114</f>
        <v/>
      </c>
      <c r="Z30" s="147" t="str">
        <f>'531'!M117</f>
        <v/>
      </c>
      <c r="AA30" s="147" t="str">
        <f>'531'!M120</f>
        <v/>
      </c>
    </row>
    <row r="31" ht="12.75" customHeight="1">
      <c r="A31" s="7"/>
      <c r="B31" s="7"/>
      <c r="C31" s="7"/>
      <c r="D31" s="7"/>
      <c r="E31" s="7"/>
      <c r="F31" s="7"/>
      <c r="G31" s="7"/>
      <c r="H31" s="7"/>
      <c r="I31" s="7"/>
      <c r="J31" s="7"/>
      <c r="K31" s="7"/>
      <c r="L31" s="7"/>
      <c r="M31" s="7"/>
      <c r="N31" s="7"/>
      <c r="O31" s="7"/>
      <c r="P31" s="7"/>
      <c r="Q31" s="7"/>
      <c r="R31" s="27"/>
      <c r="S31" s="27"/>
      <c r="T31" s="27"/>
      <c r="U31" s="27"/>
      <c r="V31" s="195"/>
      <c r="W31" s="150">
        <v>27.0</v>
      </c>
      <c r="X31" s="151" t="str">
        <f>'531'!T111</f>
        <v/>
      </c>
      <c r="Y31" s="151" t="str">
        <f>'531'!T114</f>
        <v/>
      </c>
      <c r="Z31" s="147" t="str">
        <f>'531'!T117</f>
        <v/>
      </c>
      <c r="AA31" s="147" t="str">
        <f>'531'!T120</f>
        <v/>
      </c>
    </row>
    <row r="32" ht="12.75" customHeight="1">
      <c r="A32" s="7"/>
      <c r="B32" s="7"/>
      <c r="C32" s="7"/>
      <c r="D32" s="7"/>
      <c r="E32" s="7"/>
      <c r="F32" s="7"/>
      <c r="G32" s="7"/>
      <c r="H32" s="7"/>
      <c r="I32" s="7"/>
      <c r="J32" s="7"/>
      <c r="K32" s="7"/>
      <c r="L32" s="7"/>
      <c r="M32" s="7"/>
      <c r="N32" s="7"/>
      <c r="O32" s="7"/>
      <c r="P32" s="7"/>
      <c r="Q32" s="7"/>
      <c r="R32" s="27"/>
      <c r="S32" s="27"/>
      <c r="T32" s="27"/>
      <c r="U32" s="27"/>
      <c r="V32" s="275">
        <v>8.0</v>
      </c>
      <c r="W32" s="106">
        <v>29.0</v>
      </c>
      <c r="X32" s="37" t="str">
        <f>'531'!F127</f>
        <v/>
      </c>
      <c r="Y32" s="37" t="str">
        <f>'531'!F130</f>
        <v/>
      </c>
      <c r="Z32" s="109" t="str">
        <f>'531'!F133</f>
        <v/>
      </c>
      <c r="AA32" s="109" t="str">
        <f>'531'!F136</f>
        <v/>
      </c>
    </row>
    <row r="33" ht="12.75" customHeight="1">
      <c r="A33" s="7"/>
      <c r="B33" s="7"/>
      <c r="C33" s="7"/>
      <c r="D33" s="7"/>
      <c r="E33" s="7"/>
      <c r="F33" s="7"/>
      <c r="G33" s="7"/>
      <c r="H33" s="7"/>
      <c r="I33" s="7"/>
      <c r="J33" s="7"/>
      <c r="K33" s="7"/>
      <c r="L33" s="7"/>
      <c r="M33" s="7"/>
      <c r="N33" s="7"/>
      <c r="O33" s="7"/>
      <c r="P33" s="7"/>
      <c r="Q33" s="7"/>
      <c r="R33" s="27"/>
      <c r="S33" s="27"/>
      <c r="T33" s="27"/>
      <c r="U33" s="27"/>
      <c r="V33" s="189"/>
      <c r="W33" s="114">
        <v>30.0</v>
      </c>
      <c r="X33" s="118" t="str">
        <f>'531'!M127</f>
        <v/>
      </c>
      <c r="Y33" s="118" t="str">
        <f>'531'!M130</f>
        <v/>
      </c>
      <c r="Z33" s="116" t="str">
        <f>'531'!M133</f>
        <v/>
      </c>
      <c r="AA33" s="116" t="str">
        <f>'531'!M136</f>
        <v/>
      </c>
    </row>
    <row r="34" ht="12.75" customHeight="1">
      <c r="A34" s="7"/>
      <c r="B34" s="7"/>
      <c r="C34" s="7"/>
      <c r="D34" s="7"/>
      <c r="E34" s="7"/>
      <c r="F34" s="7"/>
      <c r="G34" s="7"/>
      <c r="H34" s="7"/>
      <c r="I34" s="7"/>
      <c r="J34" s="7"/>
      <c r="K34" s="7"/>
      <c r="L34" s="7"/>
      <c r="M34" s="7"/>
      <c r="N34" s="7"/>
      <c r="O34" s="7"/>
      <c r="P34" s="7"/>
      <c r="Q34" s="7"/>
      <c r="R34" s="27"/>
      <c r="S34" s="27"/>
      <c r="T34" s="27"/>
      <c r="U34" s="27"/>
      <c r="V34" s="195"/>
      <c r="W34" s="123">
        <v>31.0</v>
      </c>
      <c r="X34" s="129" t="str">
        <f>'531'!T127</f>
        <v/>
      </c>
      <c r="Y34" s="129" t="str">
        <f>'531'!T130</f>
        <v/>
      </c>
      <c r="Z34" s="127" t="str">
        <f>'531'!T133</f>
        <v/>
      </c>
      <c r="AA34" s="127" t="str">
        <f>'531'!T136</f>
        <v/>
      </c>
    </row>
    <row r="35" ht="12.75" customHeight="1">
      <c r="A35" s="7"/>
      <c r="B35" s="7"/>
      <c r="C35" s="7"/>
      <c r="D35" s="7"/>
      <c r="E35" s="7"/>
      <c r="F35" s="7"/>
      <c r="G35" s="7"/>
      <c r="H35" s="7"/>
      <c r="I35" s="7"/>
      <c r="J35" s="7"/>
      <c r="K35" s="7"/>
      <c r="L35" s="7"/>
      <c r="M35" s="7"/>
      <c r="N35" s="7"/>
      <c r="O35" s="7"/>
      <c r="P35" s="7"/>
      <c r="Q35" s="7"/>
      <c r="R35" s="27"/>
      <c r="S35" s="27"/>
      <c r="T35" s="27"/>
      <c r="U35" s="27"/>
      <c r="V35" s="273">
        <v>9.0</v>
      </c>
      <c r="W35" s="146">
        <v>33.0</v>
      </c>
      <c r="X35" s="36" t="str">
        <f>'531'!F143</f>
        <v/>
      </c>
      <c r="Y35" s="36" t="str">
        <f>'531'!F146</f>
        <v/>
      </c>
      <c r="Z35" s="274" t="str">
        <f>'531'!F149</f>
        <v/>
      </c>
      <c r="AA35" s="274" t="str">
        <f>'531'!F152</f>
        <v/>
      </c>
    </row>
    <row r="36" ht="12.75" customHeight="1">
      <c r="A36" s="7"/>
      <c r="B36" s="7"/>
      <c r="C36" s="7"/>
      <c r="D36" s="7"/>
      <c r="E36" s="7"/>
      <c r="F36" s="7"/>
      <c r="G36" s="7"/>
      <c r="H36" s="7"/>
      <c r="I36" s="7"/>
      <c r="J36" s="7"/>
      <c r="K36" s="7"/>
      <c r="L36" s="7"/>
      <c r="M36" s="7"/>
      <c r="N36" s="7"/>
      <c r="O36" s="7"/>
      <c r="P36" s="7"/>
      <c r="Q36" s="7"/>
      <c r="R36" s="27"/>
      <c r="S36" s="27"/>
      <c r="T36" s="27"/>
      <c r="U36" s="27"/>
      <c r="V36" s="189"/>
      <c r="W36" s="150">
        <v>34.0</v>
      </c>
      <c r="X36" s="151" t="str">
        <f>'531'!M143</f>
        <v/>
      </c>
      <c r="Y36" s="151" t="str">
        <f>'531'!M146</f>
        <v/>
      </c>
      <c r="Z36" s="147" t="str">
        <f>'531'!M149</f>
        <v/>
      </c>
      <c r="AA36" s="147" t="str">
        <f>'531'!M152</f>
        <v/>
      </c>
    </row>
    <row r="37" ht="12.75" customHeight="1">
      <c r="A37" s="7"/>
      <c r="B37" s="7"/>
      <c r="C37" s="7"/>
      <c r="D37" s="7"/>
      <c r="E37" s="7"/>
      <c r="F37" s="7"/>
      <c r="G37" s="7"/>
      <c r="H37" s="7"/>
      <c r="I37" s="7"/>
      <c r="J37" s="7"/>
      <c r="K37" s="7"/>
      <c r="L37" s="7"/>
      <c r="M37" s="7"/>
      <c r="N37" s="7"/>
      <c r="O37" s="7"/>
      <c r="P37" s="7"/>
      <c r="Q37" s="7"/>
      <c r="R37" s="27"/>
      <c r="S37" s="27"/>
      <c r="T37" s="27"/>
      <c r="U37" s="27"/>
      <c r="V37" s="195"/>
      <c r="W37" s="153">
        <v>35.0</v>
      </c>
      <c r="X37" s="154" t="str">
        <f>'531'!T143</f>
        <v/>
      </c>
      <c r="Y37" s="154" t="str">
        <f>'531'!T146</f>
        <v/>
      </c>
      <c r="Z37" s="155" t="str">
        <f>'531'!T149</f>
        <v/>
      </c>
      <c r="AA37" s="155" t="str">
        <f>'531'!T152</f>
        <v/>
      </c>
    </row>
    <row r="38" ht="12.75" customHeight="1">
      <c r="A38" s="7"/>
      <c r="B38" s="7"/>
      <c r="C38" s="7"/>
      <c r="D38" s="7"/>
      <c r="E38" s="7"/>
      <c r="F38" s="7"/>
      <c r="G38" s="7"/>
      <c r="H38" s="7"/>
      <c r="I38" s="7"/>
      <c r="J38" s="7"/>
      <c r="K38" s="7"/>
      <c r="L38" s="7"/>
      <c r="M38" s="7"/>
      <c r="N38" s="7"/>
      <c r="O38" s="7"/>
      <c r="P38" s="7"/>
      <c r="Q38" s="7"/>
      <c r="R38" s="27"/>
      <c r="S38" s="27"/>
      <c r="T38" s="27"/>
      <c r="U38" s="27"/>
      <c r="V38" s="275">
        <v>10.0</v>
      </c>
      <c r="W38" s="106">
        <v>37.0</v>
      </c>
      <c r="X38" s="37" t="str">
        <f>'531'!F159</f>
        <v/>
      </c>
      <c r="Y38" s="37" t="str">
        <f>'531'!F162</f>
        <v/>
      </c>
      <c r="Z38" s="109" t="str">
        <f>'531'!F165</f>
        <v/>
      </c>
      <c r="AA38" s="109" t="str">
        <f>'531'!F168</f>
        <v/>
      </c>
    </row>
    <row r="39" ht="12.75" customHeight="1">
      <c r="A39" s="7"/>
      <c r="B39" s="7"/>
      <c r="C39" s="7"/>
      <c r="D39" s="7"/>
      <c r="E39" s="7"/>
      <c r="F39" s="7"/>
      <c r="G39" s="7"/>
      <c r="H39" s="7"/>
      <c r="I39" s="7"/>
      <c r="J39" s="7"/>
      <c r="K39" s="7"/>
      <c r="L39" s="7"/>
      <c r="M39" s="7"/>
      <c r="N39" s="7"/>
      <c r="O39" s="7"/>
      <c r="P39" s="7"/>
      <c r="Q39" s="7"/>
      <c r="R39" s="27"/>
      <c r="S39" s="27"/>
      <c r="T39" s="27"/>
      <c r="U39" s="27"/>
      <c r="V39" s="189"/>
      <c r="W39" s="114">
        <v>38.0</v>
      </c>
      <c r="X39" s="118" t="str">
        <f>'531'!M159</f>
        <v/>
      </c>
      <c r="Y39" s="118" t="str">
        <f>'531'!M162</f>
        <v/>
      </c>
      <c r="Z39" s="116" t="str">
        <f>'531'!M165</f>
        <v/>
      </c>
      <c r="AA39" s="116" t="str">
        <f>'531'!M168</f>
        <v/>
      </c>
    </row>
    <row r="40" ht="12.75" customHeight="1">
      <c r="A40" s="7"/>
      <c r="B40" s="7"/>
      <c r="C40" s="7"/>
      <c r="D40" s="7"/>
      <c r="E40" s="7"/>
      <c r="F40" s="7"/>
      <c r="G40" s="7"/>
      <c r="H40" s="7"/>
      <c r="I40" s="7"/>
      <c r="J40" s="7"/>
      <c r="K40" s="7"/>
      <c r="L40" s="7"/>
      <c r="M40" s="7"/>
      <c r="N40" s="7"/>
      <c r="O40" s="7"/>
      <c r="P40" s="7"/>
      <c r="Q40" s="7"/>
      <c r="R40" s="27"/>
      <c r="S40" s="27"/>
      <c r="T40" s="27"/>
      <c r="U40" s="27"/>
      <c r="V40" s="195"/>
      <c r="W40" s="123">
        <v>39.0</v>
      </c>
      <c r="X40" s="129" t="str">
        <f>'531'!T159</f>
        <v/>
      </c>
      <c r="Y40" s="129" t="str">
        <f>'531'!T162</f>
        <v/>
      </c>
      <c r="Z40" s="127" t="str">
        <f>'531'!T165</f>
        <v/>
      </c>
      <c r="AA40" s="127" t="str">
        <f>'531'!T168</f>
        <v/>
      </c>
    </row>
    <row r="41" ht="12.75" customHeight="1">
      <c r="A41" s="7"/>
      <c r="B41" s="7"/>
      <c r="C41" s="7"/>
      <c r="D41" s="7"/>
      <c r="E41" s="7"/>
      <c r="F41" s="7"/>
      <c r="G41" s="7"/>
      <c r="H41" s="7"/>
      <c r="I41" s="7"/>
      <c r="J41" s="7"/>
      <c r="K41" s="7"/>
      <c r="L41" s="7"/>
      <c r="M41" s="7"/>
      <c r="N41" s="7"/>
      <c r="O41" s="7"/>
      <c r="P41" s="7"/>
      <c r="Q41" s="7"/>
      <c r="R41" s="27"/>
      <c r="S41" s="27"/>
      <c r="T41" s="27"/>
      <c r="U41" s="27"/>
      <c r="V41" s="273">
        <v>11.0</v>
      </c>
      <c r="W41" s="146">
        <v>41.0</v>
      </c>
      <c r="X41" s="36" t="str">
        <f>'531'!F175</f>
        <v/>
      </c>
      <c r="Y41" s="36" t="str">
        <f>'531'!F178</f>
        <v/>
      </c>
      <c r="Z41" s="274" t="str">
        <f>'531'!F181</f>
        <v/>
      </c>
      <c r="AA41" s="274" t="str">
        <f>'531'!F184</f>
        <v/>
      </c>
    </row>
    <row r="42" ht="12.75" customHeight="1">
      <c r="A42" s="7"/>
      <c r="B42" s="7"/>
      <c r="C42" s="7"/>
      <c r="D42" s="7"/>
      <c r="E42" s="7"/>
      <c r="F42" s="7"/>
      <c r="G42" s="7"/>
      <c r="H42" s="7"/>
      <c r="I42" s="7"/>
      <c r="J42" s="7"/>
      <c r="K42" s="7"/>
      <c r="L42" s="7"/>
      <c r="M42" s="7"/>
      <c r="N42" s="7"/>
      <c r="O42" s="7"/>
      <c r="P42" s="7"/>
      <c r="Q42" s="7"/>
      <c r="R42" s="27"/>
      <c r="S42" s="27"/>
      <c r="T42" s="27"/>
      <c r="U42" s="27"/>
      <c r="V42" s="189"/>
      <c r="W42" s="150">
        <v>42.0</v>
      </c>
      <c r="X42" s="151" t="str">
        <f>'531'!M175</f>
        <v/>
      </c>
      <c r="Y42" s="151" t="str">
        <f>'531'!M178</f>
        <v/>
      </c>
      <c r="Z42" s="147" t="str">
        <f>'531'!M181</f>
        <v/>
      </c>
      <c r="AA42" s="147" t="str">
        <f>'531'!M184</f>
        <v/>
      </c>
    </row>
    <row r="43" ht="12.75" customHeight="1">
      <c r="A43" s="7"/>
      <c r="B43" s="7"/>
      <c r="C43" s="7"/>
      <c r="D43" s="7"/>
      <c r="E43" s="7"/>
      <c r="F43" s="7"/>
      <c r="G43" s="7"/>
      <c r="H43" s="7"/>
      <c r="I43" s="7"/>
      <c r="J43" s="7"/>
      <c r="K43" s="7"/>
      <c r="L43" s="7"/>
      <c r="M43" s="7"/>
      <c r="N43" s="7"/>
      <c r="O43" s="7"/>
      <c r="P43" s="7"/>
      <c r="Q43" s="7"/>
      <c r="R43" s="27"/>
      <c r="S43" s="27"/>
      <c r="T43" s="27"/>
      <c r="U43" s="27"/>
      <c r="V43" s="195"/>
      <c r="W43" s="153">
        <v>43.0</v>
      </c>
      <c r="X43" s="154" t="str">
        <f>'531'!T175</f>
        <v/>
      </c>
      <c r="Y43" s="154" t="str">
        <f>'531'!T178</f>
        <v/>
      </c>
      <c r="Z43" s="155" t="str">
        <f>'531'!T181</f>
        <v/>
      </c>
      <c r="AA43" s="155" t="str">
        <f>'531'!T184</f>
        <v/>
      </c>
    </row>
    <row r="44" ht="12.75" customHeight="1">
      <c r="A44" s="7"/>
      <c r="B44" s="7"/>
      <c r="C44" s="7"/>
      <c r="D44" s="7"/>
      <c r="E44" s="7"/>
      <c r="F44" s="7"/>
      <c r="G44" s="7"/>
      <c r="H44" s="7"/>
      <c r="I44" s="7"/>
      <c r="J44" s="7"/>
      <c r="K44" s="7"/>
      <c r="L44" s="7"/>
      <c r="M44" s="7"/>
      <c r="N44" s="7"/>
      <c r="O44" s="7"/>
      <c r="P44" s="7"/>
      <c r="Q44" s="7"/>
      <c r="R44" s="27"/>
      <c r="S44" s="27"/>
      <c r="T44" s="27"/>
      <c r="U44" s="27"/>
      <c r="V44" s="275">
        <v>12.0</v>
      </c>
      <c r="W44" s="106">
        <v>45.0</v>
      </c>
      <c r="X44" s="37" t="str">
        <f>'531'!F191</f>
        <v/>
      </c>
      <c r="Y44" s="37" t="str">
        <f>'531'!F194</f>
        <v/>
      </c>
      <c r="Z44" s="109" t="str">
        <f>'531'!F197</f>
        <v/>
      </c>
      <c r="AA44" s="109" t="str">
        <f>'531'!F200</f>
        <v/>
      </c>
    </row>
    <row r="45" ht="12.75" customHeight="1">
      <c r="A45" s="7"/>
      <c r="B45" s="7"/>
      <c r="C45" s="7"/>
      <c r="D45" s="7"/>
      <c r="E45" s="7"/>
      <c r="F45" s="7"/>
      <c r="G45" s="7"/>
      <c r="H45" s="7"/>
      <c r="I45" s="7"/>
      <c r="J45" s="7"/>
      <c r="K45" s="7"/>
      <c r="L45" s="7"/>
      <c r="M45" s="7"/>
      <c r="N45" s="7"/>
      <c r="O45" s="7"/>
      <c r="P45" s="7"/>
      <c r="Q45" s="7"/>
      <c r="R45" s="27"/>
      <c r="S45" s="27"/>
      <c r="T45" s="27"/>
      <c r="U45" s="27"/>
      <c r="V45" s="189"/>
      <c r="W45" s="114">
        <v>46.0</v>
      </c>
      <c r="X45" s="118" t="str">
        <f>'531'!M191</f>
        <v/>
      </c>
      <c r="Y45" s="118" t="str">
        <f>'531'!M194</f>
        <v/>
      </c>
      <c r="Z45" s="116" t="str">
        <f>'531'!M197</f>
        <v/>
      </c>
      <c r="AA45" s="116" t="str">
        <f>'531'!M200</f>
        <v/>
      </c>
    </row>
    <row r="46" ht="12.75" customHeight="1">
      <c r="A46" s="7"/>
      <c r="B46" s="7"/>
      <c r="C46" s="7"/>
      <c r="D46" s="7"/>
      <c r="E46" s="7"/>
      <c r="F46" s="7"/>
      <c r="G46" s="7"/>
      <c r="H46" s="7"/>
      <c r="I46" s="7"/>
      <c r="J46" s="7"/>
      <c r="K46" s="7"/>
      <c r="L46" s="7"/>
      <c r="M46" s="7"/>
      <c r="N46" s="7"/>
      <c r="O46" s="7"/>
      <c r="P46" s="7"/>
      <c r="Q46" s="7"/>
      <c r="R46" s="27"/>
      <c r="S46" s="27"/>
      <c r="T46" s="27"/>
      <c r="U46" s="27"/>
      <c r="V46" s="195"/>
      <c r="W46" s="123">
        <v>47.0</v>
      </c>
      <c r="X46" s="129" t="str">
        <f>'531'!T191</f>
        <v/>
      </c>
      <c r="Y46" s="129" t="str">
        <f>'531'!T194</f>
        <v/>
      </c>
      <c r="Z46" s="127" t="str">
        <f>'531'!T197</f>
        <v/>
      </c>
      <c r="AA46" s="127" t="str">
        <f>'531'!T200</f>
        <v/>
      </c>
    </row>
    <row r="47" ht="12.75" customHeight="1">
      <c r="A47" s="7"/>
      <c r="B47" s="7"/>
      <c r="C47" s="7"/>
      <c r="D47" s="7"/>
      <c r="E47" s="7"/>
      <c r="F47" s="7"/>
      <c r="G47" s="7"/>
      <c r="H47" s="7"/>
      <c r="I47" s="7"/>
      <c r="J47" s="7"/>
      <c r="K47" s="7"/>
      <c r="L47" s="7"/>
      <c r="M47" s="7"/>
      <c r="N47" s="7"/>
      <c r="O47" s="7"/>
      <c r="P47" s="7"/>
      <c r="Q47" s="7"/>
      <c r="R47" s="27"/>
      <c r="S47" s="27"/>
      <c r="T47" s="27"/>
      <c r="U47" s="27"/>
      <c r="V47" s="273">
        <v>13.0</v>
      </c>
      <c r="W47" s="150">
        <v>49.0</v>
      </c>
      <c r="X47" s="151" t="str">
        <f>'531'!F207</f>
        <v/>
      </c>
      <c r="Y47" s="151" t="str">
        <f>'531'!F210</f>
        <v/>
      </c>
      <c r="Z47" s="147" t="str">
        <f>'531'!F213</f>
        <v/>
      </c>
      <c r="AA47" s="147" t="str">
        <f>'531'!F216</f>
        <v/>
      </c>
    </row>
    <row r="48" ht="12.75" customHeight="1">
      <c r="A48" s="7"/>
      <c r="B48" s="7"/>
      <c r="C48" s="7"/>
      <c r="D48" s="7"/>
      <c r="E48" s="7"/>
      <c r="F48" s="7"/>
      <c r="G48" s="7"/>
      <c r="H48" s="7"/>
      <c r="I48" s="7"/>
      <c r="J48" s="7"/>
      <c r="K48" s="7"/>
      <c r="L48" s="7"/>
      <c r="M48" s="7"/>
      <c r="N48" s="7"/>
      <c r="O48" s="7"/>
      <c r="P48" s="7"/>
      <c r="Q48" s="7"/>
      <c r="R48" s="27"/>
      <c r="S48" s="27"/>
      <c r="T48" s="27"/>
      <c r="U48" s="27"/>
      <c r="V48" s="189"/>
      <c r="W48" s="150">
        <v>50.0</v>
      </c>
      <c r="X48" s="151" t="str">
        <f>'531'!M207</f>
        <v/>
      </c>
      <c r="Y48" s="151" t="str">
        <f>'531'!M210</f>
        <v/>
      </c>
      <c r="Z48" s="147" t="str">
        <f>'531'!M213</f>
        <v/>
      </c>
      <c r="AA48" s="147" t="str">
        <f>'531'!M216</f>
        <v/>
      </c>
    </row>
    <row r="49" ht="12.75" customHeight="1">
      <c r="A49" s="7"/>
      <c r="B49" s="7"/>
      <c r="C49" s="7"/>
      <c r="D49" s="7"/>
      <c r="E49" s="7"/>
      <c r="F49" s="7"/>
      <c r="G49" s="7"/>
      <c r="H49" s="7"/>
      <c r="I49" s="7"/>
      <c r="J49" s="7"/>
      <c r="K49" s="7"/>
      <c r="L49" s="7"/>
      <c r="M49" s="7"/>
      <c r="N49" s="7"/>
      <c r="O49" s="7"/>
      <c r="P49" s="7"/>
      <c r="Q49" s="7"/>
      <c r="R49" s="27"/>
      <c r="S49" s="27"/>
      <c r="T49" s="27"/>
      <c r="U49" s="27"/>
      <c r="V49" s="195"/>
      <c r="W49" s="153">
        <v>51.0</v>
      </c>
      <c r="X49" s="154" t="str">
        <f>'531'!T207</f>
        <v/>
      </c>
      <c r="Y49" s="154" t="str">
        <f>'531'!T210</f>
        <v/>
      </c>
      <c r="Z49" s="155" t="str">
        <f>'531'!T213</f>
        <v/>
      </c>
      <c r="AA49" s="155" t="str">
        <f>'531'!T216</f>
        <v/>
      </c>
    </row>
    <row r="50" ht="12.75" customHeight="1">
      <c r="A50" s="7"/>
      <c r="B50" s="7"/>
      <c r="C50" s="7"/>
      <c r="D50" s="7"/>
      <c r="E50" s="7"/>
      <c r="F50" s="7"/>
      <c r="G50" s="7"/>
      <c r="H50" s="7"/>
      <c r="I50" s="7"/>
      <c r="J50" s="7"/>
      <c r="K50" s="7"/>
      <c r="L50" s="7"/>
      <c r="M50" s="7"/>
      <c r="N50" s="7"/>
      <c r="O50" s="7"/>
      <c r="P50" s="7"/>
      <c r="Q50" s="7"/>
      <c r="R50" s="27"/>
      <c r="S50" s="27"/>
      <c r="T50" s="27"/>
      <c r="U50" s="27"/>
      <c r="V50" s="27"/>
      <c r="W50" s="27"/>
      <c r="X50" s="27"/>
      <c r="Y50" s="27"/>
      <c r="Z50" s="7"/>
      <c r="AA50" s="7"/>
    </row>
    <row r="51" ht="12.75" customHeight="1">
      <c r="A51" s="7"/>
      <c r="B51" s="7"/>
      <c r="C51" s="7"/>
      <c r="D51" s="7"/>
      <c r="E51" s="7"/>
      <c r="F51" s="7"/>
      <c r="G51" s="7"/>
      <c r="H51" s="7"/>
      <c r="I51" s="7"/>
      <c r="J51" s="7"/>
      <c r="K51" s="7"/>
      <c r="L51" s="7"/>
      <c r="M51" s="7"/>
      <c r="N51" s="7"/>
      <c r="O51" s="7"/>
      <c r="P51" s="7"/>
      <c r="Q51" s="7"/>
      <c r="R51" s="27"/>
      <c r="S51" s="27"/>
      <c r="T51" s="27"/>
      <c r="U51" s="27"/>
      <c r="V51" s="27"/>
      <c r="W51" s="27"/>
      <c r="X51" s="27"/>
      <c r="Y51" s="27"/>
      <c r="Z51" s="7"/>
      <c r="AA51" s="7"/>
    </row>
    <row r="52" ht="12.75" customHeight="1">
      <c r="A52" s="7"/>
      <c r="B52" s="7"/>
      <c r="C52" s="7"/>
      <c r="D52" s="7"/>
      <c r="E52" s="7"/>
      <c r="F52" s="7"/>
      <c r="G52" s="7"/>
      <c r="H52" s="7"/>
      <c r="I52" s="7"/>
      <c r="J52" s="7"/>
      <c r="K52" s="7"/>
      <c r="L52" s="7"/>
      <c r="M52" s="7"/>
      <c r="N52" s="7"/>
      <c r="O52" s="7"/>
      <c r="P52" s="7"/>
      <c r="Q52" s="7"/>
      <c r="R52" s="27"/>
      <c r="S52" s="27"/>
      <c r="T52" s="27"/>
      <c r="U52" s="27"/>
      <c r="V52" s="27"/>
      <c r="W52" s="27"/>
      <c r="X52" s="27"/>
      <c r="Y52" s="27"/>
      <c r="Z52" s="7"/>
      <c r="AA52" s="7"/>
    </row>
    <row r="53" ht="12.75" customHeight="1">
      <c r="A53" s="7"/>
      <c r="B53" s="7"/>
      <c r="C53" s="7"/>
      <c r="D53" s="7"/>
      <c r="E53" s="7"/>
      <c r="F53" s="7"/>
      <c r="G53" s="7"/>
      <c r="H53" s="7"/>
      <c r="I53" s="7"/>
      <c r="J53" s="7"/>
      <c r="K53" s="7"/>
      <c r="L53" s="7"/>
      <c r="M53" s="7"/>
      <c r="N53" s="7"/>
      <c r="O53" s="7"/>
      <c r="P53" s="7"/>
      <c r="Q53" s="7"/>
      <c r="R53" s="27"/>
      <c r="S53" s="27"/>
      <c r="T53" s="27"/>
      <c r="U53" s="27"/>
      <c r="V53" s="27"/>
      <c r="W53" s="27"/>
      <c r="X53" s="27"/>
      <c r="Y53" s="27"/>
      <c r="Z53" s="7"/>
      <c r="AA53" s="7"/>
    </row>
    <row r="54" ht="12.75" customHeight="1">
      <c r="A54" s="7"/>
      <c r="B54" s="7"/>
      <c r="C54" s="7"/>
      <c r="D54" s="7"/>
      <c r="E54" s="7"/>
      <c r="F54" s="7"/>
      <c r="G54" s="7"/>
      <c r="H54" s="7"/>
      <c r="I54" s="7"/>
      <c r="J54" s="7"/>
      <c r="K54" s="7"/>
      <c r="L54" s="7"/>
      <c r="M54" s="7"/>
      <c r="N54" s="7"/>
      <c r="O54" s="7"/>
      <c r="P54" s="7"/>
      <c r="Q54" s="7"/>
      <c r="R54" s="27"/>
      <c r="S54" s="27"/>
      <c r="T54" s="27"/>
      <c r="U54" s="27"/>
      <c r="V54" s="27"/>
      <c r="W54" s="27"/>
      <c r="X54" s="27"/>
      <c r="Y54" s="27"/>
      <c r="Z54" s="7"/>
      <c r="AA54" s="7"/>
    </row>
    <row r="55" ht="12.75" customHeight="1">
      <c r="A55" s="7"/>
      <c r="B55" s="7"/>
      <c r="C55" s="7"/>
      <c r="D55" s="7"/>
      <c r="E55" s="18"/>
      <c r="F55" s="18"/>
      <c r="G55" s="18"/>
      <c r="H55" s="18"/>
      <c r="I55" s="7"/>
      <c r="J55" s="7"/>
      <c r="K55" s="7"/>
      <c r="L55" s="43"/>
      <c r="M55" s="43"/>
      <c r="N55" s="7"/>
      <c r="O55" s="7"/>
      <c r="P55" s="7"/>
      <c r="Q55" s="7"/>
      <c r="R55" s="27"/>
      <c r="S55" s="27"/>
      <c r="T55" s="27"/>
      <c r="U55" s="27"/>
      <c r="V55" s="27"/>
      <c r="W55" s="27"/>
      <c r="X55" s="27"/>
      <c r="Y55" s="27"/>
      <c r="Z55" s="7"/>
      <c r="AA55" s="7"/>
    </row>
    <row r="56" ht="12.75" customHeight="1">
      <c r="A56" s="7"/>
      <c r="B56" s="7"/>
      <c r="C56" s="7"/>
      <c r="D56" s="7"/>
      <c r="E56" s="7"/>
      <c r="F56" s="7"/>
      <c r="G56" s="7"/>
      <c r="H56" s="7"/>
      <c r="I56" s="7"/>
      <c r="J56" s="7"/>
      <c r="K56" s="7"/>
      <c r="L56" s="7"/>
      <c r="M56" s="7"/>
      <c r="N56" s="7"/>
      <c r="O56" s="7"/>
      <c r="P56" s="7"/>
      <c r="Q56" s="7"/>
      <c r="R56" s="27"/>
      <c r="S56" s="27"/>
      <c r="T56" s="27"/>
      <c r="U56" s="27"/>
      <c r="V56" s="27"/>
      <c r="W56" s="27"/>
      <c r="X56" s="27"/>
      <c r="Y56" s="27"/>
      <c r="Z56" s="7"/>
      <c r="AA56" s="7"/>
    </row>
    <row r="57" ht="12.75" customHeight="1">
      <c r="A57" s="7"/>
      <c r="B57" s="7"/>
      <c r="C57" s="7"/>
      <c r="D57" s="7"/>
      <c r="E57" s="7"/>
      <c r="F57" s="7"/>
      <c r="G57" s="7"/>
      <c r="H57" s="7"/>
      <c r="I57" s="7"/>
      <c r="J57" s="7"/>
      <c r="K57" s="7"/>
      <c r="L57" s="7"/>
      <c r="M57" s="7"/>
      <c r="N57" s="7"/>
      <c r="O57" s="7"/>
      <c r="P57" s="7"/>
      <c r="Q57" s="7"/>
      <c r="R57" s="27"/>
      <c r="S57" s="27"/>
      <c r="T57" s="27"/>
      <c r="U57" s="27"/>
      <c r="V57" s="27"/>
      <c r="W57" s="27"/>
      <c r="X57" s="27"/>
      <c r="Y57" s="27"/>
      <c r="Z57" s="7"/>
      <c r="AA57" s="7"/>
    </row>
    <row r="58" ht="12.75" customHeight="1">
      <c r="A58" s="7"/>
      <c r="B58" s="7"/>
      <c r="C58" s="7"/>
      <c r="D58" s="7"/>
      <c r="E58" s="7"/>
      <c r="F58" s="7"/>
      <c r="G58" s="7"/>
      <c r="H58" s="7"/>
      <c r="I58" s="7"/>
      <c r="J58" s="7"/>
      <c r="K58" s="7"/>
      <c r="L58" s="7"/>
      <c r="M58" s="7"/>
      <c r="N58" s="7"/>
      <c r="O58" s="7"/>
      <c r="P58" s="7"/>
      <c r="Q58" s="7"/>
      <c r="R58" s="27"/>
      <c r="S58" s="27"/>
      <c r="T58" s="27"/>
      <c r="U58" s="27"/>
      <c r="V58" s="27"/>
      <c r="W58" s="27"/>
      <c r="X58" s="27"/>
      <c r="Y58" s="27"/>
      <c r="Z58" s="7"/>
      <c r="AA58" s="7"/>
    </row>
    <row r="59" ht="12.75" customHeight="1">
      <c r="A59" s="7"/>
      <c r="B59" s="7"/>
      <c r="C59" s="7"/>
      <c r="D59" s="7"/>
      <c r="E59" s="7"/>
      <c r="F59" s="7"/>
      <c r="G59" s="7"/>
      <c r="H59" s="7"/>
      <c r="I59" s="7"/>
      <c r="J59" s="7"/>
      <c r="K59" s="7"/>
      <c r="L59" s="7"/>
      <c r="M59" s="7"/>
      <c r="N59" s="7"/>
      <c r="O59" s="7"/>
      <c r="P59" s="7"/>
      <c r="Q59" s="7"/>
      <c r="R59" s="27"/>
      <c r="S59" s="27"/>
      <c r="T59" s="27"/>
      <c r="U59" s="27"/>
      <c r="V59" s="27"/>
      <c r="W59" s="27"/>
      <c r="X59" s="27"/>
      <c r="Y59" s="27"/>
      <c r="Z59" s="7"/>
      <c r="AA59" s="7"/>
    </row>
    <row r="60" ht="12.75" customHeight="1">
      <c r="A60" s="7"/>
      <c r="B60" s="7"/>
      <c r="C60" s="7"/>
      <c r="D60" s="7"/>
      <c r="E60" s="7"/>
      <c r="F60" s="7"/>
      <c r="G60" s="7"/>
      <c r="H60" s="7"/>
      <c r="I60" s="7"/>
      <c r="J60" s="7"/>
      <c r="K60" s="7"/>
      <c r="L60" s="7"/>
      <c r="M60" s="7"/>
      <c r="N60" s="7"/>
      <c r="O60" s="7"/>
      <c r="P60" s="7"/>
      <c r="Q60" s="7"/>
      <c r="R60" s="27"/>
      <c r="S60" s="27"/>
      <c r="T60" s="27"/>
      <c r="U60" s="27"/>
      <c r="V60" s="27"/>
      <c r="W60" s="27"/>
      <c r="X60" s="27"/>
      <c r="Y60" s="27"/>
      <c r="Z60" s="7"/>
      <c r="AA60" s="7"/>
    </row>
    <row r="61" ht="12.75" customHeight="1">
      <c r="A61" s="7"/>
      <c r="B61" s="7"/>
      <c r="C61" s="7"/>
      <c r="D61" s="7"/>
      <c r="E61" s="7"/>
      <c r="F61" s="7"/>
      <c r="G61" s="7"/>
      <c r="H61" s="7"/>
      <c r="I61" s="7"/>
      <c r="J61" s="7"/>
      <c r="K61" s="7"/>
      <c r="L61" s="7"/>
      <c r="M61" s="7"/>
      <c r="N61" s="7"/>
      <c r="O61" s="7"/>
      <c r="P61" s="7"/>
      <c r="Q61" s="7"/>
      <c r="R61" s="27"/>
      <c r="S61" s="27"/>
      <c r="T61" s="27"/>
      <c r="U61" s="27"/>
      <c r="V61" s="27"/>
      <c r="W61" s="27"/>
      <c r="X61" s="27"/>
      <c r="Y61" s="27"/>
      <c r="Z61" s="7"/>
      <c r="AA61" s="7"/>
    </row>
    <row r="62" ht="12.75" customHeight="1">
      <c r="A62" s="7"/>
      <c r="B62" s="7"/>
      <c r="C62" s="7"/>
      <c r="D62" s="7"/>
      <c r="E62" s="7"/>
      <c r="F62" s="7"/>
      <c r="G62" s="7"/>
      <c r="H62" s="7"/>
      <c r="I62" s="7"/>
      <c r="J62" s="7"/>
      <c r="K62" s="7"/>
      <c r="L62" s="7"/>
      <c r="M62" s="7"/>
      <c r="N62" s="7"/>
      <c r="O62" s="7"/>
      <c r="P62" s="7"/>
      <c r="Q62" s="7"/>
      <c r="R62" s="27"/>
      <c r="S62" s="27"/>
      <c r="T62" s="27"/>
      <c r="U62" s="27"/>
      <c r="V62" s="27"/>
      <c r="W62" s="27"/>
      <c r="X62" s="27"/>
      <c r="Y62" s="27"/>
      <c r="Z62" s="7"/>
      <c r="AA62" s="7"/>
    </row>
    <row r="63" ht="12.75" customHeight="1">
      <c r="A63" s="7"/>
      <c r="B63" s="7"/>
      <c r="C63" s="7"/>
      <c r="D63" s="7"/>
      <c r="E63" s="7"/>
      <c r="F63" s="7"/>
      <c r="G63" s="7"/>
      <c r="H63" s="7"/>
      <c r="I63" s="7"/>
      <c r="J63" s="7"/>
      <c r="K63" s="7"/>
      <c r="L63" s="7"/>
      <c r="M63" s="7"/>
      <c r="N63" s="7"/>
      <c r="O63" s="7"/>
      <c r="P63" s="7"/>
      <c r="Q63" s="7"/>
      <c r="R63" s="27"/>
      <c r="S63" s="27"/>
      <c r="T63" s="27"/>
      <c r="U63" s="27"/>
      <c r="V63" s="27"/>
      <c r="W63" s="27"/>
      <c r="X63" s="27"/>
      <c r="Y63" s="27"/>
      <c r="Z63" s="7"/>
      <c r="AA63" s="7"/>
    </row>
    <row r="64" ht="12.75" customHeight="1">
      <c r="A64" s="7"/>
      <c r="B64" s="7"/>
      <c r="C64" s="7"/>
      <c r="D64" s="7"/>
      <c r="E64" s="7"/>
      <c r="F64" s="7"/>
      <c r="G64" s="7"/>
      <c r="H64" s="7"/>
      <c r="I64" s="7"/>
      <c r="J64" s="7"/>
      <c r="K64" s="7"/>
      <c r="L64" s="7"/>
      <c r="M64" s="7"/>
      <c r="N64" s="7"/>
      <c r="O64" s="7"/>
      <c r="P64" s="7"/>
      <c r="Q64" s="7"/>
      <c r="R64" s="27"/>
      <c r="S64" s="27"/>
      <c r="T64" s="27"/>
      <c r="U64" s="27"/>
      <c r="V64" s="27"/>
      <c r="W64" s="27"/>
      <c r="X64" s="27"/>
      <c r="Y64" s="27"/>
      <c r="Z64" s="7"/>
      <c r="AA64" s="7"/>
    </row>
    <row r="65" ht="12.75" customHeight="1">
      <c r="A65" s="7"/>
      <c r="B65" s="7"/>
      <c r="C65" s="7"/>
      <c r="D65" s="7"/>
      <c r="E65" s="7"/>
      <c r="F65" s="7"/>
      <c r="G65" s="7"/>
      <c r="H65" s="7"/>
      <c r="I65" s="7"/>
      <c r="J65" s="7"/>
      <c r="K65" s="7"/>
      <c r="L65" s="7"/>
      <c r="M65" s="7"/>
      <c r="N65" s="7"/>
      <c r="O65" s="7"/>
      <c r="P65" s="7"/>
      <c r="Q65" s="7"/>
      <c r="R65" s="27"/>
      <c r="S65" s="27"/>
      <c r="T65" s="27"/>
      <c r="U65" s="27"/>
      <c r="V65" s="27"/>
      <c r="W65" s="27"/>
      <c r="X65" s="27"/>
      <c r="Y65" s="27"/>
      <c r="Z65" s="7"/>
      <c r="AA65" s="7"/>
    </row>
    <row r="66" ht="12.75" customHeight="1">
      <c r="A66" s="7"/>
      <c r="B66" s="7"/>
      <c r="C66" s="7"/>
      <c r="D66" s="7"/>
      <c r="E66" s="7"/>
      <c r="F66" s="7"/>
      <c r="G66" s="7"/>
      <c r="H66" s="7"/>
      <c r="I66" s="7"/>
      <c r="J66" s="7"/>
      <c r="K66" s="7"/>
      <c r="L66" s="7"/>
      <c r="M66" s="7"/>
      <c r="N66" s="7"/>
      <c r="O66" s="7"/>
      <c r="P66" s="7"/>
      <c r="Q66" s="7"/>
      <c r="R66" s="27"/>
      <c r="S66" s="27"/>
      <c r="T66" s="27"/>
      <c r="U66" s="27"/>
      <c r="V66" s="27"/>
      <c r="W66" s="27"/>
      <c r="X66" s="27"/>
      <c r="Y66" s="27"/>
      <c r="Z66" s="7"/>
      <c r="AA66" s="7"/>
    </row>
    <row r="67" ht="12.75" customHeight="1">
      <c r="A67" s="7"/>
      <c r="B67" s="7"/>
      <c r="C67" s="7"/>
      <c r="D67" s="7"/>
      <c r="E67" s="7"/>
      <c r="F67" s="7"/>
      <c r="G67" s="7"/>
      <c r="H67" s="7"/>
      <c r="I67" s="7"/>
      <c r="J67" s="7"/>
      <c r="K67" s="7"/>
      <c r="L67" s="7"/>
      <c r="M67" s="7"/>
      <c r="N67" s="7"/>
      <c r="O67" s="7"/>
      <c r="P67" s="7"/>
      <c r="Q67" s="7"/>
      <c r="R67" s="27"/>
      <c r="S67" s="27"/>
      <c r="T67" s="27"/>
      <c r="U67" s="27"/>
      <c r="V67" s="27"/>
      <c r="W67" s="27"/>
      <c r="X67" s="27"/>
      <c r="Y67" s="27"/>
      <c r="Z67" s="7"/>
      <c r="AA67" s="7"/>
    </row>
    <row r="68" ht="12.75" customHeight="1">
      <c r="A68" s="7"/>
      <c r="B68" s="7"/>
      <c r="C68" s="7"/>
      <c r="D68" s="7"/>
      <c r="E68" s="7"/>
      <c r="F68" s="7"/>
      <c r="G68" s="7"/>
      <c r="H68" s="7"/>
      <c r="I68" s="7"/>
      <c r="J68" s="7"/>
      <c r="K68" s="7"/>
      <c r="L68" s="7"/>
      <c r="M68" s="7"/>
      <c r="N68" s="7"/>
      <c r="O68" s="7"/>
      <c r="P68" s="7"/>
      <c r="Q68" s="7"/>
      <c r="R68" s="27"/>
      <c r="S68" s="27"/>
      <c r="T68" s="27"/>
      <c r="U68" s="27"/>
      <c r="V68" s="27"/>
      <c r="W68" s="27"/>
      <c r="X68" s="27"/>
      <c r="Y68" s="27"/>
      <c r="Z68" s="7"/>
      <c r="AA68" s="7"/>
    </row>
    <row r="69" ht="12.75" customHeight="1">
      <c r="A69" s="7"/>
      <c r="B69" s="7"/>
      <c r="C69" s="7"/>
      <c r="D69" s="7"/>
      <c r="E69" s="7"/>
      <c r="F69" s="7"/>
      <c r="G69" s="7"/>
      <c r="H69" s="7"/>
      <c r="I69" s="7"/>
      <c r="J69" s="7"/>
      <c r="K69" s="7"/>
      <c r="L69" s="7"/>
      <c r="M69" s="7"/>
      <c r="N69" s="7"/>
      <c r="O69" s="7"/>
      <c r="P69" s="7"/>
      <c r="Q69" s="7"/>
      <c r="R69" s="27"/>
      <c r="S69" s="27"/>
      <c r="T69" s="27"/>
      <c r="U69" s="27"/>
      <c r="V69" s="27"/>
      <c r="W69" s="27"/>
      <c r="X69" s="27"/>
      <c r="Y69" s="27"/>
      <c r="Z69" s="7"/>
      <c r="AA69" s="7"/>
    </row>
    <row r="70" ht="12.75" customHeight="1">
      <c r="A70" s="7"/>
      <c r="B70" s="7"/>
      <c r="C70" s="7"/>
      <c r="D70" s="7"/>
      <c r="E70" s="7"/>
      <c r="F70" s="7"/>
      <c r="G70" s="7"/>
      <c r="H70" s="7"/>
      <c r="I70" s="7"/>
      <c r="J70" s="7"/>
      <c r="K70" s="7"/>
      <c r="L70" s="7"/>
      <c r="M70" s="7"/>
      <c r="N70" s="7"/>
      <c r="O70" s="7"/>
      <c r="P70" s="7"/>
      <c r="Q70" s="7"/>
      <c r="R70" s="27"/>
      <c r="S70" s="27"/>
      <c r="T70" s="27"/>
      <c r="U70" s="27"/>
      <c r="V70" s="27"/>
      <c r="W70" s="27"/>
      <c r="X70" s="27"/>
      <c r="Y70" s="27"/>
      <c r="Z70" s="7"/>
      <c r="AA70" s="7"/>
    </row>
    <row r="71" ht="12.75" customHeight="1">
      <c r="A71" s="7"/>
      <c r="B71" s="7"/>
      <c r="C71" s="7"/>
      <c r="D71" s="7"/>
      <c r="E71" s="7"/>
      <c r="F71" s="7"/>
      <c r="G71" s="7"/>
      <c r="H71" s="7"/>
      <c r="I71" s="7"/>
      <c r="J71" s="7"/>
      <c r="K71" s="7"/>
      <c r="L71" s="7"/>
      <c r="M71" s="7"/>
      <c r="N71" s="7"/>
      <c r="O71" s="7"/>
      <c r="P71" s="7"/>
      <c r="Q71" s="7"/>
      <c r="R71" s="27"/>
      <c r="S71" s="27"/>
      <c r="T71" s="27"/>
      <c r="U71" s="27"/>
      <c r="V71" s="27"/>
      <c r="W71" s="27"/>
      <c r="X71" s="27"/>
      <c r="Y71" s="27"/>
      <c r="Z71" s="7"/>
      <c r="AA71" s="7"/>
    </row>
    <row r="72" ht="12.75" customHeight="1">
      <c r="A72" s="7"/>
      <c r="B72" s="7"/>
      <c r="C72" s="7"/>
      <c r="D72" s="7"/>
      <c r="E72" s="7"/>
      <c r="F72" s="7"/>
      <c r="G72" s="7"/>
      <c r="H72" s="7"/>
      <c r="I72" s="7"/>
      <c r="J72" s="7"/>
      <c r="K72" s="7"/>
      <c r="L72" s="7"/>
      <c r="M72" s="7"/>
      <c r="N72" s="7"/>
      <c r="O72" s="7"/>
      <c r="P72" s="7"/>
      <c r="Q72" s="7"/>
      <c r="R72" s="27"/>
      <c r="S72" s="27"/>
      <c r="T72" s="27"/>
      <c r="U72" s="27"/>
      <c r="V72" s="27"/>
      <c r="W72" s="27"/>
      <c r="X72" s="27"/>
      <c r="Y72" s="27"/>
      <c r="Z72" s="7"/>
      <c r="AA72" s="7"/>
    </row>
    <row r="73" ht="12.75" customHeight="1">
      <c r="A73" s="7"/>
      <c r="B73" s="7"/>
      <c r="C73" s="7"/>
      <c r="D73" s="7"/>
      <c r="E73" s="7"/>
      <c r="F73" s="7"/>
      <c r="G73" s="7"/>
      <c r="H73" s="7"/>
      <c r="I73" s="7"/>
      <c r="J73" s="7"/>
      <c r="K73" s="7"/>
      <c r="L73" s="7"/>
      <c r="M73" s="7"/>
      <c r="N73" s="7"/>
      <c r="O73" s="7"/>
      <c r="P73" s="7"/>
      <c r="Q73" s="7"/>
      <c r="R73" s="27"/>
      <c r="S73" s="27"/>
      <c r="T73" s="27"/>
      <c r="U73" s="27"/>
      <c r="V73" s="27"/>
      <c r="W73" s="27"/>
      <c r="X73" s="27"/>
      <c r="Y73" s="27"/>
      <c r="Z73" s="7"/>
      <c r="AA73" s="7"/>
    </row>
    <row r="74" ht="12.75" customHeight="1">
      <c r="A74" s="7"/>
      <c r="B74" s="7"/>
      <c r="C74" s="7"/>
      <c r="D74" s="7"/>
      <c r="E74" s="7"/>
      <c r="F74" s="7"/>
      <c r="G74" s="7"/>
      <c r="H74" s="7"/>
      <c r="I74" s="7"/>
      <c r="J74" s="7"/>
      <c r="K74" s="7"/>
      <c r="L74" s="7"/>
      <c r="M74" s="7"/>
      <c r="N74" s="7"/>
      <c r="O74" s="7"/>
      <c r="P74" s="7"/>
      <c r="Q74" s="7"/>
      <c r="R74" s="27"/>
      <c r="S74" s="27"/>
      <c r="T74" s="27"/>
      <c r="U74" s="27"/>
      <c r="V74" s="27"/>
      <c r="W74" s="27"/>
      <c r="X74" s="27"/>
      <c r="Y74" s="27"/>
      <c r="Z74" s="7"/>
      <c r="AA74" s="7"/>
    </row>
    <row r="75" ht="12.75" customHeight="1">
      <c r="A75" s="7"/>
      <c r="B75" s="7"/>
      <c r="C75" s="7"/>
      <c r="D75" s="7"/>
      <c r="E75" s="7"/>
      <c r="F75" s="7"/>
      <c r="G75" s="7"/>
      <c r="H75" s="7"/>
      <c r="I75" s="7"/>
      <c r="J75" s="7"/>
      <c r="K75" s="7"/>
      <c r="L75" s="7"/>
      <c r="M75" s="7"/>
      <c r="N75" s="7"/>
      <c r="O75" s="7"/>
      <c r="P75" s="7"/>
      <c r="Q75" s="7"/>
      <c r="R75" s="27"/>
      <c r="S75" s="27"/>
      <c r="T75" s="27"/>
      <c r="U75" s="27"/>
      <c r="V75" s="27"/>
      <c r="W75" s="27"/>
      <c r="X75" s="27"/>
      <c r="Y75" s="27"/>
      <c r="Z75" s="7"/>
      <c r="AA75" s="7"/>
    </row>
    <row r="76" ht="12.75" customHeight="1">
      <c r="A76" s="7"/>
      <c r="B76" s="7"/>
      <c r="C76" s="7"/>
      <c r="D76" s="7"/>
      <c r="E76" s="7"/>
      <c r="F76" s="7"/>
      <c r="G76" s="7"/>
      <c r="H76" s="7"/>
      <c r="I76" s="7"/>
      <c r="J76" s="7"/>
      <c r="K76" s="7"/>
      <c r="L76" s="7"/>
      <c r="M76" s="7"/>
      <c r="N76" s="7"/>
      <c r="O76" s="7"/>
      <c r="P76" s="7"/>
      <c r="Q76" s="7"/>
      <c r="R76" s="27"/>
      <c r="S76" s="27"/>
      <c r="T76" s="27"/>
      <c r="U76" s="27"/>
      <c r="V76" s="27"/>
      <c r="W76" s="27"/>
      <c r="X76" s="27"/>
      <c r="Y76" s="27"/>
      <c r="Z76" s="7"/>
      <c r="AA76" s="7"/>
    </row>
    <row r="77" ht="12.75" customHeight="1">
      <c r="A77" s="7"/>
      <c r="B77" s="7"/>
      <c r="C77" s="7"/>
      <c r="D77" s="7"/>
      <c r="E77" s="7"/>
      <c r="F77" s="7"/>
      <c r="G77" s="7"/>
      <c r="H77" s="7"/>
      <c r="I77" s="7"/>
      <c r="J77" s="7"/>
      <c r="K77" s="7"/>
      <c r="L77" s="7"/>
      <c r="M77" s="7"/>
      <c r="N77" s="7"/>
      <c r="O77" s="7"/>
      <c r="P77" s="7"/>
      <c r="Q77" s="7"/>
      <c r="R77" s="27"/>
      <c r="S77" s="27"/>
      <c r="T77" s="27"/>
      <c r="U77" s="27"/>
      <c r="V77" s="27"/>
      <c r="W77" s="27"/>
      <c r="X77" s="27"/>
      <c r="Y77" s="27"/>
      <c r="Z77" s="7"/>
      <c r="AA77" s="7"/>
    </row>
    <row r="78" ht="12.75" customHeight="1">
      <c r="A78" s="7"/>
      <c r="B78" s="7"/>
      <c r="C78" s="7"/>
      <c r="D78" s="7"/>
      <c r="E78" s="7"/>
      <c r="F78" s="7"/>
      <c r="G78" s="7"/>
      <c r="H78" s="7"/>
      <c r="I78" s="7"/>
      <c r="J78" s="7"/>
      <c r="K78" s="7"/>
      <c r="L78" s="7"/>
      <c r="M78" s="7"/>
      <c r="N78" s="7"/>
      <c r="O78" s="7"/>
      <c r="P78" s="7"/>
      <c r="Q78" s="7"/>
      <c r="R78" s="27"/>
      <c r="S78" s="27"/>
      <c r="T78" s="27"/>
      <c r="U78" s="27"/>
      <c r="V78" s="27"/>
      <c r="W78" s="27"/>
      <c r="X78" s="27"/>
      <c r="Y78" s="27"/>
      <c r="Z78" s="7"/>
      <c r="AA78" s="7"/>
    </row>
    <row r="79" ht="12.75" customHeight="1">
      <c r="A79" s="7"/>
      <c r="B79" s="7"/>
      <c r="C79" s="7"/>
      <c r="D79" s="7"/>
      <c r="E79" s="7"/>
      <c r="F79" s="7"/>
      <c r="G79" s="7"/>
      <c r="H79" s="7"/>
      <c r="I79" s="7"/>
      <c r="J79" s="7"/>
      <c r="K79" s="7"/>
      <c r="L79" s="7"/>
      <c r="M79" s="7"/>
      <c r="N79" s="7"/>
      <c r="O79" s="7"/>
      <c r="P79" s="7"/>
      <c r="Q79" s="7"/>
      <c r="R79" s="27"/>
      <c r="S79" s="27"/>
      <c r="T79" s="27"/>
      <c r="U79" s="27"/>
      <c r="V79" s="27"/>
      <c r="W79" s="27"/>
      <c r="X79" s="27"/>
      <c r="Y79" s="27"/>
      <c r="Z79" s="7"/>
      <c r="AA79" s="7"/>
    </row>
    <row r="80" ht="12.75" customHeight="1">
      <c r="A80" s="7"/>
      <c r="B80" s="7"/>
      <c r="C80" s="7"/>
      <c r="D80" s="7"/>
      <c r="E80" s="7"/>
      <c r="F80" s="7"/>
      <c r="G80" s="7"/>
      <c r="H80" s="7"/>
      <c r="I80" s="7"/>
      <c r="J80" s="7"/>
      <c r="K80" s="7"/>
      <c r="L80" s="7"/>
      <c r="M80" s="7"/>
      <c r="N80" s="7"/>
      <c r="O80" s="7"/>
      <c r="P80" s="7"/>
      <c r="Q80" s="7"/>
      <c r="R80" s="27"/>
      <c r="S80" s="27"/>
      <c r="T80" s="27"/>
      <c r="U80" s="27"/>
      <c r="V80" s="27"/>
      <c r="W80" s="27"/>
      <c r="X80" s="27"/>
      <c r="Y80" s="27"/>
      <c r="Z80" s="7"/>
      <c r="AA80" s="7"/>
    </row>
    <row r="81" ht="12.75" customHeight="1">
      <c r="A81" s="7"/>
      <c r="B81" s="7"/>
      <c r="C81" s="7"/>
      <c r="D81" s="7"/>
      <c r="E81" s="7"/>
      <c r="F81" s="7"/>
      <c r="G81" s="7"/>
      <c r="H81" s="7"/>
      <c r="I81" s="7"/>
      <c r="J81" s="7"/>
      <c r="K81" s="7"/>
      <c r="L81" s="7"/>
      <c r="M81" s="7"/>
      <c r="N81" s="7"/>
      <c r="O81" s="7"/>
      <c r="P81" s="7"/>
      <c r="Q81" s="7"/>
      <c r="R81" s="27"/>
      <c r="S81" s="27"/>
      <c r="T81" s="27"/>
      <c r="U81" s="27"/>
      <c r="V81" s="27"/>
      <c r="W81" s="27"/>
      <c r="X81" s="27"/>
      <c r="Y81" s="27"/>
      <c r="Z81" s="7"/>
      <c r="AA81" s="7"/>
    </row>
    <row r="82" ht="12.75" customHeight="1">
      <c r="A82" s="7"/>
      <c r="B82" s="7"/>
      <c r="C82" s="7"/>
      <c r="D82" s="7"/>
      <c r="E82" s="7"/>
      <c r="F82" s="7"/>
      <c r="G82" s="7"/>
      <c r="H82" s="7"/>
      <c r="I82" s="7"/>
      <c r="J82" s="7"/>
      <c r="K82" s="7"/>
      <c r="L82" s="7"/>
      <c r="M82" s="7"/>
      <c r="N82" s="7"/>
      <c r="O82" s="7"/>
      <c r="P82" s="7"/>
      <c r="Q82" s="7"/>
      <c r="R82" s="27"/>
      <c r="S82" s="27"/>
      <c r="T82" s="27"/>
      <c r="U82" s="27"/>
      <c r="V82" s="27"/>
      <c r="W82" s="27"/>
      <c r="X82" s="27"/>
      <c r="Y82" s="27"/>
      <c r="Z82" s="7"/>
      <c r="AA82" s="7"/>
    </row>
    <row r="83" ht="12.75" customHeight="1">
      <c r="A83" s="7"/>
      <c r="B83" s="7"/>
      <c r="C83" s="7"/>
      <c r="D83" s="7"/>
      <c r="E83" s="7"/>
      <c r="F83" s="7"/>
      <c r="G83" s="7"/>
      <c r="H83" s="7"/>
      <c r="I83" s="7"/>
      <c r="J83" s="7"/>
      <c r="K83" s="7"/>
      <c r="L83" s="7"/>
      <c r="M83" s="7"/>
      <c r="N83" s="7"/>
      <c r="O83" s="7"/>
      <c r="P83" s="7"/>
      <c r="Q83" s="7"/>
      <c r="R83" s="27"/>
      <c r="S83" s="27"/>
      <c r="T83" s="27"/>
      <c r="U83" s="27"/>
      <c r="V83" s="27"/>
      <c r="W83" s="27"/>
      <c r="X83" s="27"/>
      <c r="Y83" s="27"/>
      <c r="Z83" s="7"/>
      <c r="AA83" s="7"/>
    </row>
    <row r="84" ht="12.75" customHeight="1">
      <c r="A84" s="7"/>
      <c r="B84" s="7"/>
      <c r="C84" s="7"/>
      <c r="D84" s="7"/>
      <c r="E84" s="7"/>
      <c r="F84" s="7"/>
      <c r="G84" s="7"/>
      <c r="H84" s="7"/>
      <c r="I84" s="7"/>
      <c r="J84" s="7"/>
      <c r="K84" s="7"/>
      <c r="L84" s="7"/>
      <c r="M84" s="7"/>
      <c r="N84" s="7"/>
      <c r="O84" s="7"/>
      <c r="P84" s="7"/>
      <c r="Q84" s="7"/>
      <c r="R84" s="27"/>
      <c r="S84" s="27"/>
      <c r="T84" s="27"/>
      <c r="U84" s="27"/>
      <c r="V84" s="27"/>
      <c r="W84" s="27"/>
      <c r="X84" s="27"/>
      <c r="Y84" s="27"/>
      <c r="Z84" s="7"/>
      <c r="AA84" s="7"/>
    </row>
    <row r="85" ht="12.75" customHeight="1">
      <c r="A85" s="7"/>
      <c r="B85" s="7"/>
      <c r="C85" s="7"/>
      <c r="D85" s="7"/>
      <c r="E85" s="7"/>
      <c r="F85" s="7"/>
      <c r="G85" s="7"/>
      <c r="H85" s="7"/>
      <c r="I85" s="7"/>
      <c r="J85" s="7"/>
      <c r="K85" s="7"/>
      <c r="L85" s="7"/>
      <c r="M85" s="7"/>
      <c r="N85" s="7"/>
      <c r="O85" s="7"/>
      <c r="P85" s="7"/>
      <c r="Q85" s="7"/>
      <c r="R85" s="27"/>
      <c r="S85" s="27"/>
      <c r="T85" s="27"/>
      <c r="U85" s="27"/>
      <c r="V85" s="27"/>
      <c r="W85" s="27"/>
      <c r="X85" s="27"/>
      <c r="Y85" s="27"/>
      <c r="Z85" s="7"/>
      <c r="AA85" s="7"/>
    </row>
    <row r="86" ht="12.75" customHeight="1">
      <c r="A86" s="7"/>
      <c r="B86" s="7"/>
      <c r="C86" s="7"/>
      <c r="D86" s="7"/>
      <c r="E86" s="7"/>
      <c r="F86" s="7"/>
      <c r="G86" s="7"/>
      <c r="H86" s="7"/>
      <c r="I86" s="7"/>
      <c r="J86" s="7"/>
      <c r="K86" s="7"/>
      <c r="L86" s="7"/>
      <c r="M86" s="7"/>
      <c r="N86" s="7"/>
      <c r="O86" s="7"/>
      <c r="P86" s="7"/>
      <c r="Q86" s="7"/>
      <c r="R86" s="27"/>
      <c r="S86" s="27"/>
      <c r="T86" s="27"/>
      <c r="U86" s="27"/>
      <c r="V86" s="27"/>
      <c r="W86" s="27"/>
      <c r="X86" s="27"/>
      <c r="Y86" s="27"/>
      <c r="Z86" s="7"/>
      <c r="AA86" s="7"/>
    </row>
    <row r="87" ht="12.75" customHeight="1">
      <c r="A87" s="7"/>
      <c r="B87" s="7"/>
      <c r="C87" s="7"/>
      <c r="D87" s="7"/>
      <c r="E87" s="7"/>
      <c r="F87" s="7"/>
      <c r="G87" s="7"/>
      <c r="H87" s="7"/>
      <c r="I87" s="7"/>
      <c r="J87" s="7"/>
      <c r="K87" s="7"/>
      <c r="L87" s="7"/>
      <c r="M87" s="7"/>
      <c r="N87" s="7"/>
      <c r="O87" s="7"/>
      <c r="P87" s="7"/>
      <c r="Q87" s="7"/>
      <c r="R87" s="27"/>
      <c r="S87" s="27"/>
      <c r="T87" s="27"/>
      <c r="U87" s="27"/>
      <c r="V87" s="27"/>
      <c r="W87" s="27"/>
      <c r="X87" s="27"/>
      <c r="Y87" s="27"/>
      <c r="Z87" s="7"/>
      <c r="AA87" s="7"/>
    </row>
    <row r="88" ht="12.75" customHeight="1">
      <c r="A88" s="7"/>
      <c r="B88" s="7"/>
      <c r="C88" s="7"/>
      <c r="D88" s="7"/>
      <c r="E88" s="7"/>
      <c r="F88" s="7"/>
      <c r="G88" s="7"/>
      <c r="H88" s="7"/>
      <c r="I88" s="7"/>
      <c r="J88" s="7"/>
      <c r="K88" s="7"/>
      <c r="L88" s="7"/>
      <c r="M88" s="7"/>
      <c r="N88" s="7"/>
      <c r="O88" s="7"/>
      <c r="P88" s="7"/>
      <c r="Q88" s="7"/>
      <c r="R88" s="27"/>
      <c r="S88" s="27"/>
      <c r="T88" s="27"/>
      <c r="U88" s="27"/>
      <c r="V88" s="27"/>
      <c r="W88" s="27"/>
      <c r="X88" s="27"/>
      <c r="Y88" s="27"/>
      <c r="Z88" s="7"/>
      <c r="AA88" s="7"/>
    </row>
    <row r="89" ht="12.75" customHeight="1">
      <c r="A89" s="7"/>
      <c r="B89" s="7"/>
      <c r="C89" s="7"/>
      <c r="D89" s="7"/>
      <c r="E89" s="7"/>
      <c r="F89" s="7"/>
      <c r="G89" s="7"/>
      <c r="H89" s="7"/>
      <c r="I89" s="7"/>
      <c r="J89" s="7"/>
      <c r="K89" s="7"/>
      <c r="L89" s="7"/>
      <c r="M89" s="7"/>
      <c r="N89" s="7"/>
      <c r="O89" s="7"/>
      <c r="P89" s="7"/>
      <c r="Q89" s="7"/>
      <c r="R89" s="27"/>
      <c r="S89" s="27"/>
      <c r="T89" s="27"/>
      <c r="U89" s="27"/>
      <c r="V89" s="27"/>
      <c r="W89" s="27"/>
      <c r="X89" s="27"/>
      <c r="Y89" s="27"/>
      <c r="Z89" s="7"/>
      <c r="AA89" s="7"/>
    </row>
    <row r="90" ht="12.75" customHeight="1">
      <c r="A90" s="7"/>
      <c r="B90" s="7"/>
      <c r="C90" s="7"/>
      <c r="D90" s="7"/>
      <c r="E90" s="7"/>
      <c r="F90" s="7"/>
      <c r="G90" s="7"/>
      <c r="H90" s="7"/>
      <c r="I90" s="7"/>
      <c r="J90" s="7"/>
      <c r="K90" s="7"/>
      <c r="L90" s="7"/>
      <c r="M90" s="7"/>
      <c r="N90" s="7"/>
      <c r="O90" s="7"/>
      <c r="P90" s="7"/>
      <c r="Q90" s="7"/>
      <c r="R90" s="27"/>
      <c r="S90" s="27"/>
      <c r="T90" s="27"/>
      <c r="U90" s="27"/>
      <c r="V90" s="27"/>
      <c r="W90" s="27"/>
      <c r="X90" s="27"/>
      <c r="Y90" s="27"/>
      <c r="Z90" s="7"/>
      <c r="AA90" s="7"/>
    </row>
    <row r="91" ht="12.75" customHeight="1">
      <c r="A91" s="7"/>
      <c r="B91" s="7"/>
      <c r="C91" s="7"/>
      <c r="D91" s="7"/>
      <c r="E91" s="7"/>
      <c r="F91" s="7"/>
      <c r="G91" s="7"/>
      <c r="H91" s="7"/>
      <c r="I91" s="7"/>
      <c r="J91" s="7"/>
      <c r="K91" s="7"/>
      <c r="L91" s="7"/>
      <c r="M91" s="7"/>
      <c r="N91" s="7"/>
      <c r="O91" s="7"/>
      <c r="P91" s="7"/>
      <c r="Q91" s="7"/>
      <c r="R91" s="27"/>
      <c r="S91" s="27"/>
      <c r="T91" s="27"/>
      <c r="U91" s="27"/>
      <c r="V91" s="27"/>
      <c r="W91" s="27"/>
      <c r="X91" s="27"/>
      <c r="Y91" s="27"/>
      <c r="Z91" s="7"/>
      <c r="AA91" s="7"/>
    </row>
    <row r="92" ht="12.75" customHeight="1">
      <c r="A92" s="7"/>
      <c r="B92" s="7"/>
      <c r="C92" s="7"/>
      <c r="D92" s="7"/>
      <c r="E92" s="7"/>
      <c r="F92" s="7"/>
      <c r="G92" s="7"/>
      <c r="H92" s="7"/>
      <c r="I92" s="7"/>
      <c r="J92" s="7"/>
      <c r="K92" s="7"/>
      <c r="L92" s="7"/>
      <c r="M92" s="7"/>
      <c r="N92" s="7"/>
      <c r="O92" s="7"/>
      <c r="P92" s="7"/>
      <c r="Q92" s="7"/>
      <c r="R92" s="27"/>
      <c r="S92" s="27"/>
      <c r="T92" s="27"/>
      <c r="U92" s="27"/>
      <c r="V92" s="27"/>
      <c r="W92" s="27"/>
      <c r="X92" s="27"/>
      <c r="Y92" s="27"/>
      <c r="Z92" s="7"/>
      <c r="AA92" s="7"/>
    </row>
    <row r="93" ht="12.75" customHeight="1">
      <c r="A93" s="7"/>
      <c r="B93" s="7"/>
      <c r="C93" s="7"/>
      <c r="D93" s="7"/>
      <c r="E93" s="7"/>
      <c r="F93" s="7"/>
      <c r="G93" s="7"/>
      <c r="H93" s="7"/>
      <c r="I93" s="7"/>
      <c r="J93" s="7"/>
      <c r="K93" s="7"/>
      <c r="L93" s="7"/>
      <c r="M93" s="7"/>
      <c r="N93" s="7"/>
      <c r="O93" s="7"/>
      <c r="P93" s="7"/>
      <c r="Q93" s="7"/>
      <c r="R93" s="27"/>
      <c r="S93" s="27"/>
      <c r="T93" s="27"/>
      <c r="U93" s="27"/>
      <c r="V93" s="27"/>
      <c r="W93" s="27"/>
      <c r="X93" s="27"/>
      <c r="Y93" s="27"/>
      <c r="Z93" s="7"/>
      <c r="AA93" s="7"/>
    </row>
    <row r="94" ht="12.75" customHeight="1">
      <c r="A94" s="7"/>
      <c r="B94" s="7"/>
      <c r="C94" s="7"/>
      <c r="D94" s="7"/>
      <c r="E94" s="7"/>
      <c r="F94" s="7"/>
      <c r="G94" s="7"/>
      <c r="H94" s="7"/>
      <c r="I94" s="7"/>
      <c r="J94" s="7"/>
      <c r="K94" s="7"/>
      <c r="L94" s="7"/>
      <c r="M94" s="7"/>
      <c r="N94" s="7"/>
      <c r="O94" s="7"/>
      <c r="P94" s="7"/>
      <c r="Q94" s="7"/>
      <c r="R94" s="27"/>
      <c r="S94" s="27"/>
      <c r="T94" s="27"/>
      <c r="U94" s="27"/>
      <c r="V94" s="27"/>
      <c r="W94" s="27"/>
      <c r="X94" s="27"/>
      <c r="Y94" s="27"/>
      <c r="Z94" s="7"/>
      <c r="AA94" s="7"/>
    </row>
    <row r="95" ht="12.75" customHeight="1">
      <c r="A95" s="7"/>
      <c r="B95" s="7"/>
      <c r="C95" s="7"/>
      <c r="D95" s="7"/>
      <c r="E95" s="7"/>
      <c r="F95" s="7"/>
      <c r="G95" s="7"/>
      <c r="H95" s="7"/>
      <c r="I95" s="7"/>
      <c r="J95" s="7"/>
      <c r="K95" s="7"/>
      <c r="L95" s="7"/>
      <c r="M95" s="7"/>
      <c r="N95" s="7"/>
      <c r="O95" s="7"/>
      <c r="P95" s="7"/>
      <c r="Q95" s="7"/>
      <c r="R95" s="27"/>
      <c r="S95" s="27"/>
      <c r="T95" s="27"/>
      <c r="U95" s="27"/>
      <c r="V95" s="27"/>
      <c r="W95" s="27"/>
      <c r="X95" s="27"/>
      <c r="Y95" s="27"/>
      <c r="Z95" s="7"/>
      <c r="AA95" s="7"/>
    </row>
    <row r="96" ht="12.75" customHeight="1">
      <c r="A96" s="7"/>
      <c r="B96" s="7"/>
      <c r="C96" s="7"/>
      <c r="D96" s="7"/>
      <c r="E96" s="7"/>
      <c r="F96" s="7"/>
      <c r="G96" s="7"/>
      <c r="H96" s="7"/>
      <c r="I96" s="7"/>
      <c r="J96" s="7"/>
      <c r="K96" s="7"/>
      <c r="L96" s="7"/>
      <c r="M96" s="7"/>
      <c r="N96" s="7"/>
      <c r="O96" s="7"/>
      <c r="P96" s="7"/>
      <c r="Q96" s="7"/>
      <c r="R96" s="27"/>
      <c r="S96" s="27"/>
      <c r="T96" s="27"/>
      <c r="U96" s="27"/>
      <c r="V96" s="27"/>
      <c r="W96" s="27"/>
      <c r="X96" s="27"/>
      <c r="Y96" s="27"/>
      <c r="Z96" s="7"/>
      <c r="AA96" s="7"/>
    </row>
    <row r="97" ht="12.75" customHeight="1">
      <c r="A97" s="7"/>
      <c r="B97" s="7"/>
      <c r="C97" s="7"/>
      <c r="D97" s="7"/>
      <c r="E97" s="7"/>
      <c r="F97" s="7"/>
      <c r="G97" s="7"/>
      <c r="H97" s="7"/>
      <c r="I97" s="7"/>
      <c r="J97" s="7"/>
      <c r="K97" s="7"/>
      <c r="L97" s="7"/>
      <c r="M97" s="7"/>
      <c r="N97" s="7"/>
      <c r="O97" s="7"/>
      <c r="P97" s="7"/>
      <c r="Q97" s="7"/>
      <c r="R97" s="27"/>
      <c r="S97" s="27"/>
      <c r="T97" s="27"/>
      <c r="U97" s="27"/>
      <c r="V97" s="27"/>
      <c r="W97" s="27"/>
      <c r="X97" s="27"/>
      <c r="Y97" s="27"/>
      <c r="Z97" s="7"/>
      <c r="AA97" s="7"/>
    </row>
    <row r="98" ht="12.75" customHeight="1">
      <c r="A98" s="7"/>
      <c r="B98" s="7"/>
      <c r="C98" s="7"/>
      <c r="D98" s="7"/>
      <c r="E98" s="7"/>
      <c r="F98" s="7"/>
      <c r="G98" s="7"/>
      <c r="H98" s="7"/>
      <c r="I98" s="7"/>
      <c r="J98" s="7"/>
      <c r="K98" s="7"/>
      <c r="L98" s="7"/>
      <c r="M98" s="7"/>
      <c r="N98" s="7"/>
      <c r="O98" s="7"/>
      <c r="P98" s="7"/>
      <c r="Q98" s="7"/>
      <c r="R98" s="27"/>
      <c r="S98" s="27"/>
      <c r="T98" s="27"/>
      <c r="U98" s="27"/>
      <c r="V98" s="27"/>
      <c r="W98" s="27"/>
      <c r="X98" s="27"/>
      <c r="Y98" s="27"/>
      <c r="Z98" s="7"/>
      <c r="AA98" s="7"/>
    </row>
    <row r="99" ht="12.75" customHeight="1">
      <c r="A99" s="7"/>
      <c r="B99" s="7"/>
      <c r="C99" s="7"/>
      <c r="D99" s="7"/>
      <c r="E99" s="7"/>
      <c r="F99" s="7"/>
      <c r="G99" s="7"/>
      <c r="H99" s="7"/>
      <c r="I99" s="7"/>
      <c r="J99" s="7"/>
      <c r="K99" s="7"/>
      <c r="L99" s="7"/>
      <c r="M99" s="7"/>
      <c r="N99" s="7"/>
      <c r="O99" s="7"/>
      <c r="P99" s="7"/>
      <c r="Q99" s="7"/>
      <c r="R99" s="27"/>
      <c r="S99" s="27"/>
      <c r="T99" s="27"/>
      <c r="U99" s="27"/>
      <c r="V99" s="27"/>
      <c r="W99" s="27"/>
      <c r="X99" s="27"/>
      <c r="Y99" s="27"/>
      <c r="Z99" s="7"/>
      <c r="AA99" s="7"/>
    </row>
    <row r="100" ht="12.75" customHeight="1">
      <c r="A100" s="7"/>
      <c r="B100" s="7"/>
      <c r="C100" s="7"/>
      <c r="D100" s="7"/>
      <c r="E100" s="7"/>
      <c r="F100" s="7"/>
      <c r="G100" s="7"/>
      <c r="H100" s="7"/>
      <c r="I100" s="7"/>
      <c r="J100" s="7"/>
      <c r="K100" s="7"/>
      <c r="L100" s="7"/>
      <c r="M100" s="7"/>
      <c r="N100" s="7"/>
      <c r="O100" s="7"/>
      <c r="P100" s="7"/>
      <c r="Q100" s="7"/>
      <c r="R100" s="27"/>
      <c r="S100" s="27"/>
      <c r="T100" s="27"/>
      <c r="U100" s="27"/>
      <c r="V100" s="27"/>
      <c r="W100" s="27"/>
      <c r="X100" s="27"/>
      <c r="Y100" s="27"/>
      <c r="Z100" s="7"/>
      <c r="AA100" s="7"/>
    </row>
    <row r="101" ht="12.75" customHeight="1">
      <c r="A101" s="7"/>
      <c r="B101" s="7"/>
      <c r="C101" s="7"/>
      <c r="D101" s="7"/>
      <c r="E101" s="7"/>
      <c r="F101" s="7"/>
      <c r="G101" s="7"/>
      <c r="H101" s="7"/>
      <c r="I101" s="7"/>
      <c r="J101" s="7"/>
      <c r="K101" s="7"/>
      <c r="L101" s="7"/>
      <c r="M101" s="7"/>
      <c r="N101" s="7"/>
      <c r="O101" s="7"/>
      <c r="P101" s="7"/>
      <c r="Q101" s="7"/>
      <c r="R101" s="27"/>
      <c r="S101" s="27"/>
      <c r="T101" s="27"/>
      <c r="U101" s="27"/>
      <c r="V101" s="27"/>
      <c r="W101" s="27"/>
      <c r="X101" s="27"/>
      <c r="Y101" s="27"/>
      <c r="Z101" s="7"/>
      <c r="AA101" s="7"/>
    </row>
    <row r="102" ht="12.75" customHeight="1">
      <c r="A102" s="7"/>
      <c r="B102" s="7"/>
      <c r="C102" s="7"/>
      <c r="D102" s="7"/>
      <c r="E102" s="7"/>
      <c r="F102" s="7"/>
      <c r="G102" s="7"/>
      <c r="H102" s="7"/>
      <c r="I102" s="7"/>
      <c r="J102" s="7"/>
      <c r="K102" s="7"/>
      <c r="L102" s="7"/>
      <c r="M102" s="7"/>
      <c r="N102" s="7"/>
      <c r="O102" s="7"/>
      <c r="P102" s="7"/>
      <c r="Q102" s="7"/>
      <c r="R102" s="27"/>
      <c r="S102" s="27"/>
      <c r="T102" s="27"/>
      <c r="U102" s="27"/>
      <c r="V102" s="27"/>
      <c r="W102" s="27"/>
      <c r="X102" s="27"/>
      <c r="Y102" s="27"/>
      <c r="Z102" s="7"/>
      <c r="AA102" s="7"/>
    </row>
    <row r="103" ht="12.75" customHeight="1">
      <c r="A103" s="7"/>
      <c r="B103" s="7"/>
      <c r="C103" s="7"/>
      <c r="D103" s="7"/>
      <c r="E103" s="7"/>
      <c r="F103" s="7"/>
      <c r="G103" s="7"/>
      <c r="H103" s="7"/>
      <c r="I103" s="7"/>
      <c r="J103" s="7"/>
      <c r="K103" s="7"/>
      <c r="L103" s="7"/>
      <c r="M103" s="7"/>
      <c r="N103" s="7"/>
      <c r="O103" s="7"/>
      <c r="P103" s="7"/>
      <c r="Q103" s="7"/>
      <c r="R103" s="27"/>
      <c r="S103" s="27"/>
      <c r="T103" s="27"/>
      <c r="U103" s="27"/>
      <c r="V103" s="27"/>
      <c r="W103" s="27"/>
      <c r="X103" s="27"/>
      <c r="Y103" s="27"/>
      <c r="Z103" s="7"/>
      <c r="AA103" s="7"/>
    </row>
    <row r="104" ht="12.75" customHeight="1">
      <c r="A104" s="7"/>
      <c r="B104" s="7"/>
      <c r="C104" s="7"/>
      <c r="D104" s="7"/>
      <c r="E104" s="7"/>
      <c r="F104" s="7"/>
      <c r="G104" s="7"/>
      <c r="H104" s="7"/>
      <c r="I104" s="7"/>
      <c r="J104" s="7"/>
      <c r="K104" s="7"/>
      <c r="L104" s="7"/>
      <c r="M104" s="7"/>
      <c r="N104" s="7"/>
      <c r="O104" s="7"/>
      <c r="P104" s="7"/>
      <c r="Q104" s="7"/>
      <c r="R104" s="27"/>
      <c r="S104" s="27"/>
      <c r="T104" s="27"/>
      <c r="U104" s="27"/>
      <c r="V104" s="27"/>
      <c r="W104" s="27"/>
      <c r="X104" s="27"/>
      <c r="Y104" s="27"/>
      <c r="Z104" s="7"/>
      <c r="AA104" s="7"/>
    </row>
    <row r="105" ht="12.75" customHeight="1">
      <c r="A105" s="7"/>
      <c r="B105" s="7"/>
      <c r="C105" s="7"/>
      <c r="D105" s="7"/>
      <c r="E105" s="7"/>
      <c r="F105" s="7"/>
      <c r="G105" s="7"/>
      <c r="H105" s="7"/>
      <c r="I105" s="7"/>
      <c r="J105" s="7"/>
      <c r="K105" s="7"/>
      <c r="L105" s="7"/>
      <c r="M105" s="7"/>
      <c r="N105" s="7"/>
      <c r="O105" s="7"/>
      <c r="P105" s="7"/>
      <c r="Q105" s="7"/>
      <c r="R105" s="27"/>
      <c r="S105" s="27"/>
      <c r="T105" s="27"/>
      <c r="U105" s="27"/>
      <c r="V105" s="27"/>
      <c r="W105" s="27"/>
      <c r="X105" s="27"/>
      <c r="Y105" s="27"/>
      <c r="Z105" s="7"/>
      <c r="AA105" s="7"/>
    </row>
    <row r="106" ht="12.75" customHeight="1">
      <c r="A106" s="7"/>
      <c r="B106" s="7"/>
      <c r="C106" s="7"/>
      <c r="D106" s="7"/>
      <c r="E106" s="7"/>
      <c r="F106" s="7"/>
      <c r="G106" s="7"/>
      <c r="H106" s="7"/>
      <c r="I106" s="7"/>
      <c r="J106" s="7"/>
      <c r="K106" s="7"/>
      <c r="L106" s="7"/>
      <c r="M106" s="7"/>
      <c r="N106" s="7"/>
      <c r="O106" s="7"/>
      <c r="P106" s="7"/>
      <c r="Q106" s="7"/>
      <c r="R106" s="27"/>
      <c r="S106" s="27"/>
      <c r="T106" s="27"/>
      <c r="U106" s="27"/>
      <c r="V106" s="27"/>
      <c r="W106" s="27"/>
      <c r="X106" s="27"/>
      <c r="Y106" s="27"/>
      <c r="Z106" s="7"/>
      <c r="AA106" s="7"/>
    </row>
    <row r="107" ht="12.75" customHeight="1">
      <c r="A107" s="7"/>
      <c r="B107" s="7"/>
      <c r="C107" s="7"/>
      <c r="D107" s="7"/>
      <c r="E107" s="7"/>
      <c r="F107" s="7"/>
      <c r="G107" s="7"/>
      <c r="H107" s="7"/>
      <c r="I107" s="7"/>
      <c r="J107" s="7"/>
      <c r="K107" s="7"/>
      <c r="L107" s="7"/>
      <c r="M107" s="7"/>
      <c r="N107" s="7"/>
      <c r="O107" s="7"/>
      <c r="P107" s="7"/>
      <c r="Q107" s="7"/>
      <c r="R107" s="27"/>
      <c r="S107" s="27"/>
      <c r="T107" s="27"/>
      <c r="U107" s="27"/>
      <c r="V107" s="27"/>
      <c r="W107" s="27"/>
      <c r="X107" s="27"/>
      <c r="Y107" s="27"/>
      <c r="Z107" s="7"/>
      <c r="AA107" s="7"/>
    </row>
    <row r="108" ht="12.75" customHeight="1">
      <c r="A108" s="7"/>
      <c r="B108" s="7"/>
      <c r="C108" s="7"/>
      <c r="D108" s="7"/>
      <c r="E108" s="7"/>
      <c r="F108" s="7"/>
      <c r="G108" s="7"/>
      <c r="H108" s="7"/>
      <c r="I108" s="7"/>
      <c r="J108" s="7"/>
      <c r="K108" s="7"/>
      <c r="L108" s="7"/>
      <c r="M108" s="7"/>
      <c r="N108" s="7"/>
      <c r="O108" s="7"/>
      <c r="P108" s="7"/>
      <c r="Q108" s="7"/>
      <c r="R108" s="27"/>
      <c r="S108" s="27"/>
      <c r="T108" s="27"/>
      <c r="U108" s="27"/>
      <c r="V108" s="27"/>
      <c r="W108" s="27"/>
      <c r="X108" s="27"/>
      <c r="Y108" s="27"/>
      <c r="Z108" s="7"/>
      <c r="AA108" s="7"/>
    </row>
    <row r="109" ht="12.75" customHeight="1">
      <c r="A109" s="7"/>
      <c r="B109" s="7"/>
      <c r="C109" s="7"/>
      <c r="D109" s="7"/>
      <c r="E109" s="7"/>
      <c r="F109" s="7"/>
      <c r="G109" s="7"/>
      <c r="H109" s="7"/>
      <c r="I109" s="7"/>
      <c r="J109" s="7"/>
      <c r="K109" s="7"/>
      <c r="L109" s="7"/>
      <c r="M109" s="7"/>
      <c r="N109" s="7"/>
      <c r="O109" s="7"/>
      <c r="P109" s="7"/>
      <c r="Q109" s="7"/>
      <c r="R109" s="27"/>
      <c r="S109" s="27"/>
      <c r="T109" s="27"/>
      <c r="U109" s="27"/>
      <c r="V109" s="27"/>
      <c r="W109" s="27"/>
      <c r="X109" s="27"/>
      <c r="Y109" s="27"/>
      <c r="Z109" s="7"/>
      <c r="AA109" s="7"/>
    </row>
    <row r="110" ht="12.75" customHeight="1">
      <c r="A110" s="7"/>
      <c r="B110" s="7"/>
      <c r="C110" s="7"/>
      <c r="D110" s="7"/>
      <c r="E110" s="7"/>
      <c r="F110" s="7"/>
      <c r="G110" s="7"/>
      <c r="H110" s="7"/>
      <c r="I110" s="7"/>
      <c r="J110" s="7"/>
      <c r="K110" s="7"/>
      <c r="L110" s="7"/>
      <c r="M110" s="7"/>
      <c r="N110" s="7"/>
      <c r="O110" s="7"/>
      <c r="P110" s="7"/>
      <c r="Q110" s="7"/>
      <c r="R110" s="27"/>
      <c r="S110" s="27"/>
      <c r="T110" s="27"/>
      <c r="U110" s="27"/>
      <c r="V110" s="27"/>
      <c r="W110" s="27"/>
      <c r="X110" s="27"/>
      <c r="Y110" s="27"/>
      <c r="Z110" s="7"/>
      <c r="AA110" s="7"/>
    </row>
    <row r="111" ht="12.75" customHeight="1">
      <c r="A111" s="7"/>
      <c r="B111" s="7"/>
      <c r="C111" s="7"/>
      <c r="D111" s="7"/>
      <c r="E111" s="7"/>
      <c r="F111" s="7"/>
      <c r="G111" s="7"/>
      <c r="H111" s="7"/>
      <c r="I111" s="7"/>
      <c r="J111" s="7"/>
      <c r="K111" s="7"/>
      <c r="L111" s="7"/>
      <c r="M111" s="7"/>
      <c r="N111" s="7"/>
      <c r="O111" s="7"/>
      <c r="P111" s="7"/>
      <c r="Q111" s="7"/>
      <c r="R111" s="27"/>
      <c r="S111" s="27"/>
      <c r="T111" s="27"/>
      <c r="U111" s="27"/>
      <c r="V111" s="27"/>
      <c r="W111" s="27"/>
      <c r="X111" s="27"/>
      <c r="Y111" s="27"/>
      <c r="Z111" s="7"/>
      <c r="AA111" s="7"/>
    </row>
    <row r="112" ht="12.75" customHeight="1">
      <c r="A112" s="7"/>
      <c r="B112" s="7"/>
      <c r="C112" s="7"/>
      <c r="D112" s="7"/>
      <c r="E112" s="7"/>
      <c r="F112" s="7"/>
      <c r="G112" s="7"/>
      <c r="H112" s="7"/>
      <c r="I112" s="7"/>
      <c r="J112" s="7"/>
      <c r="K112" s="7"/>
      <c r="L112" s="7"/>
      <c r="M112" s="7"/>
      <c r="N112" s="7"/>
      <c r="O112" s="7"/>
      <c r="P112" s="7"/>
      <c r="Q112" s="7"/>
      <c r="R112" s="27"/>
      <c r="S112" s="27"/>
      <c r="T112" s="27"/>
      <c r="U112" s="27"/>
      <c r="V112" s="27"/>
      <c r="W112" s="27"/>
      <c r="X112" s="27"/>
      <c r="Y112" s="27"/>
      <c r="Z112" s="7"/>
      <c r="AA112" s="7"/>
    </row>
    <row r="113" ht="12.75" customHeight="1">
      <c r="A113" s="7"/>
      <c r="B113" s="7"/>
      <c r="C113" s="7"/>
      <c r="D113" s="7"/>
      <c r="E113" s="7"/>
      <c r="F113" s="7"/>
      <c r="G113" s="7"/>
      <c r="H113" s="7"/>
      <c r="I113" s="7"/>
      <c r="J113" s="7"/>
      <c r="K113" s="7"/>
      <c r="L113" s="7"/>
      <c r="M113" s="7"/>
      <c r="N113" s="7"/>
      <c r="O113" s="7"/>
      <c r="P113" s="7"/>
      <c r="Q113" s="7"/>
      <c r="R113" s="27"/>
      <c r="S113" s="27"/>
      <c r="T113" s="27"/>
      <c r="U113" s="27"/>
      <c r="V113" s="27"/>
      <c r="W113" s="27"/>
      <c r="X113" s="27"/>
      <c r="Y113" s="27"/>
      <c r="Z113" s="7"/>
      <c r="AA113" s="7"/>
    </row>
    <row r="114" ht="12.75" customHeight="1">
      <c r="A114" s="7"/>
      <c r="B114" s="7"/>
      <c r="C114" s="7"/>
      <c r="D114" s="7"/>
      <c r="E114" s="7"/>
      <c r="F114" s="7"/>
      <c r="G114" s="7"/>
      <c r="H114" s="7"/>
      <c r="I114" s="7"/>
      <c r="J114" s="7"/>
      <c r="K114" s="7"/>
      <c r="L114" s="7"/>
      <c r="M114" s="7"/>
      <c r="N114" s="7"/>
      <c r="O114" s="7"/>
      <c r="P114" s="7"/>
      <c r="Q114" s="7"/>
      <c r="R114" s="27"/>
      <c r="S114" s="27"/>
      <c r="T114" s="27"/>
      <c r="U114" s="27"/>
      <c r="V114" s="27"/>
      <c r="W114" s="27"/>
      <c r="X114" s="27"/>
      <c r="Y114" s="27"/>
      <c r="Z114" s="7"/>
      <c r="AA114" s="7"/>
    </row>
    <row r="115" ht="12.75" customHeight="1">
      <c r="A115" s="7"/>
      <c r="B115" s="7"/>
      <c r="C115" s="7"/>
      <c r="D115" s="7"/>
      <c r="E115" s="7"/>
      <c r="F115" s="7"/>
      <c r="G115" s="7" t="s">
        <v>67</v>
      </c>
      <c r="H115" s="7"/>
      <c r="I115" s="7"/>
      <c r="J115" s="7"/>
      <c r="K115" s="7"/>
      <c r="L115" s="7"/>
      <c r="M115" s="7"/>
      <c r="N115" s="7"/>
      <c r="O115" s="7"/>
      <c r="P115" s="7"/>
      <c r="Q115" s="7"/>
      <c r="R115" s="27"/>
      <c r="S115" s="27"/>
      <c r="T115" s="27"/>
      <c r="U115" s="27"/>
      <c r="V115" s="27"/>
      <c r="W115" s="27"/>
      <c r="X115" s="27"/>
      <c r="Y115" s="27"/>
      <c r="Z115" s="7"/>
      <c r="AA115" s="7"/>
    </row>
    <row r="116" ht="12.75" customHeight="1">
      <c r="A116" s="7"/>
      <c r="B116" s="7"/>
      <c r="C116" s="7"/>
      <c r="D116" s="7"/>
      <c r="E116" s="7"/>
      <c r="F116" s="7"/>
      <c r="G116" s="7"/>
      <c r="H116" s="7"/>
      <c r="I116" s="7"/>
      <c r="J116" s="7"/>
      <c r="K116" s="7"/>
      <c r="L116" s="7"/>
      <c r="M116" s="7"/>
      <c r="N116" s="7"/>
      <c r="O116" s="7"/>
      <c r="P116" s="7"/>
      <c r="Q116" s="7"/>
      <c r="R116" s="27"/>
      <c r="S116" s="27"/>
      <c r="T116" s="27"/>
      <c r="U116" s="27"/>
      <c r="V116" s="27"/>
      <c r="W116" s="27"/>
      <c r="X116" s="27"/>
      <c r="Y116" s="27"/>
      <c r="Z116" s="7"/>
      <c r="AA116" s="7"/>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mergeCells count="19">
    <mergeCell ref="C2:R2"/>
    <mergeCell ref="S2:T2"/>
    <mergeCell ref="H4:K4"/>
    <mergeCell ref="M4:N4"/>
    <mergeCell ref="M5:N5"/>
    <mergeCell ref="M6:N6"/>
    <mergeCell ref="V11:V13"/>
    <mergeCell ref="V35:V37"/>
    <mergeCell ref="V38:V40"/>
    <mergeCell ref="V41:V43"/>
    <mergeCell ref="V44:V46"/>
    <mergeCell ref="V47:V49"/>
    <mergeCell ref="V14:V16"/>
    <mergeCell ref="V17:V19"/>
    <mergeCell ref="V20:V22"/>
    <mergeCell ref="V23:V25"/>
    <mergeCell ref="V26:V28"/>
    <mergeCell ref="V29:V31"/>
    <mergeCell ref="V32:V3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6.5"/>
    <col customWidth="1" min="2" max="2" width="7.38"/>
    <col customWidth="1" min="3" max="3" width="6.5"/>
    <col customWidth="1" min="4" max="4" width="6.25"/>
    <col customWidth="1" min="5" max="5" width="5.88"/>
    <col customWidth="1" min="6" max="6" width="6.25"/>
    <col customWidth="1" min="7" max="7" width="6.38"/>
    <col customWidth="1" min="8" max="8" width="1.63"/>
    <col customWidth="1" min="9" max="9" width="6.5"/>
    <col customWidth="1" min="10" max="10" width="7.38"/>
    <col customWidth="1" min="11" max="11" width="5.88"/>
    <col customWidth="1" min="12" max="12" width="6.25"/>
    <col customWidth="1" min="13" max="13" width="1.63"/>
    <col customWidth="1" min="14" max="14" width="6.5"/>
    <col customWidth="1" min="15" max="15" width="7.38"/>
    <col customWidth="1" min="16" max="16" width="6.75"/>
    <col customWidth="1" min="17" max="17" width="6.25"/>
    <col customWidth="1" min="18" max="18" width="5.88"/>
    <col customWidth="1" min="19" max="19" width="6.25"/>
    <col customWidth="1" min="20" max="20" width="6.38"/>
    <col customWidth="1" min="21" max="21" width="1.63"/>
    <col customWidth="1" min="22" max="22" width="5.63"/>
    <col customWidth="1" min="23" max="23" width="10.75"/>
    <col customWidth="1" min="24" max="24" width="1.5"/>
    <col customWidth="1" min="25" max="25" width="7.75"/>
    <col customWidth="1" min="26" max="26" width="6.13"/>
    <col customWidth="1" min="27" max="27" width="6.5"/>
    <col customWidth="1" min="28" max="28" width="7.0"/>
    <col customWidth="1" min="29" max="29" width="4.5"/>
  </cols>
  <sheetData>
    <row r="1" ht="26.25" customHeight="1">
      <c r="A1" s="67"/>
      <c r="B1" s="67"/>
      <c r="C1" s="67"/>
      <c r="D1" s="67"/>
      <c r="E1" s="67"/>
      <c r="F1" s="67"/>
      <c r="G1" s="67"/>
      <c r="H1" s="67"/>
      <c r="I1" s="67"/>
      <c r="J1" s="67"/>
      <c r="K1" s="68" t="s">
        <v>314</v>
      </c>
      <c r="L1" s="67"/>
      <c r="M1" s="67"/>
      <c r="N1" s="67"/>
      <c r="O1" s="67"/>
      <c r="P1" s="67"/>
      <c r="Q1" s="67" t="s">
        <v>1</v>
      </c>
      <c r="R1" s="67"/>
      <c r="S1" s="67"/>
      <c r="T1" s="67"/>
      <c r="U1" s="67"/>
      <c r="V1" s="67"/>
      <c r="W1" s="67"/>
      <c r="X1" s="27"/>
      <c r="Y1" s="69"/>
      <c r="Z1" s="69"/>
      <c r="AA1" s="69"/>
      <c r="AB1" s="69"/>
      <c r="AC1" s="69"/>
    </row>
    <row r="2" ht="6.75" customHeight="1">
      <c r="A2" s="27"/>
      <c r="B2" s="27"/>
      <c r="C2" s="27"/>
      <c r="D2" s="27"/>
      <c r="E2" s="69"/>
      <c r="F2" s="69"/>
      <c r="G2" s="69"/>
      <c r="H2" s="69"/>
      <c r="I2" s="27"/>
      <c r="J2" s="27"/>
      <c r="K2" s="27"/>
      <c r="L2" s="27"/>
      <c r="M2" s="69"/>
      <c r="N2" s="69"/>
      <c r="O2" s="69"/>
      <c r="P2" s="27"/>
      <c r="Q2" s="27"/>
      <c r="R2" s="27"/>
      <c r="S2" s="27"/>
      <c r="T2" s="27"/>
      <c r="U2" s="27"/>
      <c r="V2" s="69"/>
      <c r="W2" s="69"/>
      <c r="X2" s="69"/>
      <c r="Y2" s="69"/>
      <c r="Z2" s="69"/>
      <c r="AA2" s="69"/>
      <c r="AB2" s="69"/>
      <c r="AC2" s="69"/>
    </row>
    <row r="3" ht="16.5" customHeight="1">
      <c r="A3" s="27"/>
      <c r="B3" s="49" t="s">
        <v>73</v>
      </c>
      <c r="C3" s="50"/>
      <c r="D3" s="50"/>
      <c r="E3" s="69"/>
      <c r="F3" s="69"/>
      <c r="G3" s="69"/>
      <c r="H3" s="69"/>
      <c r="I3" s="49" t="s">
        <v>74</v>
      </c>
      <c r="J3" s="50"/>
      <c r="K3" s="50"/>
      <c r="L3" s="27"/>
      <c r="M3" s="27"/>
      <c r="N3" s="27"/>
      <c r="O3" s="27"/>
      <c r="P3" s="49" t="s">
        <v>76</v>
      </c>
      <c r="Q3" s="50"/>
      <c r="R3" s="50"/>
      <c r="S3" s="27"/>
      <c r="T3" s="85"/>
      <c r="U3" s="27"/>
      <c r="V3" s="53" t="s">
        <v>77</v>
      </c>
      <c r="W3" s="6"/>
      <c r="X3" s="27"/>
      <c r="Y3" s="27"/>
      <c r="Z3" s="69"/>
      <c r="AA3" s="69"/>
      <c r="AB3" s="69"/>
      <c r="AC3" s="69"/>
    </row>
    <row r="4" ht="12.75" customHeight="1">
      <c r="A4" s="27"/>
      <c r="B4" s="31" t="s">
        <v>26</v>
      </c>
      <c r="C4" s="31" t="s">
        <v>27</v>
      </c>
      <c r="D4" s="31" t="s">
        <v>28</v>
      </c>
      <c r="E4" s="27"/>
      <c r="F4" s="27"/>
      <c r="G4" s="27"/>
      <c r="H4" s="27"/>
      <c r="I4" s="25" t="s">
        <v>26</v>
      </c>
      <c r="J4" s="25" t="s">
        <v>28</v>
      </c>
      <c r="K4" s="25" t="s">
        <v>78</v>
      </c>
      <c r="L4" s="27"/>
      <c r="M4" s="27"/>
      <c r="N4" s="27"/>
      <c r="O4" s="27"/>
      <c r="P4" s="31" t="s">
        <v>28</v>
      </c>
      <c r="Q4" s="31" t="s">
        <v>27</v>
      </c>
      <c r="R4" s="31" t="s">
        <v>26</v>
      </c>
      <c r="S4" s="27"/>
      <c r="T4" s="270"/>
      <c r="U4" s="27"/>
      <c r="V4" s="54" t="s">
        <v>80</v>
      </c>
      <c r="W4" s="6"/>
      <c r="X4" s="27"/>
      <c r="Y4" s="27"/>
      <c r="Z4" s="27"/>
      <c r="AA4" s="27"/>
      <c r="AB4" s="27"/>
      <c r="AC4" s="27"/>
    </row>
    <row r="5" ht="12.75" customHeight="1">
      <c r="A5" s="27"/>
      <c r="B5" s="33"/>
      <c r="C5" s="33"/>
      <c r="D5" s="81" t="str">
        <f>IF(OR(C5="",B5=""),"",MROUND((36*B5)/(37-C5),'Start-Options'!B38))</f>
        <v/>
      </c>
      <c r="E5" s="27"/>
      <c r="F5" s="27"/>
      <c r="G5" s="27"/>
      <c r="H5" s="27"/>
      <c r="I5" s="28"/>
      <c r="J5" s="28"/>
      <c r="K5" s="25" t="str">
        <f>IF(OR(I5="",J5=""),"",ROUND(37-(36*I5/J5),0))</f>
        <v/>
      </c>
      <c r="L5" s="27"/>
      <c r="M5" s="27"/>
      <c r="N5" s="27"/>
      <c r="O5" s="27"/>
      <c r="P5" s="28"/>
      <c r="Q5" s="38"/>
      <c r="R5" s="84" t="str">
        <f>IF(OR(Q5="",P5=""),"",MROUND(P5/(36/(37-Q5)),'Start-Options'!B38))</f>
        <v/>
      </c>
      <c r="S5" s="27"/>
      <c r="T5" s="270"/>
      <c r="U5" s="27"/>
      <c r="V5" s="54" t="s">
        <v>64</v>
      </c>
      <c r="W5" s="6"/>
      <c r="X5" s="27"/>
      <c r="Y5" s="27"/>
      <c r="Z5" s="27"/>
      <c r="AA5" s="27"/>
      <c r="AB5" s="27"/>
      <c r="AC5" s="27"/>
    </row>
    <row r="6" ht="6.75" customHeight="1">
      <c r="A6" s="27"/>
      <c r="B6" s="85"/>
      <c r="C6" s="85"/>
      <c r="D6" s="85"/>
      <c r="E6" s="27"/>
      <c r="F6" s="27"/>
      <c r="G6" s="27"/>
      <c r="H6" s="27"/>
      <c r="I6" s="27"/>
      <c r="J6" s="27"/>
      <c r="K6" s="27"/>
      <c r="L6" s="27"/>
      <c r="M6" s="27"/>
      <c r="N6" s="27"/>
      <c r="O6" s="27"/>
      <c r="P6" s="27"/>
      <c r="Q6" s="27"/>
      <c r="R6" s="27"/>
      <c r="S6" s="27"/>
      <c r="T6" s="27"/>
      <c r="U6" s="27"/>
      <c r="V6" s="27"/>
      <c r="W6" s="27"/>
      <c r="X6" s="27"/>
      <c r="Y6" s="27"/>
      <c r="Z6" s="27"/>
      <c r="AA6" s="27"/>
      <c r="AB6" s="27"/>
      <c r="AC6" s="27"/>
    </row>
    <row r="7" ht="21.0" customHeight="1">
      <c r="A7" s="27"/>
      <c r="B7" s="27"/>
      <c r="C7" s="27"/>
      <c r="D7" s="27"/>
      <c r="E7" s="27"/>
      <c r="F7" s="27"/>
      <c r="G7" s="27"/>
      <c r="H7" s="27"/>
      <c r="I7" s="27"/>
      <c r="J7" s="27"/>
      <c r="K7" s="27"/>
      <c r="L7" s="86" t="s">
        <v>83</v>
      </c>
      <c r="M7" s="65"/>
      <c r="N7" s="65"/>
      <c r="O7" s="86"/>
      <c r="P7" s="87"/>
      <c r="Q7" s="27"/>
      <c r="R7" s="27"/>
      <c r="S7" s="27"/>
      <c r="T7" s="27"/>
      <c r="U7" s="27"/>
      <c r="V7" s="27"/>
      <c r="W7" s="27"/>
      <c r="X7" s="27"/>
      <c r="Y7" s="27"/>
      <c r="Z7" s="27"/>
      <c r="AA7" s="27"/>
      <c r="AB7" s="27"/>
      <c r="AC7" s="27"/>
    </row>
    <row r="8" ht="15.75" customHeight="1">
      <c r="A8" s="88"/>
      <c r="B8" s="89" t="s">
        <v>315</v>
      </c>
      <c r="C8" s="60"/>
      <c r="D8" s="60"/>
      <c r="E8" s="90"/>
      <c r="F8" s="91"/>
      <c r="G8" s="91"/>
      <c r="H8" s="91"/>
      <c r="I8" s="91"/>
      <c r="J8" s="89" t="s">
        <v>316</v>
      </c>
      <c r="K8" s="60"/>
      <c r="L8" s="91"/>
      <c r="M8" s="91"/>
      <c r="N8" s="91"/>
      <c r="O8" s="91"/>
      <c r="P8" s="89" t="s">
        <v>86</v>
      </c>
      <c r="Q8" s="60"/>
      <c r="R8" s="60"/>
      <c r="S8" s="91"/>
      <c r="T8" s="91"/>
      <c r="U8" s="91"/>
      <c r="V8" s="93" t="s">
        <v>87</v>
      </c>
      <c r="W8" s="94"/>
      <c r="X8" s="27"/>
      <c r="Y8" s="27"/>
      <c r="Z8" s="27"/>
      <c r="AA8" s="27"/>
      <c r="AB8" s="27"/>
      <c r="AC8" s="27"/>
    </row>
    <row r="9" ht="28.5" customHeight="1">
      <c r="A9" s="95"/>
      <c r="B9" s="96" t="s">
        <v>26</v>
      </c>
      <c r="C9" s="97" t="s">
        <v>88</v>
      </c>
      <c r="D9" s="97" t="s">
        <v>89</v>
      </c>
      <c r="E9" s="97" t="s">
        <v>90</v>
      </c>
      <c r="F9" s="96" t="s">
        <v>91</v>
      </c>
      <c r="G9" s="276" t="s">
        <v>317</v>
      </c>
      <c r="H9" s="27"/>
      <c r="I9" s="98"/>
      <c r="J9" s="96" t="s">
        <v>26</v>
      </c>
      <c r="K9" s="97" t="s">
        <v>90</v>
      </c>
      <c r="L9" s="96" t="s">
        <v>91</v>
      </c>
      <c r="M9" s="27"/>
      <c r="N9" s="98"/>
      <c r="O9" s="96" t="s">
        <v>26</v>
      </c>
      <c r="P9" s="97" t="s">
        <v>88</v>
      </c>
      <c r="Q9" s="97" t="s">
        <v>89</v>
      </c>
      <c r="R9" s="97" t="s">
        <v>90</v>
      </c>
      <c r="S9" s="96" t="s">
        <v>91</v>
      </c>
      <c r="T9" s="276" t="s">
        <v>318</v>
      </c>
      <c r="U9" s="27"/>
      <c r="V9" s="99"/>
      <c r="W9" s="100" t="s">
        <v>26</v>
      </c>
      <c r="X9" s="27"/>
      <c r="Y9" s="101" t="s">
        <v>92</v>
      </c>
      <c r="Z9" s="71"/>
      <c r="AA9" s="27"/>
      <c r="AB9" s="27"/>
      <c r="AC9" s="27"/>
    </row>
    <row r="10" ht="12.75" customHeight="1">
      <c r="A10" s="102"/>
      <c r="B10" s="103">
        <f>IF('Start-Options'!D4="","",MROUND('Start-Options'!F4*0.7,'Start-Options'!B38))</f>
        <v>35</v>
      </c>
      <c r="C10" s="103"/>
      <c r="D10" s="103"/>
      <c r="E10" s="103"/>
      <c r="F10" s="104"/>
      <c r="G10" s="104"/>
      <c r="H10" s="105"/>
      <c r="I10" s="106"/>
      <c r="J10" s="107">
        <f>IF('Start-Options'!D4="","",MROUND('Start-Options'!F4*0.65,'Start-Options'!B38))</f>
        <v>32.5</v>
      </c>
      <c r="K10" s="103"/>
      <c r="L10" s="104"/>
      <c r="M10" s="105"/>
      <c r="N10" s="106"/>
      <c r="O10" s="106">
        <f>IF('Start-Options'!D4="","",MROUND('Start-Options'!F4*0.75,'Start-Options'!B38))</f>
        <v>37.5</v>
      </c>
      <c r="P10" s="108"/>
      <c r="Q10" s="108"/>
      <c r="R10" s="108"/>
      <c r="S10" s="109"/>
      <c r="T10" s="109"/>
      <c r="U10" s="105"/>
      <c r="V10" s="106"/>
      <c r="W10" s="110">
        <f>IF('Start-Options'!D4="","",MROUND('Start-Options'!F4*0.4,'Start-Options'!B38))</f>
        <v>20</v>
      </c>
      <c r="X10" s="27"/>
      <c r="Y10" s="37" t="str">
        <f>'Start-Options'!B4</f>
        <v>Military</v>
      </c>
      <c r="Z10" s="37">
        <f>'Start-Options'!F4</f>
        <v>50</v>
      </c>
      <c r="AA10" s="27"/>
      <c r="AB10" s="27"/>
      <c r="AC10" s="27"/>
    </row>
    <row r="11" ht="12.75" customHeight="1">
      <c r="A11" s="111" t="str">
        <f>'Start-Options'!B4</f>
        <v>Military</v>
      </c>
      <c r="B11" s="112">
        <f>IF('Start-Options'!D4="","",MROUND('Start-Options'!F4*0.8,'Start-Options'!B38))</f>
        <v>40</v>
      </c>
      <c r="C11" s="112"/>
      <c r="D11" s="112"/>
      <c r="E11" s="112"/>
      <c r="F11" s="113"/>
      <c r="G11" s="113"/>
      <c r="H11" s="105"/>
      <c r="I11" s="114" t="str">
        <f>'Start-Options'!B4</f>
        <v>Military</v>
      </c>
      <c r="J11" s="115">
        <f>IF('Start-Options'!D4="","",MROUND('Start-Options'!F4*0.75,'Start-Options'!B38))</f>
        <v>37.5</v>
      </c>
      <c r="K11" s="112"/>
      <c r="L11" s="113"/>
      <c r="M11" s="105"/>
      <c r="N11" s="114" t="str">
        <f>'Start-Options'!B4</f>
        <v>Military</v>
      </c>
      <c r="O11" s="114">
        <f>IF('Start-Options'!D4="","",MROUND('Start-Options'!F4*0.85,'Start-Options'!B38))</f>
        <v>42.5</v>
      </c>
      <c r="P11" s="105"/>
      <c r="Q11" s="105"/>
      <c r="R11" s="105"/>
      <c r="S11" s="116"/>
      <c r="T11" s="116"/>
      <c r="U11" s="105"/>
      <c r="V11" s="114" t="str">
        <f>'Start-Options'!B4</f>
        <v>Military</v>
      </c>
      <c r="W11" s="117">
        <f>IF('Start-Options'!D4="","",MROUND('Start-Options'!F4*0.5,'Start-Options'!B38))</f>
        <v>25</v>
      </c>
      <c r="X11" s="27"/>
      <c r="Y11" s="118" t="str">
        <f>'Start-Options'!B5</f>
        <v>Deadlift</v>
      </c>
      <c r="Z11" s="118">
        <f>'Start-Options'!F5</f>
        <v>110</v>
      </c>
      <c r="AA11" s="27"/>
      <c r="AB11" s="27"/>
      <c r="AC11" s="27"/>
    </row>
    <row r="12" ht="12.75" customHeight="1">
      <c r="A12" s="119"/>
      <c r="B12" s="120">
        <f>IF('Start-Options'!D4="","",MROUND('Start-Options'!F4*0.9,'Start-Options'!B38))</f>
        <v>45</v>
      </c>
      <c r="C12" s="120">
        <f>IF('Start-Options'!D4="","",ROUND((37-36*B12/('Start-Options'!F4+'Start-Options'!F32)),0))</f>
        <v>6</v>
      </c>
      <c r="D12" s="120">
        <f>IF('Start-Options'!D4="","",MROUND(B12*36/(37-C12),'Start-Options'!B38))</f>
        <v>52.5</v>
      </c>
      <c r="E12" s="156"/>
      <c r="F12" s="122" t="str">
        <f>IF(E12="","",MROUND(36*B12/(37-E12),'Start-Options'!B38))</f>
        <v/>
      </c>
      <c r="G12" s="122">
        <f>Z10</f>
        <v>50</v>
      </c>
      <c r="H12" s="105"/>
      <c r="I12" s="123"/>
      <c r="J12" s="124">
        <f>IF('Start-Options'!D4="","",MROUND('Start-Options'!F4*0.85,'Start-Options'!B38))</f>
        <v>42.5</v>
      </c>
      <c r="K12" s="156"/>
      <c r="L12" s="122" t="str">
        <f>IF(K12="","",MROUND(36*J12/(37-K12),'Start-Options'!B38))</f>
        <v/>
      </c>
      <c r="M12" s="105"/>
      <c r="N12" s="123"/>
      <c r="O12" s="123">
        <f>IF('Start-Options'!D4="","",MROUND('Start-Options'!F4*0.95,'Start-Options'!B38))</f>
        <v>47.5</v>
      </c>
      <c r="P12" s="120" t="str">
        <f>IF(L12="","",IF(F12&lt;'Start-Options'!F4,ROUND((37-36*O12/('Start-Options'!F4+'Start-Options'!F32)),0),ROUND((37-36*O12/(F12+'Start-Options'!F32)),0)))</f>
        <v/>
      </c>
      <c r="Q12" s="125" t="str">
        <f>IF(P12="","",MROUND(O12*36/(37-P12),'Start-Options'!B38))</f>
        <v/>
      </c>
      <c r="R12" s="152"/>
      <c r="S12" s="127" t="str">
        <f>IF(R12="","",MROUND(36*O12/(37-R12),'Start-Options'!B38))</f>
        <v/>
      </c>
      <c r="T12" s="127">
        <f>Z10</f>
        <v>50</v>
      </c>
      <c r="U12" s="105"/>
      <c r="V12" s="123"/>
      <c r="W12" s="128">
        <f>IF('Start-Options'!D4="","",MROUND('Start-Options'!F4*0.6,'Start-Options'!B38))</f>
        <v>30</v>
      </c>
      <c r="X12" s="27"/>
      <c r="Y12" s="118" t="str">
        <f>'Start-Options'!B6</f>
        <v>Bench</v>
      </c>
      <c r="Z12" s="118">
        <f>'Start-Options'!F6</f>
        <v>70</v>
      </c>
      <c r="AA12" s="27"/>
      <c r="AB12" s="27"/>
      <c r="AC12" s="27"/>
    </row>
    <row r="13" ht="12.75" customHeight="1">
      <c r="A13" s="102"/>
      <c r="B13" s="103">
        <f>IF('Start-Options'!D5="","",MROUND('Start-Options'!F5*0.7,'Start-Options'!B38))</f>
        <v>77.5</v>
      </c>
      <c r="C13" s="103"/>
      <c r="D13" s="103"/>
      <c r="E13" s="103"/>
      <c r="F13" s="113"/>
      <c r="G13" s="113"/>
      <c r="H13" s="105"/>
      <c r="I13" s="106"/>
      <c r="J13" s="107">
        <f>IF('Start-Options'!D5="","",MROUND('Start-Options'!F5*0.65,'Start-Options'!B38))</f>
        <v>72.5</v>
      </c>
      <c r="K13" s="103"/>
      <c r="L13" s="104"/>
      <c r="M13" s="105"/>
      <c r="N13" s="106"/>
      <c r="O13" s="106">
        <f>IF('Start-Options'!D5="","",MROUND('Start-Options'!F5*0.75,'Start-Options'!B38))</f>
        <v>82.5</v>
      </c>
      <c r="P13" s="108"/>
      <c r="Q13" s="108"/>
      <c r="R13" s="108"/>
      <c r="S13" s="116"/>
      <c r="T13" s="116"/>
      <c r="U13" s="105"/>
      <c r="V13" s="106"/>
      <c r="W13" s="110">
        <f>IF('Start-Options'!D5="","",MROUND('Start-Options'!F5*0.4,'Start-Options'!B38))</f>
        <v>45</v>
      </c>
      <c r="X13" s="27"/>
      <c r="Y13" s="129" t="str">
        <f>'Start-Options'!B7</f>
        <v>Squat</v>
      </c>
      <c r="Z13" s="129">
        <f>'Start-Options'!F7</f>
        <v>80</v>
      </c>
      <c r="AA13" s="27"/>
      <c r="AB13" s="27"/>
      <c r="AC13" s="27"/>
    </row>
    <row r="14" ht="12.75" customHeight="1">
      <c r="A14" s="111" t="str">
        <f>'Start-Options'!B5</f>
        <v>Deadlift</v>
      </c>
      <c r="B14" s="112">
        <f>IF('Start-Options'!D5="","",MROUND('Start-Options'!F5*0.8,'Start-Options'!B38))</f>
        <v>87.5</v>
      </c>
      <c r="C14" s="112"/>
      <c r="D14" s="112"/>
      <c r="E14" s="112"/>
      <c r="F14" s="113"/>
      <c r="G14" s="113"/>
      <c r="H14" s="105"/>
      <c r="I14" s="114" t="str">
        <f>'Start-Options'!B5</f>
        <v>Deadlift</v>
      </c>
      <c r="J14" s="115">
        <f>IF('Start-Options'!D5="","",MROUND('Start-Options'!F5*0.75,'Start-Options'!B38))</f>
        <v>82.5</v>
      </c>
      <c r="K14" s="112"/>
      <c r="L14" s="113"/>
      <c r="M14" s="105"/>
      <c r="N14" s="114" t="str">
        <f>'Start-Options'!B5</f>
        <v>Deadlift</v>
      </c>
      <c r="O14" s="114">
        <f>IF('Start-Options'!D5="","",MROUND('Start-Options'!F5*0.85,'Start-Options'!B38))</f>
        <v>92.5</v>
      </c>
      <c r="P14" s="105"/>
      <c r="Q14" s="105"/>
      <c r="R14" s="105"/>
      <c r="S14" s="116"/>
      <c r="T14" s="116"/>
      <c r="U14" s="105"/>
      <c r="V14" s="114" t="str">
        <f>'Start-Options'!B5</f>
        <v>Deadlift</v>
      </c>
      <c r="W14" s="117">
        <f>IF('Start-Options'!D5="","",MROUND('Start-Options'!F5*0.5,'Start-Options'!B38))</f>
        <v>55</v>
      </c>
      <c r="X14" s="27"/>
      <c r="Y14" s="27"/>
      <c r="Z14" s="27"/>
      <c r="AA14" s="27"/>
      <c r="AB14" s="27"/>
      <c r="AC14" s="27"/>
    </row>
    <row r="15" ht="12.75" customHeight="1">
      <c r="A15" s="130"/>
      <c r="B15" s="120">
        <f>IF('Start-Options'!D5="","",MROUND('Start-Options'!F5*0.9,'Start-Options'!B38))</f>
        <v>100</v>
      </c>
      <c r="C15" s="120">
        <f>IF('Start-Options'!D5="","",ROUND((37-36*B15/('Start-Options'!F5+'Start-Options'!F33)),0))</f>
        <v>5</v>
      </c>
      <c r="D15" s="120">
        <f>IF('Start-Options'!D5="","",MROUND(B15*36/(37-C15),'Start-Options'!B38))</f>
        <v>112.5</v>
      </c>
      <c r="E15" s="156"/>
      <c r="F15" s="122" t="str">
        <f>IF(E15="","",MROUND(36*B15/(37-E15),'Start-Options'!B38))</f>
        <v/>
      </c>
      <c r="G15" s="122">
        <f>Z11</f>
        <v>110</v>
      </c>
      <c r="H15" s="105"/>
      <c r="I15" s="123"/>
      <c r="J15" s="124">
        <f>IF('Start-Options'!D5="","",MROUND('Start-Options'!F5*0.85,'Start-Options'!B38))</f>
        <v>92.5</v>
      </c>
      <c r="K15" s="156"/>
      <c r="L15" s="122" t="str">
        <f>IF(K15="","",MROUND(36*J15/(37-K15),'Start-Options'!B38))</f>
        <v/>
      </c>
      <c r="M15" s="105"/>
      <c r="N15" s="123"/>
      <c r="O15" s="123">
        <f>IF('Start-Options'!D5="","",MROUND('Start-Options'!F5*0.95,'Start-Options'!B38))</f>
        <v>105</v>
      </c>
      <c r="P15" s="120" t="str">
        <f>IF(L15="","",IF(F15&lt;'Start-Options'!F5,ROUND((37-36*O15/('Start-Options'!F5+'Start-Options'!F33)),0),ROUND((37-36*O15/(F15+'Start-Options'!F33)),0)))</f>
        <v/>
      </c>
      <c r="Q15" s="125" t="str">
        <f>IF(P15="","",MROUND(O15*36/(37-P15),'Start-Options'!B38))</f>
        <v/>
      </c>
      <c r="R15" s="152"/>
      <c r="S15" s="127" t="str">
        <f>IF(R15="","",MROUND(36*O15/(37-R15),'Start-Options'!B38))</f>
        <v/>
      </c>
      <c r="T15" s="127">
        <f>Z11</f>
        <v>110</v>
      </c>
      <c r="U15" s="105"/>
      <c r="V15" s="123"/>
      <c r="W15" s="128">
        <f>IF('Start-Options'!D5="","",MROUND('Start-Options'!F5*0.6,'Start-Options'!B38))</f>
        <v>65</v>
      </c>
      <c r="X15" s="27"/>
      <c r="Y15" s="70" t="s">
        <v>93</v>
      </c>
      <c r="Z15" s="71"/>
      <c r="AA15" s="27"/>
      <c r="AB15" s="27"/>
      <c r="AC15" s="27"/>
    </row>
    <row r="16" ht="12.75" customHeight="1">
      <c r="A16" s="102"/>
      <c r="B16" s="103">
        <f>IF('Start-Options'!D6="","",MROUND('Start-Options'!F6*0.7,'Start-Options'!B38))</f>
        <v>50</v>
      </c>
      <c r="C16" s="103"/>
      <c r="D16" s="103"/>
      <c r="E16" s="103"/>
      <c r="F16" s="104"/>
      <c r="G16" s="113"/>
      <c r="H16" s="105"/>
      <c r="I16" s="106"/>
      <c r="J16" s="107">
        <f>IF('Start-Options'!D6="","",MROUND('Start-Options'!F6*0.65,'Start-Options'!B38))</f>
        <v>45</v>
      </c>
      <c r="K16" s="103"/>
      <c r="L16" s="104"/>
      <c r="M16" s="105"/>
      <c r="N16" s="106"/>
      <c r="O16" s="106">
        <f>IF('Start-Options'!D6="","",MROUND('Start-Options'!F6*0.75,'Start-Options'!B38))</f>
        <v>52.5</v>
      </c>
      <c r="P16" s="108"/>
      <c r="Q16" s="108"/>
      <c r="R16" s="108"/>
      <c r="S16" s="116"/>
      <c r="T16" s="116"/>
      <c r="U16" s="105"/>
      <c r="V16" s="106"/>
      <c r="W16" s="110">
        <f>IF('Start-Options'!D6="","",MROUND('Start-Options'!F6*0.4,'Start-Options'!B38))</f>
        <v>27.5</v>
      </c>
      <c r="X16" s="27"/>
      <c r="Y16" s="25" t="s">
        <v>94</v>
      </c>
      <c r="Z16" s="162"/>
      <c r="AA16" s="27"/>
      <c r="AB16" s="27"/>
      <c r="AC16" s="27"/>
    </row>
    <row r="17" ht="12.75" customHeight="1">
      <c r="A17" s="111" t="str">
        <f>'Start-Options'!B6</f>
        <v>Bench</v>
      </c>
      <c r="B17" s="112">
        <f>IF('Start-Options'!D6="","",MROUND('Start-Options'!F6*0.8,'Start-Options'!B38))</f>
        <v>55</v>
      </c>
      <c r="C17" s="112"/>
      <c r="D17" s="112"/>
      <c r="E17" s="112"/>
      <c r="F17" s="113"/>
      <c r="G17" s="113"/>
      <c r="H17" s="105"/>
      <c r="I17" s="114" t="str">
        <f>'Start-Options'!B6</f>
        <v>Bench</v>
      </c>
      <c r="J17" s="115">
        <f>IF('Start-Options'!D6="","",MROUND('Start-Options'!F6*0.75,'Start-Options'!B38))</f>
        <v>52.5</v>
      </c>
      <c r="K17" s="112"/>
      <c r="L17" s="113"/>
      <c r="M17" s="105"/>
      <c r="N17" s="114" t="str">
        <f>'Start-Options'!B6</f>
        <v>Bench</v>
      </c>
      <c r="O17" s="114">
        <f>IF('Start-Options'!D6="","",MROUND('Start-Options'!F6*0.85,'Start-Options'!B38))</f>
        <v>60</v>
      </c>
      <c r="P17" s="105"/>
      <c r="Q17" s="105"/>
      <c r="R17" s="105"/>
      <c r="S17" s="116"/>
      <c r="T17" s="116"/>
      <c r="U17" s="105"/>
      <c r="V17" s="114" t="str">
        <f>'Start-Options'!B6</f>
        <v>Bench</v>
      </c>
      <c r="W17" s="117">
        <f>IF('Start-Options'!D6="","",MROUND('Start-Options'!F6*0.5,'Start-Options'!B38))</f>
        <v>35</v>
      </c>
      <c r="X17" s="27"/>
      <c r="Y17" s="77" t="s">
        <v>95</v>
      </c>
      <c r="Z17" s="78" t="str">
        <f>IF(Z16="","",MROUND(Z16*0.4,'Start-Options'!$B$38))</f>
        <v/>
      </c>
      <c r="AA17" s="27"/>
      <c r="AB17" s="27"/>
      <c r="AC17" s="27"/>
    </row>
    <row r="18" ht="12.75" customHeight="1">
      <c r="A18" s="119"/>
      <c r="B18" s="120">
        <f>IF('Start-Options'!D6="","",MROUND('Start-Options'!F6*0.9,'Start-Options'!B38))</f>
        <v>62.5</v>
      </c>
      <c r="C18" s="120">
        <f>IF('Start-Options'!D6="","",ROUND((37-36*B18/('Start-Options'!F6+'Start-Options'!F34)),0))</f>
        <v>6</v>
      </c>
      <c r="D18" s="120">
        <f>IF('Start-Options'!D6="","",MROUND(B18*36/(37-C18),'Start-Options'!B38))</f>
        <v>72.5</v>
      </c>
      <c r="E18" s="156"/>
      <c r="F18" s="122" t="str">
        <f>IF(E18="","",MROUND(36*B18/(37-E18),'Start-Options'!B38))</f>
        <v/>
      </c>
      <c r="G18" s="122">
        <f>Z12</f>
        <v>70</v>
      </c>
      <c r="H18" s="105"/>
      <c r="I18" s="123"/>
      <c r="J18" s="124">
        <f>IF('Start-Options'!D6="","",MROUND('Start-Options'!F6*0.85,'Start-Options'!B38))</f>
        <v>60</v>
      </c>
      <c r="K18" s="156"/>
      <c r="L18" s="122" t="str">
        <f>IF(K18="","",MROUND(36*J18/(37-K18),'Start-Options'!B38))</f>
        <v/>
      </c>
      <c r="M18" s="105"/>
      <c r="N18" s="123"/>
      <c r="O18" s="123">
        <f>IF('Start-Options'!D6="","",MROUND('Start-Options'!F6*0.95,'Start-Options'!B38))</f>
        <v>67.5</v>
      </c>
      <c r="P18" s="120" t="str">
        <f>IF(L18="","",IF(F18&lt;'Start-Options'!F6,ROUND((37-36*O18/('Start-Options'!F6+'Start-Options'!F34)),0),ROUND((37-36*O18/(F18+'Start-Options'!F34)),0)))</f>
        <v/>
      </c>
      <c r="Q18" s="125" t="str">
        <f>IF(P18="","",MROUND(O18*36/(37-P18),'Start-Options'!B38))</f>
        <v/>
      </c>
      <c r="R18" s="152"/>
      <c r="S18" s="127" t="str">
        <f>IF(R18="","",MROUND(36*O18/(37-R18),'Start-Options'!B38))</f>
        <v/>
      </c>
      <c r="T18" s="127">
        <f>Z12</f>
        <v>70</v>
      </c>
      <c r="U18" s="105"/>
      <c r="V18" s="123"/>
      <c r="W18" s="128">
        <f>IF('Start-Options'!D6="","",MROUND('Start-Options'!F6*0.6,'Start-Options'!B38))</f>
        <v>42.5</v>
      </c>
      <c r="X18" s="27"/>
      <c r="Y18" s="77" t="s">
        <v>96</v>
      </c>
      <c r="Z18" s="78" t="str">
        <f>IF(Z16="","",MROUND(Z16*0.5,'Start-Options'!$B$38))</f>
        <v/>
      </c>
      <c r="AA18" s="27"/>
      <c r="AB18" s="27"/>
      <c r="AC18" s="27"/>
    </row>
    <row r="19" ht="12.75" customHeight="1">
      <c r="A19" s="111"/>
      <c r="B19" s="103">
        <f>IF('Start-Options'!D7="","",MROUND('Start-Options'!F7*0.7,'Start-Options'!B38))</f>
        <v>55</v>
      </c>
      <c r="C19" s="103"/>
      <c r="D19" s="103"/>
      <c r="E19" s="103"/>
      <c r="F19" s="113"/>
      <c r="G19" s="113"/>
      <c r="H19" s="105"/>
      <c r="I19" s="106"/>
      <c r="J19" s="107">
        <f>IF('Start-Options'!D7="","",MROUND('Start-Options'!F7*0.65,'Start-Options'!B38))</f>
        <v>52.5</v>
      </c>
      <c r="K19" s="103"/>
      <c r="L19" s="104"/>
      <c r="M19" s="105"/>
      <c r="N19" s="106"/>
      <c r="O19" s="106">
        <f>IF('Start-Options'!D7="","",MROUND('Start-Options'!F7*0.75,'Start-Options'!B38))</f>
        <v>60</v>
      </c>
      <c r="P19" s="108"/>
      <c r="Q19" s="108"/>
      <c r="R19" s="108"/>
      <c r="S19" s="116"/>
      <c r="T19" s="116"/>
      <c r="U19" s="105"/>
      <c r="V19" s="106"/>
      <c r="W19" s="110">
        <f>IF('Start-Options'!D7="","",MROUND('Start-Options'!F7*0.4,'Start-Options'!B38))</f>
        <v>32.5</v>
      </c>
      <c r="X19" s="27"/>
      <c r="Y19" s="82" t="s">
        <v>97</v>
      </c>
      <c r="Z19" s="83" t="str">
        <f>IF(Z16="","",MROUND(Z16*0.6,'Start-Options'!$B$38))</f>
        <v/>
      </c>
      <c r="AA19" s="27"/>
      <c r="AB19" s="27"/>
      <c r="AC19" s="27"/>
    </row>
    <row r="20" ht="12.75" customHeight="1">
      <c r="A20" s="111" t="str">
        <f>'Start-Options'!B7</f>
        <v>Squat</v>
      </c>
      <c r="B20" s="112">
        <f>IF('Start-Options'!D7="","",MROUND('Start-Options'!F7*0.8,'Start-Options'!B38))</f>
        <v>65</v>
      </c>
      <c r="C20" s="112"/>
      <c r="D20" s="112"/>
      <c r="E20" s="112"/>
      <c r="F20" s="113"/>
      <c r="G20" s="113"/>
      <c r="H20" s="105"/>
      <c r="I20" s="114" t="str">
        <f>'Start-Options'!B7</f>
        <v>Squat</v>
      </c>
      <c r="J20" s="115">
        <f>IF('Start-Options'!D7="","",MROUND('Start-Options'!F7*0.75,'Start-Options'!B38))</f>
        <v>60</v>
      </c>
      <c r="K20" s="112"/>
      <c r="L20" s="113"/>
      <c r="M20" s="105"/>
      <c r="N20" s="114" t="str">
        <f>'Start-Options'!B7</f>
        <v>Squat</v>
      </c>
      <c r="O20" s="114">
        <f>IF('Start-Options'!D7="","",MROUND('Start-Options'!F7*0.85,'Start-Options'!B38))</f>
        <v>67.5</v>
      </c>
      <c r="P20" s="105"/>
      <c r="Q20" s="105"/>
      <c r="R20" s="105"/>
      <c r="S20" s="116"/>
      <c r="T20" s="116"/>
      <c r="U20" s="105"/>
      <c r="V20" s="114" t="str">
        <f>'Start-Options'!B7</f>
        <v>Squat</v>
      </c>
      <c r="W20" s="117">
        <f>IF('Start-Options'!D7="","",MROUND('Start-Options'!F7*0.5,'Start-Options'!B38))</f>
        <v>40</v>
      </c>
      <c r="X20" s="27"/>
      <c r="Y20" s="27"/>
      <c r="Z20" s="27"/>
      <c r="AA20" s="27"/>
      <c r="AB20" s="27"/>
      <c r="AC20" s="27"/>
    </row>
    <row r="21" ht="13.5" customHeight="1">
      <c r="A21" s="131"/>
      <c r="B21" s="132">
        <f>IF('Start-Options'!D7="","",MROUND('Start-Options'!F7*0.9,'Start-Options'!B38))</f>
        <v>72.5</v>
      </c>
      <c r="C21" s="132">
        <f>IF('Start-Options'!D7="","",ROUND((37-36*B21/('Start-Options'!F7+'Start-Options'!F35)),0))</f>
        <v>5</v>
      </c>
      <c r="D21" s="132">
        <f>IF('Start-Options'!D7="","",MROUND(B21*36/(37-C21),'Start-Options'!B38))</f>
        <v>82.5</v>
      </c>
      <c r="E21" s="157"/>
      <c r="F21" s="134" t="str">
        <f>IF(E21="","",MROUND(36*B21/(37-E21),'Start-Options'!B38))</f>
        <v/>
      </c>
      <c r="G21" s="134">
        <f>Z13</f>
        <v>80</v>
      </c>
      <c r="H21" s="135"/>
      <c r="I21" s="136"/>
      <c r="J21" s="137">
        <f>IF('Start-Options'!D7="","",MROUND('Start-Options'!F7*0.85,'Start-Options'!B38))</f>
        <v>67.5</v>
      </c>
      <c r="K21" s="157"/>
      <c r="L21" s="134" t="str">
        <f>IF(K21="","",MROUND(36*J21/(37-K21),'Start-Options'!B38))</f>
        <v/>
      </c>
      <c r="M21" s="135"/>
      <c r="N21" s="136"/>
      <c r="O21" s="136">
        <f>IF('Start-Options'!D7="","",MROUND('Start-Options'!F7*0.95,'Start-Options'!B38))</f>
        <v>75</v>
      </c>
      <c r="P21" s="132" t="str">
        <f>IF(L21="","",IF(F21&lt;'Start-Options'!F7,ROUND((37-36*O21/('Start-Options'!F7+'Start-Options'!F35)),0),ROUND((37-36*O21/(F21+'Start-Options'!F35)),0)))</f>
        <v/>
      </c>
      <c r="Q21" s="135" t="str">
        <f>IF(P21="","",MROUND(O21*36/(37-P21),'Start-Options'!B38))</f>
        <v/>
      </c>
      <c r="R21" s="161"/>
      <c r="S21" s="139" t="str">
        <f>IF(R21="","",MROUND(36*O21/(37-R21),'Start-Options'!B38))</f>
        <v/>
      </c>
      <c r="T21" s="139">
        <f>Z13</f>
        <v>80</v>
      </c>
      <c r="U21" s="135"/>
      <c r="V21" s="136"/>
      <c r="W21" s="140">
        <f>IF('Start-Options'!D7="","",MROUND('Start-Options'!F7*0.6,'Start-Options'!B38))</f>
        <v>47.5</v>
      </c>
      <c r="X21" s="27"/>
      <c r="Y21" s="27"/>
      <c r="Z21" s="27"/>
      <c r="AA21" s="27"/>
      <c r="AB21" s="27"/>
      <c r="AC21" s="27"/>
    </row>
    <row r="22" ht="12.7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row>
    <row r="23" ht="21.0" customHeight="1">
      <c r="A23" s="27"/>
      <c r="B23" s="27"/>
      <c r="C23" s="27"/>
      <c r="D23" s="27"/>
      <c r="E23" s="27"/>
      <c r="F23" s="27"/>
      <c r="G23" s="27"/>
      <c r="H23" s="27"/>
      <c r="I23" s="27"/>
      <c r="J23" s="27"/>
      <c r="K23" s="27"/>
      <c r="L23" s="86" t="s">
        <v>98</v>
      </c>
      <c r="M23" s="65"/>
      <c r="N23" s="65"/>
      <c r="O23" s="86"/>
      <c r="P23" s="27"/>
      <c r="Q23" s="27"/>
      <c r="R23" s="27"/>
      <c r="S23" s="27"/>
      <c r="T23" s="27"/>
      <c r="U23" s="27"/>
      <c r="V23" s="27"/>
      <c r="W23" s="27"/>
      <c r="X23" s="27"/>
      <c r="Y23" s="27"/>
      <c r="Z23" s="27"/>
      <c r="AA23" s="27"/>
      <c r="AB23" s="27"/>
      <c r="AC23" s="27"/>
    </row>
    <row r="24" ht="15.75" customHeight="1">
      <c r="A24" s="88"/>
      <c r="B24" s="91"/>
      <c r="C24" s="89" t="s">
        <v>319</v>
      </c>
      <c r="D24" s="91"/>
      <c r="E24" s="91"/>
      <c r="F24" s="91"/>
      <c r="G24" s="91"/>
      <c r="H24" s="91"/>
      <c r="I24" s="91"/>
      <c r="J24" s="89" t="s">
        <v>320</v>
      </c>
      <c r="K24" s="60"/>
      <c r="L24" s="91"/>
      <c r="M24" s="91"/>
      <c r="N24" s="91"/>
      <c r="O24" s="91"/>
      <c r="P24" s="89" t="s">
        <v>101</v>
      </c>
      <c r="Q24" s="60"/>
      <c r="R24" s="60"/>
      <c r="S24" s="91"/>
      <c r="T24" s="91"/>
      <c r="U24" s="91"/>
      <c r="V24" s="93" t="s">
        <v>102</v>
      </c>
      <c r="W24" s="94"/>
      <c r="X24" s="27"/>
      <c r="Y24" s="27"/>
      <c r="Z24" s="27"/>
      <c r="AA24" s="27"/>
      <c r="AB24" s="27"/>
      <c r="AC24" s="27"/>
    </row>
    <row r="25" ht="31.5" customHeight="1">
      <c r="A25" s="95"/>
      <c r="B25" s="96" t="s">
        <v>26</v>
      </c>
      <c r="C25" s="97" t="s">
        <v>88</v>
      </c>
      <c r="D25" s="97" t="s">
        <v>89</v>
      </c>
      <c r="E25" s="97" t="s">
        <v>90</v>
      </c>
      <c r="F25" s="96" t="s">
        <v>91</v>
      </c>
      <c r="G25" s="276" t="s">
        <v>317</v>
      </c>
      <c r="H25" s="27"/>
      <c r="I25" s="98"/>
      <c r="J25" s="96" t="s">
        <v>26</v>
      </c>
      <c r="K25" s="97" t="s">
        <v>90</v>
      </c>
      <c r="L25" s="96" t="s">
        <v>91</v>
      </c>
      <c r="M25" s="27"/>
      <c r="N25" s="98"/>
      <c r="O25" s="96" t="s">
        <v>26</v>
      </c>
      <c r="P25" s="97" t="s">
        <v>88</v>
      </c>
      <c r="Q25" s="97" t="s">
        <v>89</v>
      </c>
      <c r="R25" s="97" t="s">
        <v>90</v>
      </c>
      <c r="S25" s="96" t="s">
        <v>91</v>
      </c>
      <c r="T25" s="276" t="s">
        <v>318</v>
      </c>
      <c r="U25" s="27"/>
      <c r="V25" s="99"/>
      <c r="W25" s="100" t="s">
        <v>26</v>
      </c>
      <c r="X25" s="27"/>
      <c r="Y25" s="101" t="s">
        <v>103</v>
      </c>
      <c r="Z25" s="71"/>
      <c r="AA25" s="142" t="s">
        <v>104</v>
      </c>
      <c r="AB25" s="143" t="s">
        <v>105</v>
      </c>
      <c r="AC25" s="27"/>
    </row>
    <row r="26" ht="12.75" customHeight="1">
      <c r="A26" s="102"/>
      <c r="B26" s="107">
        <f>IF(Z26="","",MROUND(Z26*0.7,'Start-Options'!B38))</f>
        <v>37.5</v>
      </c>
      <c r="C26" s="103"/>
      <c r="D26" s="103"/>
      <c r="E26" s="103"/>
      <c r="F26" s="104"/>
      <c r="G26" s="104"/>
      <c r="H26" s="105"/>
      <c r="I26" s="37"/>
      <c r="J26" s="103">
        <f>IF(Z26="","",MROUND(Z26*0.65,'Start-Options'!B38))</f>
        <v>35</v>
      </c>
      <c r="K26" s="103"/>
      <c r="L26" s="104"/>
      <c r="M26" s="105"/>
      <c r="N26" s="106"/>
      <c r="O26" s="106">
        <f>IF(Z26="","",MROUND(Z26*0.75,'Start-Options'!B38))</f>
        <v>40</v>
      </c>
      <c r="P26" s="108"/>
      <c r="Q26" s="108"/>
      <c r="R26" s="108"/>
      <c r="S26" s="109"/>
      <c r="T26" s="109"/>
      <c r="U26" s="105"/>
      <c r="V26" s="106"/>
      <c r="W26" s="110">
        <f>IF(Z26="","",MROUND(Z26*0.4,'Start-Options'!B38))</f>
        <v>20</v>
      </c>
      <c r="X26" s="27"/>
      <c r="Y26" s="37" t="str">
        <f>'Start-Options'!B4</f>
        <v>Military</v>
      </c>
      <c r="Z26" s="106">
        <f>IF('Start-Options'!F4="","",'Start-Options'!F4+'Start-Options'!C32)</f>
        <v>52.5</v>
      </c>
      <c r="AA26" s="36"/>
      <c r="AB26" s="147"/>
      <c r="AC26" s="27"/>
    </row>
    <row r="27" ht="12.75" customHeight="1">
      <c r="A27" s="111" t="str">
        <f>'Start-Options'!B4</f>
        <v>Military</v>
      </c>
      <c r="B27" s="115">
        <f>IF(Z26="","",MROUND(Z26*0.8,'Start-Options'!B38))</f>
        <v>42.5</v>
      </c>
      <c r="C27" s="112"/>
      <c r="D27" s="112"/>
      <c r="E27" s="112"/>
      <c r="F27" s="113"/>
      <c r="G27" s="113"/>
      <c r="H27" s="105"/>
      <c r="I27" s="118" t="str">
        <f>'Start-Options'!B4</f>
        <v>Military</v>
      </c>
      <c r="J27" s="112">
        <f>IF(Z26="","",MROUND(Z26*0.75,'Start-Options'!B38))</f>
        <v>40</v>
      </c>
      <c r="K27" s="112"/>
      <c r="L27" s="113"/>
      <c r="M27" s="105"/>
      <c r="N27" s="114" t="str">
        <f>'Start-Options'!B4</f>
        <v>Military</v>
      </c>
      <c r="O27" s="114">
        <f>IF(Z26="","",MROUND(Z26*0.85,'Start-Options'!B38))</f>
        <v>45</v>
      </c>
      <c r="P27" s="105"/>
      <c r="Q27" s="105"/>
      <c r="R27" s="105"/>
      <c r="S27" s="116"/>
      <c r="T27" s="116"/>
      <c r="U27" s="105"/>
      <c r="V27" s="114" t="str">
        <f>'Start-Options'!B4</f>
        <v>Military</v>
      </c>
      <c r="W27" s="117">
        <f>IF(Z26="","",MROUND(Z26*0.5,'Start-Options'!B38))</f>
        <v>27.5</v>
      </c>
      <c r="X27" s="27"/>
      <c r="Y27" s="118" t="str">
        <f>'Start-Options'!B5</f>
        <v>Deadlift</v>
      </c>
      <c r="Z27" s="114">
        <f>IF('Start-Options'!F5="","",'Start-Options'!F5+'Start-Options'!C33)</f>
        <v>115</v>
      </c>
      <c r="AA27" s="151"/>
      <c r="AB27" s="147"/>
      <c r="AC27" s="27"/>
    </row>
    <row r="28" ht="12.75" customHeight="1">
      <c r="A28" s="119"/>
      <c r="B28" s="124">
        <f>IF(Z26="","",MROUND(Z26*0.9,'Start-Options'!B38))</f>
        <v>47.5</v>
      </c>
      <c r="C28" s="120">
        <f>IF(Z26="","",ROUND((37-36*B28/(Z26+'Start-Options'!F32)),0))</f>
        <v>6</v>
      </c>
      <c r="D28" s="120">
        <f>IF(Z26="","",MROUND(B28*36/(37-C28),'Start-Options'!B38))</f>
        <v>55</v>
      </c>
      <c r="E28" s="156"/>
      <c r="F28" s="122" t="str">
        <f>IF(E28="","",MROUND(36*B28/(37-E28),'Start-Options'!B38))</f>
        <v/>
      </c>
      <c r="G28" s="122">
        <f>Z26</f>
        <v>52.5</v>
      </c>
      <c r="H28" s="105"/>
      <c r="I28" s="129"/>
      <c r="J28" s="120">
        <f>IF(Z26="","",MROUND(Z26*0.85,'Start-Options'!B38))</f>
        <v>45</v>
      </c>
      <c r="K28" s="156"/>
      <c r="L28" s="122" t="str">
        <f>IF(K28="","",MROUND(36*J28/(37-K28),5))</f>
        <v/>
      </c>
      <c r="M28" s="105"/>
      <c r="N28" s="123"/>
      <c r="O28" s="123">
        <f>IF(Z26="","",MROUND(Z26*0.95,'Start-Options'!B38))</f>
        <v>50</v>
      </c>
      <c r="P28" s="120" t="str">
        <f>IF(L28="","",IF(F28&lt;Z26,ROUND((37-36*O28/(Z26+'Start-Options'!F32)),0),ROUND((37-36*O28/(F28+'Start-Options'!F32)),0)))</f>
        <v/>
      </c>
      <c r="Q28" s="125" t="str">
        <f>IF(P28="","",MROUND(O28*36/(37-P28),'Start-Options'!B38))</f>
        <v/>
      </c>
      <c r="R28" s="152"/>
      <c r="S28" s="127" t="str">
        <f>IF(R28="","",MROUND(36*O28/(37-R28),'Start-Options'!B38))</f>
        <v/>
      </c>
      <c r="T28" s="127">
        <f>Z26</f>
        <v>52.5</v>
      </c>
      <c r="U28" s="105"/>
      <c r="V28" s="123"/>
      <c r="W28" s="128">
        <f>IF(Z26="","",MROUND(Z26*0.6,'Start-Options'!B38))</f>
        <v>32.5</v>
      </c>
      <c r="X28" s="27"/>
      <c r="Y28" s="118" t="str">
        <f>'Start-Options'!B6</f>
        <v>Bench</v>
      </c>
      <c r="Z28" s="114">
        <f>IF('Start-Options'!F6="","",'Start-Options'!F6+'Start-Options'!C34)</f>
        <v>72.5</v>
      </c>
      <c r="AA28" s="151"/>
      <c r="AB28" s="147"/>
      <c r="AC28" s="27"/>
    </row>
    <row r="29" ht="12.75" customHeight="1">
      <c r="A29" s="102"/>
      <c r="B29" s="107">
        <f>IF(Z27="","",MROUND(Z27*0.7,'Start-Options'!B38))</f>
        <v>80</v>
      </c>
      <c r="C29" s="103"/>
      <c r="D29" s="103"/>
      <c r="E29" s="103"/>
      <c r="F29" s="104"/>
      <c r="G29" s="113"/>
      <c r="H29" s="105"/>
      <c r="I29" s="37"/>
      <c r="J29" s="103">
        <f>IF(Z27="","",MROUND(Z27*0.65,'Start-Options'!B38))</f>
        <v>75</v>
      </c>
      <c r="K29" s="103"/>
      <c r="L29" s="104"/>
      <c r="M29" s="105"/>
      <c r="N29" s="106"/>
      <c r="O29" s="106">
        <f>IF(Z27="","",MROUND(Z27*0.75,'Start-Options'!B38))</f>
        <v>87.5</v>
      </c>
      <c r="P29" s="108"/>
      <c r="Q29" s="108"/>
      <c r="R29" s="108"/>
      <c r="S29" s="109"/>
      <c r="T29" s="116"/>
      <c r="U29" s="105"/>
      <c r="V29" s="106"/>
      <c r="W29" s="110">
        <f>IF(Z27="","",MROUND(Z27*0.4,'Start-Options'!B38))</f>
        <v>45</v>
      </c>
      <c r="X29" s="27"/>
      <c r="Y29" s="129" t="str">
        <f>'Start-Options'!B7</f>
        <v>Squat</v>
      </c>
      <c r="Z29" s="123">
        <f>IF('Start-Options'!F7="","",'Start-Options'!F7+'Start-Options'!C35)</f>
        <v>85</v>
      </c>
      <c r="AA29" s="154"/>
      <c r="AB29" s="155"/>
      <c r="AC29" s="27"/>
    </row>
    <row r="30" ht="12.75" customHeight="1">
      <c r="A30" s="111" t="str">
        <f>'Start-Options'!B5</f>
        <v>Deadlift</v>
      </c>
      <c r="B30" s="115">
        <f>IF(Z27="","",MROUND(Z27*0.8,'Start-Options'!B38))</f>
        <v>92.5</v>
      </c>
      <c r="C30" s="112"/>
      <c r="D30" s="112"/>
      <c r="E30" s="112"/>
      <c r="F30" s="113"/>
      <c r="G30" s="113"/>
      <c r="H30" s="105"/>
      <c r="I30" s="118" t="str">
        <f>'Start-Options'!B5</f>
        <v>Deadlift</v>
      </c>
      <c r="J30" s="112">
        <f>IF(Z27="","",MROUND(Z27*0.75,'Start-Options'!B38))</f>
        <v>87.5</v>
      </c>
      <c r="K30" s="112"/>
      <c r="L30" s="113"/>
      <c r="M30" s="105"/>
      <c r="N30" s="114" t="str">
        <f>'Start-Options'!B5</f>
        <v>Deadlift</v>
      </c>
      <c r="O30" s="114">
        <f>IF(Z27="","",MROUND(Z27*0.85,'Start-Options'!B38))</f>
        <v>97.5</v>
      </c>
      <c r="P30" s="105"/>
      <c r="Q30" s="105"/>
      <c r="R30" s="105"/>
      <c r="S30" s="116"/>
      <c r="T30" s="116"/>
      <c r="U30" s="105"/>
      <c r="V30" s="114" t="str">
        <f>'Start-Options'!B5</f>
        <v>Deadlift</v>
      </c>
      <c r="W30" s="117">
        <f>IF(Z27="","",MROUND(Z27*0.5,'Start-Options'!B38))</f>
        <v>57.5</v>
      </c>
      <c r="X30" s="27"/>
      <c r="Y30" s="27"/>
      <c r="Z30" s="27"/>
      <c r="AA30" s="27"/>
      <c r="AB30" s="27"/>
      <c r="AC30" s="27"/>
    </row>
    <row r="31" ht="12.75" customHeight="1">
      <c r="A31" s="130"/>
      <c r="B31" s="124">
        <f>IF(Z27="","",MROUND(Z27*0.9,'Start-Options'!B38))</f>
        <v>102.5</v>
      </c>
      <c r="C31" s="120">
        <f>IF(Z27="","",ROUND((37-36*B31/(Z27+'Start-Options'!F33)),0))</f>
        <v>6</v>
      </c>
      <c r="D31" s="120">
        <f>IF(Z27="","",MROUND(B31*36/(37-C31),'Start-Options'!B38))</f>
        <v>120</v>
      </c>
      <c r="E31" s="156"/>
      <c r="F31" s="122" t="str">
        <f>IF(E31="","",MROUND(36*B31/(37-E31),'Start-Options'!B38))</f>
        <v/>
      </c>
      <c r="G31" s="122">
        <f>Z27</f>
        <v>115</v>
      </c>
      <c r="H31" s="105"/>
      <c r="I31" s="129"/>
      <c r="J31" s="120">
        <f>IF(Z27="","",MROUND(Z27*0.85,'Start-Options'!B38))</f>
        <v>97.5</v>
      </c>
      <c r="K31" s="156"/>
      <c r="L31" s="122" t="str">
        <f>IF(K31="","",MROUND(36*J31/(37-K31),5))</f>
        <v/>
      </c>
      <c r="M31" s="105"/>
      <c r="N31" s="123"/>
      <c r="O31" s="123">
        <f>IF(Z27="","",MROUND(Z27*0.95,'Start-Options'!B38))</f>
        <v>110</v>
      </c>
      <c r="P31" s="120" t="str">
        <f>IF(L31="","",IF(F31&lt;Z27,ROUND((37-36*O31/(Z27+'Start-Options'!F33)),0),ROUND((37-36*O31/(F31+'Start-Options'!F33)),0)))</f>
        <v/>
      </c>
      <c r="Q31" s="125" t="str">
        <f>IF(P31="","",MROUND(O31*36/(37-P31),'Start-Options'!B38))</f>
        <v/>
      </c>
      <c r="R31" s="152"/>
      <c r="S31" s="127" t="str">
        <f>IF(R31="","",MROUND(36*O31/(37-R31),'Start-Options'!B38))</f>
        <v/>
      </c>
      <c r="T31" s="127">
        <f>Z27</f>
        <v>115</v>
      </c>
      <c r="U31" s="105"/>
      <c r="V31" s="123"/>
      <c r="W31" s="128">
        <f>IF(Z27="","",MROUND(Z27*0.6,'Start-Options'!B38))</f>
        <v>70</v>
      </c>
      <c r="X31" s="27"/>
      <c r="Y31" s="70" t="s">
        <v>93</v>
      </c>
      <c r="Z31" s="71"/>
      <c r="AA31" s="27"/>
      <c r="AB31" s="27"/>
      <c r="AC31" s="27"/>
    </row>
    <row r="32" ht="12.75" customHeight="1">
      <c r="A32" s="102"/>
      <c r="B32" s="107">
        <f>IF(Z28="","",MROUND(Z28*0.7,'Start-Options'!B38))</f>
        <v>50</v>
      </c>
      <c r="C32" s="103"/>
      <c r="D32" s="103"/>
      <c r="E32" s="103"/>
      <c r="F32" s="104"/>
      <c r="G32" s="113"/>
      <c r="H32" s="105"/>
      <c r="I32" s="37"/>
      <c r="J32" s="103">
        <f>IF(Z28="","",MROUND(Z28*0.65,'Start-Options'!B38))</f>
        <v>47.5</v>
      </c>
      <c r="K32" s="103"/>
      <c r="L32" s="104"/>
      <c r="M32" s="105"/>
      <c r="N32" s="106"/>
      <c r="O32" s="106">
        <f>IF(Z28="","",MROUND(Z28*0.75,'Start-Options'!B38))</f>
        <v>55</v>
      </c>
      <c r="P32" s="108"/>
      <c r="Q32" s="108"/>
      <c r="R32" s="108"/>
      <c r="S32" s="109"/>
      <c r="T32" s="116"/>
      <c r="U32" s="105"/>
      <c r="V32" s="106"/>
      <c r="W32" s="110">
        <f>IF(Z28="","",MROUND(Z28*0.4,'Start-Options'!B38))</f>
        <v>30</v>
      </c>
      <c r="X32" s="27"/>
      <c r="Y32" s="25" t="s">
        <v>94</v>
      </c>
      <c r="Z32" s="162"/>
      <c r="AA32" s="27"/>
      <c r="AB32" s="27"/>
      <c r="AC32" s="27"/>
    </row>
    <row r="33" ht="12.75" customHeight="1">
      <c r="A33" s="111" t="str">
        <f>'Start-Options'!B6</f>
        <v>Bench</v>
      </c>
      <c r="B33" s="115">
        <f>IF(Z28="","",MROUND(Z28*0.8,'Start-Options'!B38))</f>
        <v>57.5</v>
      </c>
      <c r="C33" s="112"/>
      <c r="D33" s="112"/>
      <c r="E33" s="112"/>
      <c r="F33" s="113"/>
      <c r="G33" s="113"/>
      <c r="H33" s="105"/>
      <c r="I33" s="118" t="str">
        <f>'Start-Options'!B6</f>
        <v>Bench</v>
      </c>
      <c r="J33" s="112">
        <f>IF(Z28="","",MROUND(Z28*0.75,'Start-Options'!B38))</f>
        <v>55</v>
      </c>
      <c r="K33" s="112"/>
      <c r="L33" s="113"/>
      <c r="M33" s="105"/>
      <c r="N33" s="114" t="str">
        <f>'Start-Options'!B6</f>
        <v>Bench</v>
      </c>
      <c r="O33" s="114">
        <f>IF(Z28="","",MROUND(Z28*0.85,'Start-Options'!B38))</f>
        <v>62.5</v>
      </c>
      <c r="P33" s="105"/>
      <c r="Q33" s="105"/>
      <c r="R33" s="105"/>
      <c r="S33" s="116"/>
      <c r="T33" s="116"/>
      <c r="U33" s="105"/>
      <c r="V33" s="114" t="s">
        <v>32</v>
      </c>
      <c r="W33" s="117">
        <f>IF(Z28="","",MROUND(Z28*0.5,'Start-Options'!B38))</f>
        <v>37.5</v>
      </c>
      <c r="X33" s="27"/>
      <c r="Y33" s="77" t="s">
        <v>95</v>
      </c>
      <c r="Z33" s="78" t="str">
        <f>IF(Z32="","",MROUND(Z32*0.4,'Start-Options'!$B$38))</f>
        <v/>
      </c>
      <c r="AA33" s="27"/>
      <c r="AB33" s="27"/>
      <c r="AC33" s="27"/>
    </row>
    <row r="34" ht="12.75" customHeight="1">
      <c r="A34" s="119"/>
      <c r="B34" s="124">
        <f>IF(Z28="","",MROUND(Z28*0.9,'Start-Options'!B38))</f>
        <v>65</v>
      </c>
      <c r="C34" s="120">
        <f>IF(Z28="","",ROUND((37-36*B34/(Z28+'Start-Options'!F34)),0))</f>
        <v>6</v>
      </c>
      <c r="D34" s="120">
        <f>IF(Z28="","",MROUND(B34*36/(37-C34),'Start-Options'!B38))</f>
        <v>75</v>
      </c>
      <c r="E34" s="156"/>
      <c r="F34" s="122" t="str">
        <f>IF(E34="","",MROUND(36*B34/(37-E34),'Start-Options'!B38))</f>
        <v/>
      </c>
      <c r="G34" s="122">
        <f>Z28</f>
        <v>72.5</v>
      </c>
      <c r="H34" s="105"/>
      <c r="I34" s="129"/>
      <c r="J34" s="120">
        <f>IF(Z28="","",MROUND(Z28*0.85,'Start-Options'!B38))</f>
        <v>62.5</v>
      </c>
      <c r="K34" s="156"/>
      <c r="L34" s="122" t="str">
        <f>IF(K34="","",MROUND(36*J34/(37-K34),5))</f>
        <v/>
      </c>
      <c r="M34" s="105"/>
      <c r="N34" s="123"/>
      <c r="O34" s="123">
        <f>IF(Z28="","",MROUND(Z28*0.95,'Start-Options'!B38))</f>
        <v>70</v>
      </c>
      <c r="P34" s="120" t="str">
        <f>IF(L34="","",IF(F34&lt;Z28,ROUND((37-36*O34/(Z28+'Start-Options'!F34)),0),ROUND((37-36*O34/(F34+'Start-Options'!F34)),0)))</f>
        <v/>
      </c>
      <c r="Q34" s="125" t="str">
        <f>IF(P34="","",MROUND(O34*36/(37-P34),'Start-Options'!B38))</f>
        <v/>
      </c>
      <c r="R34" s="152"/>
      <c r="S34" s="127" t="str">
        <f>IF(R34="","",MROUND(36*O34/(37-R34),'Start-Options'!B38))</f>
        <v/>
      </c>
      <c r="T34" s="127">
        <f>Z28</f>
        <v>72.5</v>
      </c>
      <c r="U34" s="105"/>
      <c r="V34" s="123"/>
      <c r="W34" s="128">
        <f>IF(Z28="","",MROUND(Z28*0.6,'Start-Options'!B38))</f>
        <v>42.5</v>
      </c>
      <c r="X34" s="27"/>
      <c r="Y34" s="77" t="s">
        <v>96</v>
      </c>
      <c r="Z34" s="78" t="str">
        <f>IF(Z32="","",MROUND(Z32*0.5,'Start-Options'!$B$38))</f>
        <v/>
      </c>
      <c r="AA34" s="27"/>
      <c r="AB34" s="27"/>
      <c r="AC34" s="27"/>
    </row>
    <row r="35" ht="12.75" customHeight="1">
      <c r="A35" s="111"/>
      <c r="B35" s="107">
        <f>IF(Z29="","",MROUND(Z29*0.7,'Start-Options'!B38))</f>
        <v>60</v>
      </c>
      <c r="C35" s="103"/>
      <c r="D35" s="103"/>
      <c r="E35" s="103"/>
      <c r="F35" s="104"/>
      <c r="G35" s="113"/>
      <c r="H35" s="105"/>
      <c r="I35" s="37"/>
      <c r="J35" s="103">
        <f>IF(Z29="","",MROUND(Z29*0.65,'Start-Options'!B38))</f>
        <v>55</v>
      </c>
      <c r="K35" s="103"/>
      <c r="L35" s="104"/>
      <c r="M35" s="105"/>
      <c r="N35" s="106"/>
      <c r="O35" s="106">
        <f>IF(Z29="","",MROUND(Z29*0.75,'Start-Options'!B38))</f>
        <v>65</v>
      </c>
      <c r="P35" s="108"/>
      <c r="Q35" s="108"/>
      <c r="R35" s="108"/>
      <c r="S35" s="109"/>
      <c r="T35" s="116"/>
      <c r="U35" s="105"/>
      <c r="V35" s="106"/>
      <c r="W35" s="110">
        <f>IF(Z29="","",MROUND(Z29*0.4,'Start-Options'!B38))</f>
        <v>35</v>
      </c>
      <c r="X35" s="27"/>
      <c r="Y35" s="82" t="s">
        <v>97</v>
      </c>
      <c r="Z35" s="83" t="str">
        <f>IF(Z32="","",MROUND(Z32*0.6,'Start-Options'!$B$38))</f>
        <v/>
      </c>
      <c r="AA35" s="27"/>
      <c r="AB35" s="27"/>
      <c r="AC35" s="27"/>
    </row>
    <row r="36" ht="12.75" customHeight="1">
      <c r="A36" s="111" t="str">
        <f>'Start-Options'!B7</f>
        <v>Squat</v>
      </c>
      <c r="B36" s="115">
        <f>IF(Z29="","",MROUND(Z29*0.8,'Start-Options'!B38))</f>
        <v>67.5</v>
      </c>
      <c r="C36" s="112"/>
      <c r="D36" s="112"/>
      <c r="E36" s="112"/>
      <c r="F36" s="113"/>
      <c r="G36" s="113"/>
      <c r="H36" s="105"/>
      <c r="I36" s="118" t="str">
        <f>'Start-Options'!B7</f>
        <v>Squat</v>
      </c>
      <c r="J36" s="112">
        <f>IF(Z29="","",MROUND(Z29*0.75,'Start-Options'!B38))</f>
        <v>65</v>
      </c>
      <c r="K36" s="112"/>
      <c r="L36" s="113"/>
      <c r="M36" s="105"/>
      <c r="N36" s="114" t="str">
        <f>'Start-Options'!B7</f>
        <v>Squat</v>
      </c>
      <c r="O36" s="114">
        <f>IF(Z29="","",MROUND(Z29*0.85,'Start-Options'!B38))</f>
        <v>72.5</v>
      </c>
      <c r="P36" s="105"/>
      <c r="Q36" s="105"/>
      <c r="R36" s="105"/>
      <c r="S36" s="116"/>
      <c r="T36" s="116"/>
      <c r="U36" s="105"/>
      <c r="V36" s="114" t="str">
        <f>'Start-Options'!B7</f>
        <v>Squat</v>
      </c>
      <c r="W36" s="117">
        <f>IF(Z29="","",MROUND(Z29*0.5,'Start-Options'!B38))</f>
        <v>42.5</v>
      </c>
      <c r="X36" s="27"/>
      <c r="Y36" s="27"/>
      <c r="Z36" s="27"/>
      <c r="AA36" s="27"/>
      <c r="AB36" s="27"/>
      <c r="AC36" s="27"/>
    </row>
    <row r="37" ht="13.5" customHeight="1">
      <c r="A37" s="131"/>
      <c r="B37" s="137">
        <f>IF(Z29="","",MROUND(Z29*0.9,'Start-Options'!B38))</f>
        <v>77.5</v>
      </c>
      <c r="C37" s="132">
        <f>IF(Z29="","",ROUND((37-36*B37/(Z29+'Start-Options'!F35)),0))</f>
        <v>5</v>
      </c>
      <c r="D37" s="132">
        <f>IF(Z29="","",MROUND(B37*36/(37-C37),'Start-Options'!B38))</f>
        <v>87.5</v>
      </c>
      <c r="E37" s="157"/>
      <c r="F37" s="134" t="str">
        <f>IF(E37="","",MROUND(36*B37/(37-E37),'Start-Options'!B38))</f>
        <v/>
      </c>
      <c r="G37" s="134">
        <f>Z29</f>
        <v>85</v>
      </c>
      <c r="H37" s="135"/>
      <c r="I37" s="277"/>
      <c r="J37" s="132">
        <f>IF(Z29="","",MROUND(Z29*0.85,'Start-Options'!B38))</f>
        <v>72.5</v>
      </c>
      <c r="K37" s="157"/>
      <c r="L37" s="134" t="str">
        <f>IF(K37="","",MROUND(36*J37/(37-K37),5))</f>
        <v/>
      </c>
      <c r="M37" s="135"/>
      <c r="N37" s="136"/>
      <c r="O37" s="136">
        <f>IF(Z29="","",MROUND(Z29*0.95,'Start-Options'!B38))</f>
        <v>80</v>
      </c>
      <c r="P37" s="132" t="str">
        <f>IF(L37="","",IF(F37&lt;Z29,ROUND((37-36*O37/(Z29+'Start-Options'!F35)),0),ROUND((37-36*O37/(F37+'Start-Options'!F35)),0)))</f>
        <v/>
      </c>
      <c r="Q37" s="135" t="str">
        <f>IF(P37="","",MROUND(O37*36/(37-P37),'Start-Options'!B38))</f>
        <v/>
      </c>
      <c r="R37" s="161"/>
      <c r="S37" s="139" t="str">
        <f>IF(R37="","",MROUND(36*O37/(37-R37),'Start-Options'!B38))</f>
        <v/>
      </c>
      <c r="T37" s="139">
        <f>Z29</f>
        <v>85</v>
      </c>
      <c r="U37" s="135"/>
      <c r="V37" s="136"/>
      <c r="W37" s="140">
        <f>IF(Z29="","",MROUND(Z29*0.6,'Start-Options'!B38))</f>
        <v>50</v>
      </c>
      <c r="X37" s="27"/>
      <c r="Y37" s="27"/>
      <c r="Z37" s="27"/>
      <c r="AA37" s="27"/>
      <c r="AB37" s="27"/>
      <c r="AC37" s="27"/>
    </row>
    <row r="38" ht="12.75" customHeight="1">
      <c r="A38" s="27"/>
      <c r="B38" s="27"/>
      <c r="C38" s="91"/>
      <c r="D38" s="91"/>
      <c r="E38" s="27"/>
      <c r="F38" s="27"/>
      <c r="G38" s="27"/>
      <c r="H38" s="27"/>
      <c r="I38" s="27"/>
      <c r="J38" s="27"/>
      <c r="K38" s="27"/>
      <c r="L38" s="27"/>
      <c r="M38" s="27"/>
      <c r="N38" s="27"/>
      <c r="O38" s="27"/>
      <c r="P38" s="27"/>
      <c r="Q38" s="27"/>
      <c r="R38" s="27"/>
      <c r="S38" s="27"/>
      <c r="T38" s="27"/>
      <c r="U38" s="27"/>
      <c r="V38" s="27"/>
      <c r="W38" s="27"/>
      <c r="X38" s="27"/>
      <c r="Y38" s="27"/>
      <c r="Z38" s="27"/>
      <c r="AA38" s="27"/>
      <c r="AB38" s="27"/>
      <c r="AC38" s="27"/>
    </row>
    <row r="39" ht="21.0" customHeight="1">
      <c r="A39" s="27"/>
      <c r="B39" s="27"/>
      <c r="C39" s="158"/>
      <c r="D39" s="158"/>
      <c r="E39" s="27"/>
      <c r="F39" s="27"/>
      <c r="G39" s="27"/>
      <c r="H39" s="27"/>
      <c r="I39" s="27"/>
      <c r="J39" s="27"/>
      <c r="K39" s="27"/>
      <c r="L39" s="86" t="s">
        <v>106</v>
      </c>
      <c r="M39" s="65"/>
      <c r="N39" s="65"/>
      <c r="O39" s="86"/>
      <c r="P39" s="27"/>
      <c r="Q39" s="27"/>
      <c r="R39" s="27"/>
      <c r="S39" s="27"/>
      <c r="T39" s="27"/>
      <c r="U39" s="27"/>
      <c r="V39" s="27"/>
      <c r="W39" s="27"/>
      <c r="X39" s="27"/>
      <c r="Y39" s="27"/>
      <c r="Z39" s="27"/>
      <c r="AA39" s="27"/>
      <c r="AB39" s="27"/>
      <c r="AC39" s="27"/>
    </row>
    <row r="40" ht="15.75" customHeight="1">
      <c r="A40" s="88"/>
      <c r="B40" s="91"/>
      <c r="C40" s="89" t="s">
        <v>321</v>
      </c>
      <c r="D40" s="91"/>
      <c r="E40" s="91"/>
      <c r="F40" s="91"/>
      <c r="G40" s="91"/>
      <c r="H40" s="91"/>
      <c r="I40" s="91"/>
      <c r="J40" s="89" t="s">
        <v>322</v>
      </c>
      <c r="K40" s="60"/>
      <c r="L40" s="91"/>
      <c r="M40" s="91"/>
      <c r="N40" s="91"/>
      <c r="O40" s="91"/>
      <c r="P40" s="89" t="s">
        <v>109</v>
      </c>
      <c r="Q40" s="60"/>
      <c r="R40" s="60"/>
      <c r="S40" s="91"/>
      <c r="T40" s="91"/>
      <c r="U40" s="91"/>
      <c r="V40" s="93" t="s">
        <v>110</v>
      </c>
      <c r="W40" s="94"/>
      <c r="X40" s="27"/>
      <c r="Y40" s="27"/>
      <c r="Z40" s="27"/>
      <c r="AA40" s="27"/>
      <c r="AB40" s="27"/>
      <c r="AC40" s="27"/>
    </row>
    <row r="41" ht="28.5" customHeight="1">
      <c r="A41" s="95"/>
      <c r="B41" s="96" t="s">
        <v>26</v>
      </c>
      <c r="C41" s="97" t="s">
        <v>88</v>
      </c>
      <c r="D41" s="97" t="s">
        <v>89</v>
      </c>
      <c r="E41" s="97" t="s">
        <v>90</v>
      </c>
      <c r="F41" s="96" t="s">
        <v>91</v>
      </c>
      <c r="G41" s="276" t="s">
        <v>317</v>
      </c>
      <c r="H41" s="27"/>
      <c r="I41" s="98"/>
      <c r="J41" s="96" t="s">
        <v>26</v>
      </c>
      <c r="K41" s="97" t="s">
        <v>90</v>
      </c>
      <c r="L41" s="96" t="s">
        <v>91</v>
      </c>
      <c r="M41" s="27"/>
      <c r="N41" s="98"/>
      <c r="O41" s="96" t="s">
        <v>26</v>
      </c>
      <c r="P41" s="97" t="s">
        <v>88</v>
      </c>
      <c r="Q41" s="97" t="s">
        <v>89</v>
      </c>
      <c r="R41" s="97" t="s">
        <v>90</v>
      </c>
      <c r="S41" s="96" t="s">
        <v>91</v>
      </c>
      <c r="T41" s="276" t="s">
        <v>318</v>
      </c>
      <c r="U41" s="27"/>
      <c r="V41" s="99"/>
      <c r="W41" s="159" t="s">
        <v>26</v>
      </c>
      <c r="X41" s="27"/>
      <c r="Y41" s="101" t="s">
        <v>111</v>
      </c>
      <c r="Z41" s="71"/>
      <c r="AA41" s="142" t="s">
        <v>104</v>
      </c>
      <c r="AB41" s="143" t="s">
        <v>105</v>
      </c>
      <c r="AC41" s="27"/>
    </row>
    <row r="42" ht="12.75" customHeight="1">
      <c r="A42" s="102"/>
      <c r="B42" s="107">
        <f>IF(Z42="","",MROUND(Z42*0.7,'Start-Options'!B38))</f>
        <v>37.5</v>
      </c>
      <c r="C42" s="103"/>
      <c r="D42" s="103"/>
      <c r="E42" s="103"/>
      <c r="F42" s="104"/>
      <c r="G42" s="278"/>
      <c r="H42" s="105"/>
      <c r="I42" s="37"/>
      <c r="J42" s="103">
        <f>IF(Z42="","",MROUND(Z42*0.65,'Start-Options'!B38))</f>
        <v>35</v>
      </c>
      <c r="K42" s="103"/>
      <c r="L42" s="104"/>
      <c r="M42" s="105"/>
      <c r="N42" s="106"/>
      <c r="O42" s="106">
        <f>IF(Z42="","",MROUND(Z42*0.75,'Start-Options'!B38))</f>
        <v>42.5</v>
      </c>
      <c r="P42" s="108"/>
      <c r="Q42" s="108"/>
      <c r="R42" s="108"/>
      <c r="S42" s="109"/>
      <c r="T42" s="37"/>
      <c r="U42" s="105"/>
      <c r="V42" s="106"/>
      <c r="W42" s="110">
        <f>IF(Z42="","",MROUND(Z42*0.4,'Start-Options'!B38))</f>
        <v>22.5</v>
      </c>
      <c r="X42" s="27"/>
      <c r="Y42" s="37" t="str">
        <f>'Start-Options'!B4</f>
        <v>Military</v>
      </c>
      <c r="Z42" s="106">
        <f>IF(Z26="","",IF(ISTEXT(AA26),Z26-AB26,Z26+'Start-Options'!C32))</f>
        <v>55</v>
      </c>
      <c r="AA42" s="36"/>
      <c r="AB42" s="147"/>
      <c r="AC42" s="27"/>
    </row>
    <row r="43" ht="12.75" customHeight="1">
      <c r="A43" s="111" t="str">
        <f>'Start-Options'!B4</f>
        <v>Military</v>
      </c>
      <c r="B43" s="115">
        <f>IF(Z42="","",MROUND(Z42*0.8,'Start-Options'!B38))</f>
        <v>45</v>
      </c>
      <c r="C43" s="112"/>
      <c r="D43" s="112"/>
      <c r="E43" s="112"/>
      <c r="F43" s="113"/>
      <c r="G43" s="279"/>
      <c r="H43" s="105"/>
      <c r="I43" s="118" t="str">
        <f>'Start-Options'!B4</f>
        <v>Military</v>
      </c>
      <c r="J43" s="112">
        <f>IF(Z42="","",MROUND(Z42*0.75,'Start-Options'!B38))</f>
        <v>42.5</v>
      </c>
      <c r="K43" s="112"/>
      <c r="L43" s="113"/>
      <c r="M43" s="105"/>
      <c r="N43" s="114" t="str">
        <f>'Start-Options'!B4</f>
        <v>Military</v>
      </c>
      <c r="O43" s="114">
        <f>IF(Z42="","",MROUND(Z42*0.85,'Start-Options'!B38))</f>
        <v>47.5</v>
      </c>
      <c r="P43" s="105"/>
      <c r="Q43" s="105"/>
      <c r="R43" s="105"/>
      <c r="S43" s="116"/>
      <c r="T43" s="118"/>
      <c r="U43" s="105"/>
      <c r="V43" s="114" t="str">
        <f>'Start-Options'!B4</f>
        <v>Military</v>
      </c>
      <c r="W43" s="117">
        <f>IF(Z42="","",MROUND(Z42*0.5,'Start-Options'!B38))</f>
        <v>27.5</v>
      </c>
      <c r="X43" s="27"/>
      <c r="Y43" s="118" t="str">
        <f>'Start-Options'!B5</f>
        <v>Deadlift</v>
      </c>
      <c r="Z43" s="114">
        <f>IF(Z27="","",IF(ISTEXT(AA27),Z27-AB27,Z27+'Start-Options'!C33))</f>
        <v>120</v>
      </c>
      <c r="AA43" s="151"/>
      <c r="AB43" s="147"/>
      <c r="AC43" s="27"/>
    </row>
    <row r="44" ht="12.75" customHeight="1">
      <c r="A44" s="119"/>
      <c r="B44" s="124">
        <f>IF(Z42="","",MROUND(Z42*0.9,'Start-Options'!B38))</f>
        <v>50</v>
      </c>
      <c r="C44" s="120">
        <f>IF(Z42="","",ROUND((37-36*B44/(Z42+'Start-Options'!F32)),0))</f>
        <v>6</v>
      </c>
      <c r="D44" s="120">
        <f>IF(Z42="","",MROUND(B44*36/(37-C44),'Start-Options'!B38))</f>
        <v>57.5</v>
      </c>
      <c r="E44" s="156"/>
      <c r="F44" s="122" t="str">
        <f>IF(E44="","",MROUND(36*B44/(37-E44),'Start-Options'!B38))</f>
        <v/>
      </c>
      <c r="G44" s="280">
        <f>Z42</f>
        <v>55</v>
      </c>
      <c r="H44" s="105"/>
      <c r="I44" s="129"/>
      <c r="J44" s="120">
        <f>IF(Z42="","",MROUND(Z42*0.85,'Start-Options'!B38))</f>
        <v>47.5</v>
      </c>
      <c r="K44" s="156"/>
      <c r="L44" s="122" t="str">
        <f>IF(K44="","",MROUND(36*J44/(37-K44),'Start-Options'!B38))</f>
        <v/>
      </c>
      <c r="M44" s="105"/>
      <c r="N44" s="123"/>
      <c r="O44" s="123">
        <f>IF(Z42="","",MROUND(Z42*0.95,'Start-Options'!B38))</f>
        <v>52.5</v>
      </c>
      <c r="P44" s="120" t="str">
        <f>IF(L44="","",IF(F44&lt;Z42,ROUND((37-36*O44/(Z42+'Start-Options'!F32)),0),ROUND((37-36*O44/(F44+'Start-Options'!F32)),0)))</f>
        <v/>
      </c>
      <c r="Q44" s="125" t="str">
        <f>IF(P44="","",MROUND(O44*36/(37-P44),'Start-Options'!B38))</f>
        <v/>
      </c>
      <c r="R44" s="152"/>
      <c r="S44" s="127" t="str">
        <f>IF(R44="","",MROUND(36*O44/(37-R44),'Start-Options'!B38))</f>
        <v/>
      </c>
      <c r="T44" s="129">
        <f>Z42</f>
        <v>55</v>
      </c>
      <c r="U44" s="105"/>
      <c r="V44" s="123"/>
      <c r="W44" s="128">
        <f>IF(Z42="","",MROUND(Z42*0.6,'Start-Options'!B38))</f>
        <v>32.5</v>
      </c>
      <c r="X44" s="27"/>
      <c r="Y44" s="118" t="str">
        <f>'Start-Options'!B6</f>
        <v>Bench</v>
      </c>
      <c r="Z44" s="114">
        <f>IF(Z28="","",IF(ISTEXT(AA28),Z28-AB28,Z28+'Start-Options'!C34))</f>
        <v>75</v>
      </c>
      <c r="AA44" s="151"/>
      <c r="AB44" s="147"/>
      <c r="AC44" s="27"/>
    </row>
    <row r="45" ht="12.75" customHeight="1">
      <c r="A45" s="102"/>
      <c r="B45" s="107">
        <f>IF(Z43="","",MROUND(Z43*0.7,'Start-Options'!B38))</f>
        <v>85</v>
      </c>
      <c r="C45" s="103"/>
      <c r="D45" s="103"/>
      <c r="E45" s="103"/>
      <c r="F45" s="104"/>
      <c r="G45" s="279"/>
      <c r="H45" s="105"/>
      <c r="I45" s="37"/>
      <c r="J45" s="103">
        <f>IF(Z43="","",MROUND(Z43*0.65,'Start-Options'!B38))</f>
        <v>77.5</v>
      </c>
      <c r="K45" s="103"/>
      <c r="L45" s="104"/>
      <c r="M45" s="105"/>
      <c r="N45" s="106"/>
      <c r="O45" s="106">
        <f>IF(Z43="","",MROUND(Z43*0.75,'Start-Options'!B38))</f>
        <v>90</v>
      </c>
      <c r="P45" s="108"/>
      <c r="Q45" s="108"/>
      <c r="R45" s="108"/>
      <c r="S45" s="109"/>
      <c r="T45" s="118"/>
      <c r="U45" s="105"/>
      <c r="V45" s="106"/>
      <c r="W45" s="110">
        <f>IF(Z43="","",MROUND(Z43*0.4,'Start-Options'!B38))</f>
        <v>47.5</v>
      </c>
      <c r="X45" s="27"/>
      <c r="Y45" s="129" t="str">
        <f>'Start-Options'!B7</f>
        <v>Squat</v>
      </c>
      <c r="Z45" s="123">
        <f>IF(Z29="","",IF(ISTEXT(AA29),Z29-AB29,Z29+'Start-Options'!C35))</f>
        <v>90</v>
      </c>
      <c r="AA45" s="154"/>
      <c r="AB45" s="155"/>
      <c r="AC45" s="27"/>
    </row>
    <row r="46" ht="12.75" customHeight="1">
      <c r="A46" s="111" t="str">
        <f>'Start-Options'!B5</f>
        <v>Deadlift</v>
      </c>
      <c r="B46" s="115">
        <f>IF(Z43="","",MROUND(Z43*0.8,'Start-Options'!B38))</f>
        <v>95</v>
      </c>
      <c r="C46" s="112"/>
      <c r="D46" s="112"/>
      <c r="E46" s="112"/>
      <c r="F46" s="113"/>
      <c r="G46" s="279"/>
      <c r="H46" s="105"/>
      <c r="I46" s="118" t="str">
        <f>'Start-Options'!B5</f>
        <v>Deadlift</v>
      </c>
      <c r="J46" s="112">
        <f>IF(Z43="","",MROUND(Z43*0.75,'Start-Options'!B38))</f>
        <v>90</v>
      </c>
      <c r="K46" s="112"/>
      <c r="L46" s="113"/>
      <c r="M46" s="105"/>
      <c r="N46" s="114" t="str">
        <f>'Start-Options'!B5</f>
        <v>Deadlift</v>
      </c>
      <c r="O46" s="114">
        <f>IF(Z43="","",MROUND(Z43*0.85,'Start-Options'!B38))</f>
        <v>102.5</v>
      </c>
      <c r="P46" s="105"/>
      <c r="Q46" s="105"/>
      <c r="R46" s="105"/>
      <c r="S46" s="116"/>
      <c r="T46" s="118"/>
      <c r="U46" s="105"/>
      <c r="V46" s="114" t="str">
        <f>'Start-Options'!B5</f>
        <v>Deadlift</v>
      </c>
      <c r="W46" s="117">
        <f>IF(Z43="","",MROUND(Z43*0.5,'Start-Options'!B38))</f>
        <v>60</v>
      </c>
      <c r="X46" s="27"/>
      <c r="Y46" s="27"/>
      <c r="Z46" s="27"/>
      <c r="AA46" s="27"/>
      <c r="AB46" s="27"/>
      <c r="AC46" s="27"/>
    </row>
    <row r="47" ht="12.75" customHeight="1">
      <c r="A47" s="130"/>
      <c r="B47" s="124">
        <f>IF(Z43="","",MROUND(Z43*0.9,'Start-Options'!B38))</f>
        <v>107.5</v>
      </c>
      <c r="C47" s="120">
        <f>IF(Z43="","",ROUND((37-36*B47/(Z43+'Start-Options'!F33)),0))</f>
        <v>5</v>
      </c>
      <c r="D47" s="120">
        <f>IF(Z43="","",MROUND(B47*36/(37-C47),'Start-Options'!B38))</f>
        <v>120</v>
      </c>
      <c r="E47" s="156"/>
      <c r="F47" s="122" t="str">
        <f>IF(E47="","",MROUND(36*B47/(37-E47),'Start-Options'!B38))</f>
        <v/>
      </c>
      <c r="G47" s="280">
        <f>Z43</f>
        <v>120</v>
      </c>
      <c r="H47" s="105"/>
      <c r="I47" s="129"/>
      <c r="J47" s="120">
        <f>IF(Z43="","",MROUND(Z43*0.85,'Start-Options'!B38))</f>
        <v>102.5</v>
      </c>
      <c r="K47" s="156"/>
      <c r="L47" s="122" t="str">
        <f>IF(K47="","",MROUND(36*J47/(37-K47),'Start-Options'!B38))</f>
        <v/>
      </c>
      <c r="M47" s="105"/>
      <c r="N47" s="123"/>
      <c r="O47" s="123">
        <f>IF(Z43="","",MROUND(Z43*0.95,'Start-Options'!B38))</f>
        <v>115</v>
      </c>
      <c r="P47" s="120" t="str">
        <f>IF(L47="","",IF(F47&lt;Z43,ROUND((37-36*O47/(Z43+'Start-Options'!F33)),0),ROUND((37-36*O47/(F47+'Start-Options'!F33)),0)))</f>
        <v/>
      </c>
      <c r="Q47" s="125" t="str">
        <f>IF(P47="","",MROUND(O47*36/(37-P47),'Start-Options'!B38))</f>
        <v/>
      </c>
      <c r="R47" s="152"/>
      <c r="S47" s="127" t="str">
        <f>IF(R47="","",MROUND(36*O47/(37-R47),'Start-Options'!B38))</f>
        <v/>
      </c>
      <c r="T47" s="129">
        <f>Z43</f>
        <v>120</v>
      </c>
      <c r="U47" s="105"/>
      <c r="V47" s="123"/>
      <c r="W47" s="128">
        <f>IF(Z43="","",MROUND(Z43*0.6,'Start-Options'!B38))</f>
        <v>72.5</v>
      </c>
      <c r="X47" s="27"/>
      <c r="Y47" s="70" t="s">
        <v>93</v>
      </c>
      <c r="Z47" s="71"/>
      <c r="AA47" s="27"/>
      <c r="AB47" s="27"/>
      <c r="AC47" s="27"/>
    </row>
    <row r="48" ht="12.75" customHeight="1">
      <c r="A48" s="102"/>
      <c r="B48" s="107">
        <f>IF(Z44="","",MROUND(Z44*0.7,'Start-Options'!B38))</f>
        <v>52.5</v>
      </c>
      <c r="C48" s="103"/>
      <c r="D48" s="103"/>
      <c r="E48" s="103"/>
      <c r="F48" s="104"/>
      <c r="G48" s="279"/>
      <c r="H48" s="105"/>
      <c r="I48" s="37"/>
      <c r="J48" s="103">
        <f>IF(Z44="","",MROUND(Z44*0.65,'Start-Options'!B38))</f>
        <v>50</v>
      </c>
      <c r="K48" s="103"/>
      <c r="L48" s="104"/>
      <c r="M48" s="105"/>
      <c r="N48" s="106"/>
      <c r="O48" s="106">
        <f>IF(Z44="","",MROUND(Z44*0.75,'Start-Options'!B38))</f>
        <v>57.5</v>
      </c>
      <c r="P48" s="108"/>
      <c r="Q48" s="108"/>
      <c r="R48" s="108"/>
      <c r="S48" s="109"/>
      <c r="T48" s="118"/>
      <c r="U48" s="105"/>
      <c r="V48" s="106"/>
      <c r="W48" s="110">
        <f>IF(Z44="","",MROUND(Z44*0.4,'Start-Options'!B38))</f>
        <v>30</v>
      </c>
      <c r="X48" s="27"/>
      <c r="Y48" s="25" t="s">
        <v>94</v>
      </c>
      <c r="Z48" s="162"/>
      <c r="AA48" s="27"/>
      <c r="AB48" s="27"/>
      <c r="AC48" s="27"/>
    </row>
    <row r="49" ht="12.75" customHeight="1">
      <c r="A49" s="111" t="str">
        <f>'Start-Options'!B6</f>
        <v>Bench</v>
      </c>
      <c r="B49" s="115">
        <f>IF(Z44="","",MROUND(Z44*0.8,'Start-Options'!B38))</f>
        <v>60</v>
      </c>
      <c r="C49" s="112"/>
      <c r="D49" s="112"/>
      <c r="E49" s="112"/>
      <c r="F49" s="113"/>
      <c r="G49" s="279"/>
      <c r="H49" s="105"/>
      <c r="I49" s="118" t="str">
        <f>'Start-Options'!B6</f>
        <v>Bench</v>
      </c>
      <c r="J49" s="112">
        <f>IF(Z44="","",MROUND(Z44*0.75,'Start-Options'!B38))</f>
        <v>57.5</v>
      </c>
      <c r="K49" s="112"/>
      <c r="L49" s="113"/>
      <c r="M49" s="105"/>
      <c r="N49" s="114" t="str">
        <f>'Start-Options'!B6</f>
        <v>Bench</v>
      </c>
      <c r="O49" s="114">
        <f>IF(Z44="","",MROUND(Z44*0.85,'Start-Options'!B38))</f>
        <v>65</v>
      </c>
      <c r="P49" s="105"/>
      <c r="Q49" s="105"/>
      <c r="R49" s="105"/>
      <c r="S49" s="116"/>
      <c r="T49" s="118"/>
      <c r="U49" s="105"/>
      <c r="V49" s="114" t="str">
        <f>'Start-Options'!B6</f>
        <v>Bench</v>
      </c>
      <c r="W49" s="117">
        <f>IF(Z44="","",MROUND(Z44*0.5,'Start-Options'!B38))</f>
        <v>37.5</v>
      </c>
      <c r="X49" s="27"/>
      <c r="Y49" s="77" t="s">
        <v>95</v>
      </c>
      <c r="Z49" s="78" t="str">
        <f>IF(Z48="","",MROUND(Z48*0.4,'Start-Options'!$B$38))</f>
        <v/>
      </c>
      <c r="AA49" s="27"/>
      <c r="AB49" s="27"/>
      <c r="AC49" s="27"/>
    </row>
    <row r="50" ht="12.75" customHeight="1">
      <c r="A50" s="119"/>
      <c r="B50" s="124">
        <f>IF(Z44="","",MROUND(Z44*0.9,'Start-Options'!B38))</f>
        <v>67.5</v>
      </c>
      <c r="C50" s="120">
        <f>IF(Z44="","",ROUND((37-36*B50/(Z44+'Start-Options'!F34)),0))</f>
        <v>6</v>
      </c>
      <c r="D50" s="120">
        <f>IF(Z44="","",MROUND(B50*36/(37-C50),'Start-Options'!B38))</f>
        <v>77.5</v>
      </c>
      <c r="E50" s="156"/>
      <c r="F50" s="122" t="str">
        <f>IF(E50="","",MROUND(36*B50/(37-E50),'Start-Options'!B38))</f>
        <v/>
      </c>
      <c r="G50" s="280">
        <f>Z44</f>
        <v>75</v>
      </c>
      <c r="H50" s="105"/>
      <c r="I50" s="129"/>
      <c r="J50" s="120">
        <f>IF(Z44="","",MROUND(Z44*0.85,'Start-Options'!B38))</f>
        <v>65</v>
      </c>
      <c r="K50" s="156"/>
      <c r="L50" s="122" t="str">
        <f>IF(K50="","",MROUND(36*J50/(37-K50),'Start-Options'!B38))</f>
        <v/>
      </c>
      <c r="M50" s="105"/>
      <c r="N50" s="123"/>
      <c r="O50" s="123">
        <f>IF(Z44="","",MROUND(Z44*0.95,'Start-Options'!B38))</f>
        <v>72.5</v>
      </c>
      <c r="P50" s="120" t="str">
        <f>IF(L50="","",IF(F50&lt;Z44,ROUND((37-36*O50/(Z44+'Start-Options'!F34)),0),ROUND((37-36*O50/(F50+'Start-Options'!F34)),0)))</f>
        <v/>
      </c>
      <c r="Q50" s="125" t="str">
        <f>IF(P50="","",MROUND(O50*36/(37-P50),'Start-Options'!B38))</f>
        <v/>
      </c>
      <c r="R50" s="152"/>
      <c r="S50" s="127" t="str">
        <f>IF(R50="","",MROUND(36*O50/(37-R50),'Start-Options'!B38))</f>
        <v/>
      </c>
      <c r="T50" s="118">
        <f>Z44</f>
        <v>75</v>
      </c>
      <c r="U50" s="105"/>
      <c r="V50" s="123"/>
      <c r="W50" s="128">
        <f>IF(Z44="","",MROUND(Z44*0.6,'Start-Options'!B38))</f>
        <v>45</v>
      </c>
      <c r="X50" s="27"/>
      <c r="Y50" s="77" t="s">
        <v>96</v>
      </c>
      <c r="Z50" s="78" t="str">
        <f>IF(Z48="","",MROUND(Z48*0.5,'Start-Options'!$B$38))</f>
        <v/>
      </c>
      <c r="AA50" s="27"/>
      <c r="AB50" s="27"/>
      <c r="AC50" s="27"/>
    </row>
    <row r="51" ht="12.75" customHeight="1">
      <c r="A51" s="111"/>
      <c r="B51" s="107">
        <f>IF(Z45="","",MROUND(Z45*0.7,'Start-Options'!B38))</f>
        <v>62.5</v>
      </c>
      <c r="C51" s="103"/>
      <c r="D51" s="103"/>
      <c r="E51" s="103"/>
      <c r="F51" s="104"/>
      <c r="G51" s="279"/>
      <c r="H51" s="105"/>
      <c r="I51" s="37"/>
      <c r="J51" s="103">
        <f>IF(Z45="","",MROUND(Z45*0.65,'Start-Options'!B38))</f>
        <v>57.5</v>
      </c>
      <c r="K51" s="103"/>
      <c r="L51" s="104"/>
      <c r="M51" s="105"/>
      <c r="N51" s="106"/>
      <c r="O51" s="106">
        <f>IF(Z45="","",MROUND(Z45*0.75,'Start-Options'!B38))</f>
        <v>67.5</v>
      </c>
      <c r="P51" s="108"/>
      <c r="Q51" s="108"/>
      <c r="R51" s="108"/>
      <c r="S51" s="109"/>
      <c r="T51" s="37"/>
      <c r="U51" s="105"/>
      <c r="V51" s="106"/>
      <c r="W51" s="110">
        <f>IF(Z45="","",MROUND(Z45*0.4,'Start-Options'!B38))</f>
        <v>35</v>
      </c>
      <c r="X51" s="27"/>
      <c r="Y51" s="82" t="s">
        <v>97</v>
      </c>
      <c r="Z51" s="83" t="str">
        <f>IF(Z48="","",MROUND(Z48*0.6,'Start-Options'!$B$38))</f>
        <v/>
      </c>
      <c r="AA51" s="27"/>
      <c r="AB51" s="27"/>
      <c r="AC51" s="27"/>
    </row>
    <row r="52" ht="12.75" customHeight="1">
      <c r="A52" s="111" t="str">
        <f>'Start-Options'!B7</f>
        <v>Squat</v>
      </c>
      <c r="B52" s="115">
        <f>IF(Z45="","",MROUND(Z45*0.8,'Start-Options'!B38))</f>
        <v>72.5</v>
      </c>
      <c r="C52" s="112"/>
      <c r="D52" s="112"/>
      <c r="E52" s="112"/>
      <c r="F52" s="113"/>
      <c r="G52" s="279"/>
      <c r="H52" s="105"/>
      <c r="I52" s="118" t="str">
        <f>'Start-Options'!B7</f>
        <v>Squat</v>
      </c>
      <c r="J52" s="112">
        <f>IF(Z45="","",MROUND(Z45*0.75,'Start-Options'!B38))</f>
        <v>67.5</v>
      </c>
      <c r="K52" s="112"/>
      <c r="L52" s="113"/>
      <c r="M52" s="105"/>
      <c r="N52" s="114" t="str">
        <f>'Start-Options'!B7</f>
        <v>Squat</v>
      </c>
      <c r="O52" s="114">
        <f>IF(Z45="","",MROUND(Z45*0.85,'Start-Options'!B38))</f>
        <v>77.5</v>
      </c>
      <c r="P52" s="105"/>
      <c r="Q52" s="105"/>
      <c r="R52" s="105"/>
      <c r="S52" s="116"/>
      <c r="T52" s="118"/>
      <c r="U52" s="105"/>
      <c r="V52" s="114" t="str">
        <f>'Start-Options'!B7</f>
        <v>Squat</v>
      </c>
      <c r="W52" s="117">
        <f>IF(Z45="","",MROUND(Z45*0.5,'Start-Options'!B38))</f>
        <v>45</v>
      </c>
      <c r="X52" s="27"/>
      <c r="Y52" s="27"/>
      <c r="Z52" s="27"/>
      <c r="AA52" s="27"/>
      <c r="AB52" s="27"/>
      <c r="AC52" s="27"/>
    </row>
    <row r="53" ht="13.5" customHeight="1">
      <c r="A53" s="131"/>
      <c r="B53" s="137">
        <f>IF(Z45="","",MROUND(Z45*0.9,'Start-Options'!B38))</f>
        <v>80</v>
      </c>
      <c r="C53" s="132">
        <f>IF(Z45="","",ROUND((37-36*B53/(Z45+'Start-Options'!F35)),0))</f>
        <v>6</v>
      </c>
      <c r="D53" s="132">
        <f>IF(Z45="","",MROUND(B53*36/(37-C53),'Start-Options'!B38))</f>
        <v>92.5</v>
      </c>
      <c r="E53" s="157"/>
      <c r="F53" s="134" t="str">
        <f>IF(E53="","",MROUND(36*B53/(37-E53),5))</f>
        <v/>
      </c>
      <c r="G53" s="281">
        <f>Z45</f>
        <v>90</v>
      </c>
      <c r="H53" s="135"/>
      <c r="I53" s="277"/>
      <c r="J53" s="132">
        <f>IF(Z45="","",MROUND(Z45*0.85,'Start-Options'!B38))</f>
        <v>77.5</v>
      </c>
      <c r="K53" s="157"/>
      <c r="L53" s="134" t="str">
        <f>IF(K53="","",MROUND(36*J53/(37-K53),5))</f>
        <v/>
      </c>
      <c r="M53" s="135"/>
      <c r="N53" s="136"/>
      <c r="O53" s="136">
        <f>IF(Z45="","",MROUND(Z45*0.95,'Start-Options'!B38))</f>
        <v>85</v>
      </c>
      <c r="P53" s="132" t="str">
        <f>IF(L53="","",IF(F53&lt;Z45,ROUND((37-36*O53/(Z45+'Start-Options'!F35)),0),ROUND((37-36*O53/(F53+'Start-Options'!F35)),0)))</f>
        <v/>
      </c>
      <c r="Q53" s="135" t="str">
        <f>IF(P53="","",MROUND(O53*36/(37-P53),'Start-Options'!B38))</f>
        <v/>
      </c>
      <c r="R53" s="161"/>
      <c r="S53" s="139" t="str">
        <f>IF(R53="","",MROUND(36*O53/(37-R53),'Start-Options'!B38))</f>
        <v/>
      </c>
      <c r="T53" s="277">
        <f>Z45</f>
        <v>90</v>
      </c>
      <c r="U53" s="135"/>
      <c r="V53" s="136"/>
      <c r="W53" s="140">
        <f>IF(Z45="","",MROUND(Z45*0.6,'Start-Options'!B38))</f>
        <v>55</v>
      </c>
      <c r="X53" s="27"/>
      <c r="Y53" s="27"/>
      <c r="Z53" s="27"/>
      <c r="AA53" s="27"/>
      <c r="AB53" s="27"/>
      <c r="AC53" s="27"/>
    </row>
    <row r="54" ht="12.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row>
    <row r="55" ht="21.0" customHeight="1">
      <c r="A55" s="27"/>
      <c r="B55" s="27"/>
      <c r="C55" s="27"/>
      <c r="D55" s="27"/>
      <c r="E55" s="27"/>
      <c r="F55" s="27"/>
      <c r="G55" s="27"/>
      <c r="H55" s="27"/>
      <c r="I55" s="27"/>
      <c r="J55" s="27"/>
      <c r="K55" s="27"/>
      <c r="L55" s="86" t="s">
        <v>112</v>
      </c>
      <c r="M55" s="65"/>
      <c r="N55" s="65"/>
      <c r="O55" s="160"/>
      <c r="P55" s="27"/>
      <c r="Q55" s="27"/>
      <c r="R55" s="27"/>
      <c r="S55" s="27"/>
      <c r="T55" s="27"/>
      <c r="U55" s="27"/>
      <c r="V55" s="27"/>
      <c r="W55" s="27"/>
      <c r="X55" s="27"/>
      <c r="Y55" s="27"/>
      <c r="Z55" s="27"/>
      <c r="AA55" s="27"/>
      <c r="AB55" s="27"/>
      <c r="AC55" s="27"/>
    </row>
    <row r="56" ht="15.75" customHeight="1">
      <c r="A56" s="88"/>
      <c r="B56" s="91"/>
      <c r="C56" s="89" t="s">
        <v>323</v>
      </c>
      <c r="D56" s="91"/>
      <c r="E56" s="91"/>
      <c r="F56" s="91"/>
      <c r="G56" s="91"/>
      <c r="H56" s="91"/>
      <c r="I56" s="91"/>
      <c r="J56" s="89" t="s">
        <v>324</v>
      </c>
      <c r="K56" s="60"/>
      <c r="L56" s="91"/>
      <c r="M56" s="91"/>
      <c r="N56" s="91"/>
      <c r="O56" s="91"/>
      <c r="P56" s="89" t="s">
        <v>115</v>
      </c>
      <c r="Q56" s="60"/>
      <c r="R56" s="60"/>
      <c r="S56" s="91"/>
      <c r="T56" s="91"/>
      <c r="U56" s="91"/>
      <c r="V56" s="93" t="s">
        <v>116</v>
      </c>
      <c r="W56" s="94"/>
      <c r="X56" s="27"/>
      <c r="Y56" s="27"/>
      <c r="Z56" s="27"/>
      <c r="AA56" s="27"/>
      <c r="AB56" s="27"/>
      <c r="AC56" s="27"/>
    </row>
    <row r="57" ht="27.75" customHeight="1">
      <c r="A57" s="95"/>
      <c r="B57" s="96" t="s">
        <v>26</v>
      </c>
      <c r="C57" s="97" t="s">
        <v>88</v>
      </c>
      <c r="D57" s="97" t="s">
        <v>89</v>
      </c>
      <c r="E57" s="97" t="s">
        <v>90</v>
      </c>
      <c r="F57" s="96" t="s">
        <v>91</v>
      </c>
      <c r="G57" s="276" t="s">
        <v>317</v>
      </c>
      <c r="H57" s="27"/>
      <c r="I57" s="98"/>
      <c r="J57" s="96" t="s">
        <v>26</v>
      </c>
      <c r="K57" s="97" t="s">
        <v>90</v>
      </c>
      <c r="L57" s="96" t="s">
        <v>91</v>
      </c>
      <c r="M57" s="27"/>
      <c r="N57" s="98"/>
      <c r="O57" s="96" t="s">
        <v>26</v>
      </c>
      <c r="P57" s="97" t="s">
        <v>88</v>
      </c>
      <c r="Q57" s="97" t="s">
        <v>89</v>
      </c>
      <c r="R57" s="97" t="s">
        <v>90</v>
      </c>
      <c r="S57" s="96" t="s">
        <v>91</v>
      </c>
      <c r="T57" s="276" t="s">
        <v>318</v>
      </c>
      <c r="U57" s="27"/>
      <c r="V57" s="99"/>
      <c r="W57" s="159" t="s">
        <v>26</v>
      </c>
      <c r="X57" s="27"/>
      <c r="Y57" s="101" t="s">
        <v>117</v>
      </c>
      <c r="Z57" s="71"/>
      <c r="AA57" s="142" t="s">
        <v>104</v>
      </c>
      <c r="AB57" s="143" t="s">
        <v>105</v>
      </c>
      <c r="AC57" s="27"/>
    </row>
    <row r="58" ht="12.75" customHeight="1">
      <c r="A58" s="102"/>
      <c r="B58" s="107">
        <f>IF(Z58="","",MROUND(Z58*0.7,'Start-Options'!B38))</f>
        <v>40</v>
      </c>
      <c r="C58" s="103"/>
      <c r="D58" s="103"/>
      <c r="E58" s="103"/>
      <c r="F58" s="104"/>
      <c r="G58" s="279"/>
      <c r="H58" s="105"/>
      <c r="I58" s="37"/>
      <c r="J58" s="103">
        <f>IF(Z58="","",MROUND(Z58*0.65,'Start-Options'!B38))</f>
        <v>37.5</v>
      </c>
      <c r="K58" s="103"/>
      <c r="L58" s="104"/>
      <c r="M58" s="105"/>
      <c r="N58" s="106"/>
      <c r="O58" s="106">
        <f>IF(Z58="","",MROUND(Z58*0.75,'Start-Options'!B38))</f>
        <v>42.5</v>
      </c>
      <c r="P58" s="108"/>
      <c r="Q58" s="108"/>
      <c r="R58" s="108"/>
      <c r="S58" s="109"/>
      <c r="T58" s="118"/>
      <c r="U58" s="105"/>
      <c r="V58" s="106"/>
      <c r="W58" s="110">
        <f>IF(Z58="","",MROUND(Z58*0.4,'Start-Options'!B38))</f>
        <v>22.5</v>
      </c>
      <c r="X58" s="27"/>
      <c r="Y58" s="37" t="str">
        <f>'Start-Options'!B4</f>
        <v>Military</v>
      </c>
      <c r="Z58" s="106">
        <f>IF(Z42="","",IF(ISTEXT(AA42),Z42-AB42,Z42+'Start-Options'!C32))</f>
        <v>57.5</v>
      </c>
      <c r="AA58" s="36"/>
      <c r="AB58" s="147"/>
      <c r="AC58" s="27"/>
    </row>
    <row r="59" ht="12.75" customHeight="1">
      <c r="A59" s="111" t="str">
        <f>'Start-Options'!B4</f>
        <v>Military</v>
      </c>
      <c r="B59" s="115">
        <f>IF(Z58="","",MROUND(Z58*0.8,'Start-Options'!B38))</f>
        <v>45</v>
      </c>
      <c r="C59" s="112"/>
      <c r="D59" s="112"/>
      <c r="E59" s="112"/>
      <c r="F59" s="113"/>
      <c r="G59" s="279"/>
      <c r="H59" s="105"/>
      <c r="I59" s="118" t="str">
        <f>'Start-Options'!B4</f>
        <v>Military</v>
      </c>
      <c r="J59" s="112">
        <f>IF(Z58="","",MROUND(Z58*0.75,'Start-Options'!B38))</f>
        <v>42.5</v>
      </c>
      <c r="K59" s="112"/>
      <c r="L59" s="113"/>
      <c r="M59" s="105"/>
      <c r="N59" s="114" t="str">
        <f>'Start-Options'!B4</f>
        <v>Military</v>
      </c>
      <c r="O59" s="114">
        <f>IF(Z58="","",MROUND(Z58*0.85,'Start-Options'!B38))</f>
        <v>50</v>
      </c>
      <c r="P59" s="105"/>
      <c r="Q59" s="105"/>
      <c r="R59" s="105"/>
      <c r="S59" s="116"/>
      <c r="T59" s="118"/>
      <c r="U59" s="105"/>
      <c r="V59" s="114" t="str">
        <f>'Start-Options'!B4</f>
        <v>Military</v>
      </c>
      <c r="W59" s="117">
        <f>IF(Z58="","",MROUND(Z58*0.5,'Start-Options'!B38))</f>
        <v>30</v>
      </c>
      <c r="X59" s="27"/>
      <c r="Y59" s="118" t="str">
        <f>'Start-Options'!B5</f>
        <v>Deadlift</v>
      </c>
      <c r="Z59" s="114">
        <f>IF(Z43="","",IF(ISTEXT(AA43),Z43-AB43,Z43+'Start-Options'!C33))</f>
        <v>125</v>
      </c>
      <c r="AA59" s="151"/>
      <c r="AB59" s="147"/>
      <c r="AC59" s="27"/>
    </row>
    <row r="60" ht="12.75" customHeight="1">
      <c r="A60" s="119"/>
      <c r="B60" s="124">
        <f>IF(Z58="","",MROUND(Z58*0.9,'Start-Options'!B38))</f>
        <v>52.5</v>
      </c>
      <c r="C60" s="120">
        <f>IF(Z58="","",ROUND((37-36*B60/(Z58+'Start-Options'!F32)),0))</f>
        <v>6</v>
      </c>
      <c r="D60" s="120">
        <f>IF(Z58="","",MROUND(B60*36/(37-C60),'Start-Options'!B38))</f>
        <v>60</v>
      </c>
      <c r="E60" s="156"/>
      <c r="F60" s="122" t="str">
        <f>IF(E60="","",MROUND(36*B60/(37-E60),'Start-Options'!B38))</f>
        <v/>
      </c>
      <c r="G60" s="280">
        <f>Z58</f>
        <v>57.5</v>
      </c>
      <c r="H60" s="105"/>
      <c r="I60" s="129"/>
      <c r="J60" s="120">
        <f>IF(Z58="","",MROUND(Z58*0.85,'Start-Options'!B38))</f>
        <v>50</v>
      </c>
      <c r="K60" s="156"/>
      <c r="L60" s="122" t="str">
        <f>IF(K60="","",MROUND(36*J60/(37-K60),'Start-Options'!B38))</f>
        <v/>
      </c>
      <c r="M60" s="105"/>
      <c r="N60" s="123"/>
      <c r="O60" s="123">
        <f>IF(Z58="","",MROUND(Z58*0.95,'Start-Options'!B38))</f>
        <v>55</v>
      </c>
      <c r="P60" s="120" t="str">
        <f>IF(L60="","",IF(F60&lt;Z58,ROUND((37-36*O60/(Z58+'Start-Options'!F32)),0),ROUND((37-36*O60/(F60+'Start-Options'!F32)),0)))</f>
        <v/>
      </c>
      <c r="Q60" s="125" t="str">
        <f>IF(P60="","",MROUND(O60*36/(37-P60),'Start-Options'!B38))</f>
        <v/>
      </c>
      <c r="R60" s="152"/>
      <c r="S60" s="127" t="str">
        <f>IF(R60="","",MROUND(36*O60/(37-R60),'Start-Options'!B38))</f>
        <v/>
      </c>
      <c r="T60" s="129">
        <f>Z58</f>
        <v>57.5</v>
      </c>
      <c r="U60" s="105"/>
      <c r="V60" s="123"/>
      <c r="W60" s="128">
        <f>IF(Z58="","",MROUND(Z58*0.6,'Start-Options'!B38))</f>
        <v>35</v>
      </c>
      <c r="X60" s="27"/>
      <c r="Y60" s="118" t="str">
        <f>'Start-Options'!B6</f>
        <v>Bench</v>
      </c>
      <c r="Z60" s="114">
        <f>IF(Z44="","",IF(ISTEXT(AA44),Z44-AB44,Z44+'Start-Options'!C34))</f>
        <v>77.5</v>
      </c>
      <c r="AA60" s="151"/>
      <c r="AB60" s="147"/>
      <c r="AC60" s="27"/>
    </row>
    <row r="61" ht="12.75" customHeight="1">
      <c r="A61" s="102"/>
      <c r="B61" s="107">
        <f>IF(Z59="","",MROUND(Z59*0.7,'Start-Options'!B38))</f>
        <v>87.5</v>
      </c>
      <c r="C61" s="103"/>
      <c r="D61" s="103"/>
      <c r="E61" s="103"/>
      <c r="F61" s="113"/>
      <c r="G61" s="279"/>
      <c r="H61" s="105"/>
      <c r="I61" s="37"/>
      <c r="J61" s="103">
        <f>IF(Z59="","",MROUND(Z59*0.65,'Start-Options'!B38))</f>
        <v>82.5</v>
      </c>
      <c r="K61" s="103"/>
      <c r="L61" s="104"/>
      <c r="M61" s="105"/>
      <c r="N61" s="106"/>
      <c r="O61" s="106">
        <f>IF(Z59="","",MROUND(Z59*0.75,'Start-Options'!B38))</f>
        <v>95</v>
      </c>
      <c r="P61" s="108"/>
      <c r="Q61" s="108"/>
      <c r="R61" s="108"/>
      <c r="S61" s="109"/>
      <c r="T61" s="118"/>
      <c r="U61" s="105"/>
      <c r="V61" s="106"/>
      <c r="W61" s="110">
        <f>IF(Z59="","",MROUND(Z59*0.4,'Start-Options'!B38))</f>
        <v>50</v>
      </c>
      <c r="X61" s="27"/>
      <c r="Y61" s="129" t="str">
        <f>'Start-Options'!B7</f>
        <v>Squat</v>
      </c>
      <c r="Z61" s="123">
        <f>IF(Z45="","",IF(ISTEXT(AA45),Z45-AB45,Z45+'Start-Options'!C35))</f>
        <v>95</v>
      </c>
      <c r="AA61" s="154"/>
      <c r="AB61" s="155"/>
      <c r="AC61" s="27"/>
    </row>
    <row r="62" ht="12.75" customHeight="1">
      <c r="A62" s="111" t="str">
        <f>'Start-Options'!B5</f>
        <v>Deadlift</v>
      </c>
      <c r="B62" s="115">
        <f>IF(Z59="","",MROUND(Z59*0.8,'Start-Options'!B38))</f>
        <v>100</v>
      </c>
      <c r="C62" s="112"/>
      <c r="D62" s="112"/>
      <c r="E62" s="112"/>
      <c r="F62" s="113"/>
      <c r="G62" s="279"/>
      <c r="H62" s="105"/>
      <c r="I62" s="118" t="str">
        <f>'Start-Options'!B5</f>
        <v>Deadlift</v>
      </c>
      <c r="J62" s="112">
        <f>IF(Z59="","",MROUND(Z59*0.75,'Start-Options'!B38))</f>
        <v>95</v>
      </c>
      <c r="K62" s="112"/>
      <c r="L62" s="113"/>
      <c r="M62" s="105"/>
      <c r="N62" s="114" t="str">
        <f>'Start-Options'!B5</f>
        <v>Deadlift</v>
      </c>
      <c r="O62" s="114">
        <f>IF(Z59="","",MROUND(Z59*0.85,'Start-Options'!B38))</f>
        <v>107.5</v>
      </c>
      <c r="P62" s="105"/>
      <c r="Q62" s="105"/>
      <c r="R62" s="105"/>
      <c r="S62" s="116"/>
      <c r="T62" s="118"/>
      <c r="U62" s="105"/>
      <c r="V62" s="114" t="str">
        <f>'Start-Options'!B5</f>
        <v>Deadlift</v>
      </c>
      <c r="W62" s="117">
        <f>IF(Z59="","",MROUND(Z59*0.5,'Start-Options'!B38))</f>
        <v>62.5</v>
      </c>
      <c r="X62" s="27"/>
      <c r="Y62" s="27"/>
      <c r="Z62" s="27"/>
      <c r="AA62" s="27"/>
      <c r="AB62" s="27"/>
      <c r="AC62" s="27"/>
    </row>
    <row r="63" ht="12.75" customHeight="1">
      <c r="A63" s="130"/>
      <c r="B63" s="124">
        <f>IF(Z59="","",MROUND(Z59*0.9,'Start-Options'!B38))</f>
        <v>112.5</v>
      </c>
      <c r="C63" s="120">
        <f>IF(Z59="","",ROUND((37-36*B63/(Z59+'Start-Options'!F33)),0))</f>
        <v>5</v>
      </c>
      <c r="D63" s="120">
        <f>IF(Z59="","",MROUND(B63*36/(37-C63),'Start-Options'!B38))</f>
        <v>127.5</v>
      </c>
      <c r="E63" s="156"/>
      <c r="F63" s="122" t="str">
        <f>IF(E63="","",MROUND(36*B63/(37-E63),'Start-Options'!B38))</f>
        <v/>
      </c>
      <c r="G63" s="280">
        <f>Z59</f>
        <v>125</v>
      </c>
      <c r="H63" s="105"/>
      <c r="I63" s="129"/>
      <c r="J63" s="120">
        <f>IF(Z59="","",MROUND(Z59*0.85,'Start-Options'!B38))</f>
        <v>107.5</v>
      </c>
      <c r="K63" s="156"/>
      <c r="L63" s="122" t="str">
        <f>IF(K63="","",MROUND(36*J63/(37-K63),'Start-Options'!B38))</f>
        <v/>
      </c>
      <c r="M63" s="105"/>
      <c r="N63" s="123"/>
      <c r="O63" s="123">
        <f>IF(Z59="","",MROUND(Z59*0.95,'Start-Options'!B38))</f>
        <v>120</v>
      </c>
      <c r="P63" s="120" t="str">
        <f>IF(L63="","",IF(F63&lt;Z59,ROUND((37-36*O63/(Z59+'Start-Options'!F33)),0),ROUND((37-36*O63/(F63+'Start-Options'!F33)),0)))</f>
        <v/>
      </c>
      <c r="Q63" s="125" t="str">
        <f>IF(P63="","",MROUND(O63*36/(37-P63),'Start-Options'!B38))</f>
        <v/>
      </c>
      <c r="R63" s="152"/>
      <c r="S63" s="127" t="str">
        <f>IF(R63="","",MROUND(36*O63/(37-R63),'Start-Options'!B38))</f>
        <v/>
      </c>
      <c r="T63" s="129">
        <f>Z59</f>
        <v>125</v>
      </c>
      <c r="U63" s="105"/>
      <c r="V63" s="123"/>
      <c r="W63" s="128">
        <f>IF(Z59="","",MROUND(Z59*0.6,'Start-Options'!B38))</f>
        <v>75</v>
      </c>
      <c r="X63" s="27"/>
      <c r="Y63" s="70" t="s">
        <v>93</v>
      </c>
      <c r="Z63" s="71"/>
      <c r="AA63" s="27"/>
      <c r="AB63" s="27"/>
      <c r="AC63" s="27"/>
    </row>
    <row r="64" ht="12.75" customHeight="1">
      <c r="A64" s="102"/>
      <c r="B64" s="107">
        <f>IF(Z60="","",MROUND(Z60*0.7,'Start-Options'!B38))</f>
        <v>55</v>
      </c>
      <c r="C64" s="103"/>
      <c r="D64" s="103"/>
      <c r="E64" s="103"/>
      <c r="F64" s="104"/>
      <c r="G64" s="279"/>
      <c r="H64" s="105"/>
      <c r="I64" s="37"/>
      <c r="J64" s="103">
        <f>IF(Z60="","",MROUND(Z60*0.65,'Start-Options'!B38))</f>
        <v>50</v>
      </c>
      <c r="K64" s="103"/>
      <c r="L64" s="104"/>
      <c r="M64" s="105"/>
      <c r="N64" s="106"/>
      <c r="O64" s="106">
        <f>IF(Z60="","",MROUND(Z60*0.75,'Start-Options'!B38))</f>
        <v>57.5</v>
      </c>
      <c r="P64" s="108"/>
      <c r="Q64" s="108"/>
      <c r="R64" s="108"/>
      <c r="S64" s="109"/>
      <c r="T64" s="118"/>
      <c r="U64" s="105"/>
      <c r="V64" s="106"/>
      <c r="W64" s="110">
        <f>IF(Z60="","",MROUND(Z60*0.4,'Start-Options'!B38))</f>
        <v>30</v>
      </c>
      <c r="X64" s="27"/>
      <c r="Y64" s="25" t="s">
        <v>94</v>
      </c>
      <c r="Z64" s="162"/>
      <c r="AA64" s="27"/>
      <c r="AB64" s="27"/>
      <c r="AC64" s="27"/>
    </row>
    <row r="65" ht="12.75" customHeight="1">
      <c r="A65" s="111" t="str">
        <f>'Start-Options'!B6</f>
        <v>Bench</v>
      </c>
      <c r="B65" s="115">
        <f>IF(Z60="","",MROUND(Z60*0.8,'Start-Options'!B38))</f>
        <v>62.5</v>
      </c>
      <c r="C65" s="112"/>
      <c r="D65" s="112"/>
      <c r="E65" s="112"/>
      <c r="F65" s="113"/>
      <c r="G65" s="279"/>
      <c r="H65" s="105"/>
      <c r="I65" s="118" t="str">
        <f>'Start-Options'!B6</f>
        <v>Bench</v>
      </c>
      <c r="J65" s="112">
        <f>IF(Z60="","",MROUND(Z60*0.75,'Start-Options'!B38))</f>
        <v>57.5</v>
      </c>
      <c r="K65" s="112"/>
      <c r="L65" s="113"/>
      <c r="M65" s="105"/>
      <c r="N65" s="114" t="str">
        <f>'Start-Options'!B6</f>
        <v>Bench</v>
      </c>
      <c r="O65" s="114">
        <f>IF(Z60="","",MROUND(Z60*0.85,'Start-Options'!B38))</f>
        <v>65</v>
      </c>
      <c r="P65" s="105"/>
      <c r="Q65" s="105"/>
      <c r="R65" s="105"/>
      <c r="S65" s="116"/>
      <c r="T65" s="118"/>
      <c r="U65" s="105"/>
      <c r="V65" s="114" t="str">
        <f>'Start-Options'!B6</f>
        <v>Bench</v>
      </c>
      <c r="W65" s="117">
        <f>IF(Z60="","",MROUND(Z60*0.5,'Start-Options'!B38))</f>
        <v>40</v>
      </c>
      <c r="X65" s="27"/>
      <c r="Y65" s="77" t="s">
        <v>95</v>
      </c>
      <c r="Z65" s="78" t="str">
        <f>IF(Z64="","",MROUND(Z64*0.4,'Start-Options'!$B$38))</f>
        <v/>
      </c>
      <c r="AA65" s="27"/>
      <c r="AB65" s="27"/>
      <c r="AC65" s="27"/>
    </row>
    <row r="66" ht="12.75" customHeight="1">
      <c r="A66" s="119"/>
      <c r="B66" s="124">
        <f>IF(Z60="","",MROUND(Z60*0.9,'Start-Options'!B38))</f>
        <v>70</v>
      </c>
      <c r="C66" s="120">
        <f>IF(Z60="","",ROUND((37-36*B66/(Z60+'Start-Options'!F34)),0))</f>
        <v>6</v>
      </c>
      <c r="D66" s="120">
        <f>IF(Z60="","",MROUND(B66*36/(37-C66),'Start-Options'!B38))</f>
        <v>82.5</v>
      </c>
      <c r="E66" s="156"/>
      <c r="F66" s="122" t="str">
        <f>IF(E66="","",MROUND(36*B66/(37-E66),5))</f>
        <v/>
      </c>
      <c r="G66" s="280">
        <f>Z60</f>
        <v>77.5</v>
      </c>
      <c r="H66" s="105"/>
      <c r="I66" s="129"/>
      <c r="J66" s="120">
        <f>IF(Z60="","",MROUND(Z60*0.85,'Start-Options'!B38))</f>
        <v>65</v>
      </c>
      <c r="K66" s="156"/>
      <c r="L66" s="122" t="str">
        <f>IF(K66="","",MROUND(36*J66/(37-K66),'Start-Options'!B38))</f>
        <v/>
      </c>
      <c r="M66" s="105"/>
      <c r="N66" s="123"/>
      <c r="O66" s="123">
        <f>IF(Z60="","",MROUND(Z60*0.95,'Start-Options'!B38))</f>
        <v>72.5</v>
      </c>
      <c r="P66" s="120" t="str">
        <f>IF(L66="","",IF(F66&lt;Z60,ROUND((37-36*O66/(Z60+'Start-Options'!F34)),0),ROUND((37-36*O66/(F66+'Start-Options'!F34)),0)))</f>
        <v/>
      </c>
      <c r="Q66" s="125" t="str">
        <f>IF(P66="","",MROUND(O66*36/(37-P66),'Start-Options'!B38))</f>
        <v/>
      </c>
      <c r="R66" s="152"/>
      <c r="S66" s="127" t="str">
        <f>IF(R66="","",MROUND(36*O66/(37-R66),'Start-Options'!B38))</f>
        <v/>
      </c>
      <c r="T66" s="118">
        <f>Z60</f>
        <v>77.5</v>
      </c>
      <c r="U66" s="105"/>
      <c r="V66" s="123"/>
      <c r="W66" s="128">
        <f>IF(Z60="","",MROUND(Z60*0.6,'Start-Options'!B38))</f>
        <v>47.5</v>
      </c>
      <c r="X66" s="27"/>
      <c r="Y66" s="77" t="s">
        <v>96</v>
      </c>
      <c r="Z66" s="78" t="str">
        <f>IF(Z64="","",MROUND(Z64*0.5,'Start-Options'!$B$38))</f>
        <v/>
      </c>
      <c r="AA66" s="27"/>
      <c r="AB66" s="27"/>
      <c r="AC66" s="27"/>
    </row>
    <row r="67" ht="12.75" customHeight="1">
      <c r="A67" s="111"/>
      <c r="B67" s="107">
        <f>IF(Z61="","",MROUND(Z61*0.7,'Start-Options'!B38))</f>
        <v>67.5</v>
      </c>
      <c r="C67" s="103"/>
      <c r="D67" s="103"/>
      <c r="E67" s="103"/>
      <c r="F67" s="104"/>
      <c r="G67" s="279"/>
      <c r="H67" s="105"/>
      <c r="I67" s="37"/>
      <c r="J67" s="103">
        <f>IF(Z61="","",MROUND(Z61*0.65,'Start-Options'!B38))</f>
        <v>62.5</v>
      </c>
      <c r="K67" s="103"/>
      <c r="L67" s="104"/>
      <c r="M67" s="105"/>
      <c r="N67" s="106"/>
      <c r="O67" s="106">
        <f>IF(Z61="","",MROUND(Z61*0.75,'Start-Options'!B38))</f>
        <v>72.5</v>
      </c>
      <c r="P67" s="108"/>
      <c r="Q67" s="108"/>
      <c r="R67" s="108"/>
      <c r="S67" s="109"/>
      <c r="T67" s="37"/>
      <c r="U67" s="105"/>
      <c r="V67" s="106"/>
      <c r="W67" s="110">
        <f>IF(Z61="","",MROUND(Z61*0.4,'Start-Options'!B38))</f>
        <v>37.5</v>
      </c>
      <c r="X67" s="27"/>
      <c r="Y67" s="82" t="s">
        <v>97</v>
      </c>
      <c r="Z67" s="83" t="str">
        <f>IF(Z64="","",MROUND(Z64*0.6,'Start-Options'!$B$38))</f>
        <v/>
      </c>
      <c r="AA67" s="27"/>
      <c r="AB67" s="27"/>
      <c r="AC67" s="27"/>
    </row>
    <row r="68" ht="12.75" customHeight="1">
      <c r="A68" s="111" t="str">
        <f>'Start-Options'!B7</f>
        <v>Squat</v>
      </c>
      <c r="B68" s="115">
        <f>IF(Z61="","",MROUND(Z61*0.8,'Start-Options'!B38))</f>
        <v>75</v>
      </c>
      <c r="C68" s="112"/>
      <c r="D68" s="112"/>
      <c r="E68" s="112"/>
      <c r="F68" s="113"/>
      <c r="G68" s="279"/>
      <c r="H68" s="105"/>
      <c r="I68" s="118" t="str">
        <f>'Start-Options'!B7</f>
        <v>Squat</v>
      </c>
      <c r="J68" s="112">
        <f>IF(Z61="","",MROUND(Z61*0.75,'Start-Options'!B38))</f>
        <v>72.5</v>
      </c>
      <c r="K68" s="112"/>
      <c r="L68" s="113"/>
      <c r="M68" s="105"/>
      <c r="N68" s="114" t="str">
        <f>'Start-Options'!B7</f>
        <v>Squat</v>
      </c>
      <c r="O68" s="114">
        <f>IF(Z61="","",MROUND(Z61*0.85,'Start-Options'!B38))</f>
        <v>80</v>
      </c>
      <c r="P68" s="105"/>
      <c r="Q68" s="105"/>
      <c r="R68" s="105"/>
      <c r="S68" s="116"/>
      <c r="T68" s="118"/>
      <c r="U68" s="105"/>
      <c r="V68" s="114" t="str">
        <f>'Start-Options'!B7</f>
        <v>Squat</v>
      </c>
      <c r="W68" s="117">
        <f>IF(Z61="","",MROUND(Z61*0.5,'Start-Options'!B38))</f>
        <v>47.5</v>
      </c>
      <c r="X68" s="27"/>
      <c r="Y68" s="27"/>
      <c r="Z68" s="27"/>
      <c r="AA68" s="27"/>
      <c r="AB68" s="27"/>
      <c r="AC68" s="27"/>
    </row>
    <row r="69" ht="13.5" customHeight="1">
      <c r="A69" s="131"/>
      <c r="B69" s="137">
        <f>IF(Z61="","",MROUND(Z61*0.9,'Start-Options'!B38))</f>
        <v>85</v>
      </c>
      <c r="C69" s="132">
        <f>IF(Z61="","",ROUND((37-36*B69/(Z61+'Start-Options'!F35)),0))</f>
        <v>6</v>
      </c>
      <c r="D69" s="132">
        <f>IF(Z61="","",MROUND(B69*36/(37-C69),5))</f>
        <v>100</v>
      </c>
      <c r="E69" s="157"/>
      <c r="F69" s="134" t="str">
        <f>IF(E69="","",MROUND(36*B69/(37-E69),'Start-Options'!B38))</f>
        <v/>
      </c>
      <c r="G69" s="281">
        <f>Z61</f>
        <v>95</v>
      </c>
      <c r="H69" s="135"/>
      <c r="I69" s="277"/>
      <c r="J69" s="132">
        <f>IF(Z61="","",MROUND(Z61*0.85,'Start-Options'!B38))</f>
        <v>80</v>
      </c>
      <c r="K69" s="157"/>
      <c r="L69" s="134" t="str">
        <f>IF(K69="","",MROUND(36*J69/(37-K69),'Start-Options'!B38))</f>
        <v/>
      </c>
      <c r="M69" s="135"/>
      <c r="N69" s="136"/>
      <c r="O69" s="136">
        <f>IF(Z61="","",MROUND(Z61*0.95,'Start-Options'!B38))</f>
        <v>90</v>
      </c>
      <c r="P69" s="132" t="str">
        <f>IF(L69="","",IF(F69&lt;Z61,ROUND((37-36*O69/(Z61+'Start-Options'!F35)),0),ROUND((37-36*O69/(F69+'Start-Options'!F35)),0)))</f>
        <v/>
      </c>
      <c r="Q69" s="135" t="str">
        <f>IF(P69="","",MROUND(O69*36/(37-P69),'Start-Options'!B38))</f>
        <v/>
      </c>
      <c r="R69" s="161"/>
      <c r="S69" s="139" t="str">
        <f>IF(R69="","",MROUND(36*O69/(37-R69),'Start-Options'!B38))</f>
        <v/>
      </c>
      <c r="T69" s="277">
        <f>Z61</f>
        <v>95</v>
      </c>
      <c r="U69" s="135"/>
      <c r="V69" s="136"/>
      <c r="W69" s="140">
        <f>IF(Z61="","",MROUND(Z61*0.6,'Start-Options'!B38))</f>
        <v>57.5</v>
      </c>
      <c r="X69" s="27"/>
      <c r="Y69" s="27"/>
      <c r="Z69" s="27"/>
      <c r="AA69" s="27"/>
      <c r="AB69" s="27"/>
      <c r="AC69" s="27"/>
    </row>
    <row r="70" ht="12.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row>
    <row r="71" ht="21.0" customHeight="1">
      <c r="A71" s="27"/>
      <c r="B71" s="27"/>
      <c r="C71" s="27"/>
      <c r="D71" s="27"/>
      <c r="E71" s="27"/>
      <c r="F71" s="27"/>
      <c r="G71" s="27"/>
      <c r="H71" s="27"/>
      <c r="I71" s="27"/>
      <c r="J71" s="27"/>
      <c r="K71" s="27"/>
      <c r="L71" s="86" t="s">
        <v>118</v>
      </c>
      <c r="M71" s="65"/>
      <c r="N71" s="65"/>
      <c r="O71" s="160"/>
      <c r="P71" s="27"/>
      <c r="Q71" s="27"/>
      <c r="R71" s="27"/>
      <c r="S71" s="27"/>
      <c r="T71" s="27"/>
      <c r="U71" s="27"/>
      <c r="V71" s="27"/>
      <c r="W71" s="27"/>
      <c r="X71" s="27"/>
      <c r="Y71" s="27"/>
      <c r="Z71" s="27"/>
      <c r="AA71" s="27"/>
      <c r="AB71" s="27"/>
      <c r="AC71" s="27"/>
    </row>
    <row r="72" ht="15.75" customHeight="1">
      <c r="A72" s="88"/>
      <c r="B72" s="91"/>
      <c r="C72" s="89" t="s">
        <v>325</v>
      </c>
      <c r="D72" s="91"/>
      <c r="E72" s="91"/>
      <c r="F72" s="91"/>
      <c r="G72" s="91"/>
      <c r="H72" s="91"/>
      <c r="I72" s="91"/>
      <c r="J72" s="89" t="s">
        <v>326</v>
      </c>
      <c r="K72" s="60"/>
      <c r="L72" s="91"/>
      <c r="M72" s="91"/>
      <c r="N72" s="91"/>
      <c r="O72" s="91"/>
      <c r="P72" s="89" t="s">
        <v>121</v>
      </c>
      <c r="Q72" s="60"/>
      <c r="R72" s="60"/>
      <c r="S72" s="91"/>
      <c r="T72" s="91"/>
      <c r="U72" s="91"/>
      <c r="V72" s="93" t="s">
        <v>122</v>
      </c>
      <c r="W72" s="94"/>
      <c r="X72" s="27"/>
      <c r="Y72" s="27"/>
      <c r="Z72" s="27"/>
      <c r="AA72" s="27"/>
      <c r="AB72" s="27"/>
      <c r="AC72" s="27"/>
    </row>
    <row r="73" ht="32.25" customHeight="1">
      <c r="A73" s="95"/>
      <c r="B73" s="96" t="s">
        <v>26</v>
      </c>
      <c r="C73" s="97" t="s">
        <v>88</v>
      </c>
      <c r="D73" s="97" t="s">
        <v>89</v>
      </c>
      <c r="E73" s="97" t="s">
        <v>90</v>
      </c>
      <c r="F73" s="96" t="s">
        <v>91</v>
      </c>
      <c r="G73" s="276" t="s">
        <v>317</v>
      </c>
      <c r="H73" s="27"/>
      <c r="I73" s="98"/>
      <c r="J73" s="96" t="s">
        <v>26</v>
      </c>
      <c r="K73" s="97" t="s">
        <v>90</v>
      </c>
      <c r="L73" s="96" t="s">
        <v>91</v>
      </c>
      <c r="M73" s="27"/>
      <c r="N73" s="98"/>
      <c r="O73" s="96" t="s">
        <v>26</v>
      </c>
      <c r="P73" s="97" t="s">
        <v>88</v>
      </c>
      <c r="Q73" s="97" t="s">
        <v>89</v>
      </c>
      <c r="R73" s="97" t="s">
        <v>90</v>
      </c>
      <c r="S73" s="96" t="s">
        <v>91</v>
      </c>
      <c r="T73" s="276" t="s">
        <v>318</v>
      </c>
      <c r="U73" s="27"/>
      <c r="V73" s="99"/>
      <c r="W73" s="159" t="s">
        <v>26</v>
      </c>
      <c r="X73" s="27"/>
      <c r="Y73" s="101" t="s">
        <v>123</v>
      </c>
      <c r="Z73" s="71"/>
      <c r="AA73" s="142" t="s">
        <v>104</v>
      </c>
      <c r="AB73" s="143" t="s">
        <v>105</v>
      </c>
      <c r="AC73" s="27"/>
    </row>
    <row r="74" ht="12.75" customHeight="1">
      <c r="A74" s="102"/>
      <c r="B74" s="107">
        <f>IF(Z74="","",MROUND(Z74*0.7,'Start-Options'!B38))</f>
        <v>42.5</v>
      </c>
      <c r="C74" s="103"/>
      <c r="D74" s="103"/>
      <c r="E74" s="103"/>
      <c r="F74" s="104"/>
      <c r="G74" s="278"/>
      <c r="H74" s="105"/>
      <c r="I74" s="37"/>
      <c r="J74" s="103">
        <f>IF(Z74="","",MROUND(Z74*0.65,'Start-Options'!B38))</f>
        <v>40</v>
      </c>
      <c r="K74" s="103"/>
      <c r="L74" s="104"/>
      <c r="M74" s="105"/>
      <c r="N74" s="106"/>
      <c r="O74" s="106">
        <f>IF(Z74="","",MROUND(Z74*0.75,'Start-Options'!B38))</f>
        <v>45</v>
      </c>
      <c r="P74" s="108"/>
      <c r="Q74" s="108"/>
      <c r="R74" s="108"/>
      <c r="S74" s="109"/>
      <c r="T74" s="37"/>
      <c r="U74" s="105"/>
      <c r="V74" s="106"/>
      <c r="W74" s="110">
        <f>IF(Z74="","",MROUND(Z74*0.4,'Start-Options'!B38))</f>
        <v>25</v>
      </c>
      <c r="X74" s="27"/>
      <c r="Y74" s="37" t="str">
        <f>'Start-Options'!B4</f>
        <v>Military</v>
      </c>
      <c r="Z74" s="106">
        <f>IF(Z58="","",IF(ISTEXT(AA58),Z58-AB58,Z58+'Start-Options'!C32))</f>
        <v>60</v>
      </c>
      <c r="AA74" s="36"/>
      <c r="AB74" s="147"/>
      <c r="AC74" s="27"/>
    </row>
    <row r="75" ht="12.75" customHeight="1">
      <c r="A75" s="111" t="str">
        <f>'Start-Options'!B4</f>
        <v>Military</v>
      </c>
      <c r="B75" s="115">
        <f>IF(Z74="","",MROUND(Z74*0.8,'Start-Options'!B38))</f>
        <v>47.5</v>
      </c>
      <c r="C75" s="112"/>
      <c r="D75" s="112"/>
      <c r="E75" s="112"/>
      <c r="F75" s="113"/>
      <c r="G75" s="279"/>
      <c r="H75" s="105"/>
      <c r="I75" s="118" t="str">
        <f>'Start-Options'!B4</f>
        <v>Military</v>
      </c>
      <c r="J75" s="112">
        <f>IF(Z74="","",MROUND(Z74*0.75,'Start-Options'!B38))</f>
        <v>45</v>
      </c>
      <c r="K75" s="112"/>
      <c r="L75" s="113"/>
      <c r="M75" s="105"/>
      <c r="N75" s="114" t="str">
        <f>'Start-Options'!B4</f>
        <v>Military</v>
      </c>
      <c r="O75" s="114">
        <f>IF(Z74="","",MROUND(Z74*0.85,'Start-Options'!B38))</f>
        <v>50</v>
      </c>
      <c r="P75" s="105"/>
      <c r="Q75" s="105"/>
      <c r="R75" s="105"/>
      <c r="S75" s="116"/>
      <c r="T75" s="118"/>
      <c r="U75" s="105"/>
      <c r="V75" s="114" t="str">
        <f>'Start-Options'!B4</f>
        <v>Military</v>
      </c>
      <c r="W75" s="117">
        <f>IF(Z74="","",MROUND(Z74*0.5,'Start-Options'!B38))</f>
        <v>30</v>
      </c>
      <c r="X75" s="27"/>
      <c r="Y75" s="118" t="s">
        <v>31</v>
      </c>
      <c r="Z75" s="114">
        <f>IF(Z59="","",IF(ISTEXT(AA59),Z59-AB59,Z59+'Start-Options'!C33))</f>
        <v>130</v>
      </c>
      <c r="AA75" s="151"/>
      <c r="AB75" s="147"/>
      <c r="AC75" s="27"/>
    </row>
    <row r="76" ht="12.75" customHeight="1">
      <c r="A76" s="119"/>
      <c r="B76" s="124">
        <f>IF(Z74="","",MROUND(Z74*0.9,'Start-Options'!B38))</f>
        <v>55</v>
      </c>
      <c r="C76" s="120">
        <f>IF(Z74="","",ROUND((37-36*B76/(Z74+'Start-Options'!F32)),0))</f>
        <v>5</v>
      </c>
      <c r="D76" s="120">
        <f>IF(Z74="","",MROUND(B76*36/(37-C76),'Start-Options'!B38))</f>
        <v>62.5</v>
      </c>
      <c r="E76" s="156"/>
      <c r="F76" s="122" t="str">
        <f>IF(E76="","",MROUND(36*B76/(37-E76),'Start-Options'!B38))</f>
        <v/>
      </c>
      <c r="G76" s="280">
        <f>Z74</f>
        <v>60</v>
      </c>
      <c r="H76" s="105"/>
      <c r="I76" s="129"/>
      <c r="J76" s="120">
        <f>IF(Z74="","",MROUND(Z74*0.85,'Start-Options'!B38))</f>
        <v>50</v>
      </c>
      <c r="K76" s="156"/>
      <c r="L76" s="122" t="str">
        <f>IF(K76="","",MROUND(36*J76/(37-K76),'Start-Options'!B38))</f>
        <v/>
      </c>
      <c r="M76" s="105"/>
      <c r="N76" s="123"/>
      <c r="O76" s="123">
        <f>IF(Z74="","",MROUND(Z74*0.95,'Start-Options'!B38))</f>
        <v>57.5</v>
      </c>
      <c r="P76" s="120" t="str">
        <f>IF(L76="","",IF(F76&lt;Z74,ROUND((37-36*O76/(Z74+'Start-Options'!F32)),0),ROUND((37-36*O76/(F76+'Start-Options'!F32)),0)))</f>
        <v/>
      </c>
      <c r="Q76" s="125" t="str">
        <f>IF(P76="","",MROUND(O76*36/(37-P76),'Start-Options'!B38))</f>
        <v/>
      </c>
      <c r="R76" s="152"/>
      <c r="S76" s="127" t="str">
        <f>IF(R76="","",MROUND(36*O76/(37-R76),'Start-Options'!B38))</f>
        <v/>
      </c>
      <c r="T76" s="129">
        <f>Z74</f>
        <v>60</v>
      </c>
      <c r="U76" s="105"/>
      <c r="V76" s="123"/>
      <c r="W76" s="128">
        <f>IF(Z74="","",MROUND(Z74*0.6,'Start-Options'!B38))</f>
        <v>35</v>
      </c>
      <c r="X76" s="27"/>
      <c r="Y76" s="118" t="str">
        <f>'Start-Options'!B6</f>
        <v>Bench</v>
      </c>
      <c r="Z76" s="114">
        <f>IF(Z60="","",IF(ISTEXT(AA60),Z60-AB60,Z60+'Start-Options'!C34))</f>
        <v>80</v>
      </c>
      <c r="AA76" s="151"/>
      <c r="AB76" s="147"/>
      <c r="AC76" s="27"/>
    </row>
    <row r="77" ht="12.75" customHeight="1">
      <c r="A77" s="102"/>
      <c r="B77" s="107">
        <f>IF(Z75="","",MROUND(Z75*0.7,'Start-Options'!B38))</f>
        <v>90</v>
      </c>
      <c r="C77" s="103"/>
      <c r="D77" s="103"/>
      <c r="E77" s="103"/>
      <c r="F77" s="104"/>
      <c r="G77" s="279"/>
      <c r="H77" s="105"/>
      <c r="I77" s="37"/>
      <c r="J77" s="103">
        <f>IF(Z75="","",MROUND(Z75*0.65,'Start-Options'!B38))</f>
        <v>85</v>
      </c>
      <c r="K77" s="103"/>
      <c r="L77" s="104"/>
      <c r="M77" s="105"/>
      <c r="N77" s="106"/>
      <c r="O77" s="106">
        <f>IF(Z75="","",MROUND(Z75*0.75,'Start-Options'!B38))</f>
        <v>97.5</v>
      </c>
      <c r="P77" s="108"/>
      <c r="Q77" s="108"/>
      <c r="R77" s="108"/>
      <c r="S77" s="109"/>
      <c r="T77" s="118"/>
      <c r="U77" s="105"/>
      <c r="V77" s="106"/>
      <c r="W77" s="110">
        <f>IF(Z75="","",MROUND(Z75*0.4,'Start-Options'!B38))</f>
        <v>52.5</v>
      </c>
      <c r="X77" s="27"/>
      <c r="Y77" s="129" t="str">
        <f>'Start-Options'!B7</f>
        <v>Squat</v>
      </c>
      <c r="Z77" s="123">
        <f>IF(Z61="","",IF(ISTEXT(AA61),Z61-AB61,Z61+'Start-Options'!C35))</f>
        <v>100</v>
      </c>
      <c r="AA77" s="154"/>
      <c r="AB77" s="155"/>
      <c r="AC77" s="27"/>
    </row>
    <row r="78" ht="12.75" customHeight="1">
      <c r="A78" s="111" t="str">
        <f>'Start-Options'!B5</f>
        <v>Deadlift</v>
      </c>
      <c r="B78" s="115">
        <f>IF(Z75="","",MROUND(Z75*0.8,'Start-Options'!B38))</f>
        <v>105</v>
      </c>
      <c r="C78" s="112"/>
      <c r="D78" s="112"/>
      <c r="E78" s="112"/>
      <c r="F78" s="113"/>
      <c r="G78" s="279"/>
      <c r="H78" s="105"/>
      <c r="I78" s="118" t="str">
        <f>'Start-Options'!B5</f>
        <v>Deadlift</v>
      </c>
      <c r="J78" s="112">
        <f>IF(Z75="","",MROUND(Z75*0.75,'Start-Options'!B38))</f>
        <v>97.5</v>
      </c>
      <c r="K78" s="112"/>
      <c r="L78" s="113"/>
      <c r="M78" s="105"/>
      <c r="N78" s="114" t="str">
        <f>'Start-Options'!B5</f>
        <v>Deadlift</v>
      </c>
      <c r="O78" s="114">
        <f>IF(Z75="","",MROUND(Z75*0.85,'Start-Options'!B38))</f>
        <v>110</v>
      </c>
      <c r="P78" s="105"/>
      <c r="Q78" s="105"/>
      <c r="R78" s="105"/>
      <c r="S78" s="116"/>
      <c r="T78" s="118"/>
      <c r="U78" s="105"/>
      <c r="V78" s="114" t="str">
        <f>'Start-Options'!B5</f>
        <v>Deadlift</v>
      </c>
      <c r="W78" s="117">
        <f>IF(Z75="","",MROUND(Z75*0.5,'Start-Options'!B38))</f>
        <v>65</v>
      </c>
      <c r="X78" s="27"/>
      <c r="Y78" s="27"/>
      <c r="Z78" s="27"/>
      <c r="AA78" s="27"/>
      <c r="AB78" s="27"/>
      <c r="AC78" s="27"/>
    </row>
    <row r="79" ht="12.75" customHeight="1">
      <c r="A79" s="130"/>
      <c r="B79" s="124">
        <f>IF(Z75="","",MROUND(Z75*0.9,'Start-Options'!B38))</f>
        <v>117.5</v>
      </c>
      <c r="C79" s="120">
        <f>IF(Z75="","",ROUND((37-36*B79/(Z75+'Start-Options'!F33)),0))</f>
        <v>5</v>
      </c>
      <c r="D79" s="120">
        <f>IF(Z75="","",MROUND(B79*36/(37-C79),'Start-Options'!B38))</f>
        <v>132.5</v>
      </c>
      <c r="E79" s="156"/>
      <c r="F79" s="122" t="str">
        <f>IF(E79="","",MROUND(36*B79/(37-E79),'Start-Options'!B38))</f>
        <v/>
      </c>
      <c r="G79" s="280">
        <f>Z75</f>
        <v>130</v>
      </c>
      <c r="H79" s="105"/>
      <c r="I79" s="129"/>
      <c r="J79" s="120">
        <f>IF(Z75="","",MROUND(Z75*0.85,'Start-Options'!B38))</f>
        <v>110</v>
      </c>
      <c r="K79" s="156"/>
      <c r="L79" s="122" t="str">
        <f>IF(K79="","",MROUND(36*J79/(37-K79),'Start-Options'!B38))</f>
        <v/>
      </c>
      <c r="M79" s="105"/>
      <c r="N79" s="123"/>
      <c r="O79" s="123">
        <f>IF(Z75="","",MROUND(Z75*0.95,'Start-Options'!B38))</f>
        <v>122.5</v>
      </c>
      <c r="P79" s="120" t="str">
        <f>IF(L79="","",IF(F79&lt;Z75,ROUND((37-36*O79/(Z75+'Start-Options'!F33)),0),ROUND((37-36*O79/(F79+'Start-Options'!F33)),0)))</f>
        <v/>
      </c>
      <c r="Q79" s="125" t="str">
        <f>IF(P79="","",MROUND(O79*36/(37-P79),'Start-Options'!B38))</f>
        <v/>
      </c>
      <c r="R79" s="152"/>
      <c r="S79" s="127" t="str">
        <f>IF(R79="","",MROUND(36*O79/(37-R79),'Start-Options'!B38))</f>
        <v/>
      </c>
      <c r="T79" s="118">
        <f>Z75</f>
        <v>130</v>
      </c>
      <c r="U79" s="105"/>
      <c r="V79" s="123"/>
      <c r="W79" s="128">
        <f>IF(Z75="","",MROUND(Z75*0.6,'Start-Options'!B38))</f>
        <v>77.5</v>
      </c>
      <c r="X79" s="27"/>
      <c r="Y79" s="70" t="s">
        <v>93</v>
      </c>
      <c r="Z79" s="71"/>
      <c r="AA79" s="27"/>
      <c r="AB79" s="27"/>
      <c r="AC79" s="27"/>
    </row>
    <row r="80" ht="12.75" customHeight="1">
      <c r="A80" s="102"/>
      <c r="B80" s="107">
        <f>IF(Z76="","",MROUND(Z76*0.7,'Start-Options'!B38))</f>
        <v>55</v>
      </c>
      <c r="C80" s="103"/>
      <c r="D80" s="103"/>
      <c r="E80" s="103"/>
      <c r="F80" s="104"/>
      <c r="G80" s="279"/>
      <c r="H80" s="105"/>
      <c r="I80" s="37"/>
      <c r="J80" s="103">
        <f>IF(Z76="","",MROUND(Z76*0.65,'Start-Options'!B38))</f>
        <v>52.5</v>
      </c>
      <c r="K80" s="103"/>
      <c r="L80" s="104"/>
      <c r="M80" s="105"/>
      <c r="N80" s="106"/>
      <c r="O80" s="106">
        <f>IF(Z76="","",MROUND(Z76*0.75,'Start-Options'!B38))</f>
        <v>60</v>
      </c>
      <c r="P80" s="108"/>
      <c r="Q80" s="108"/>
      <c r="R80" s="108"/>
      <c r="S80" s="109"/>
      <c r="T80" s="37"/>
      <c r="U80" s="105"/>
      <c r="V80" s="106"/>
      <c r="W80" s="110">
        <f>IF(Z76="","",MROUND(Z76*0.4,'Start-Options'!B38))</f>
        <v>32.5</v>
      </c>
      <c r="X80" s="27"/>
      <c r="Y80" s="25" t="s">
        <v>94</v>
      </c>
      <c r="Z80" s="162"/>
      <c r="AA80" s="27"/>
      <c r="AB80" s="27"/>
      <c r="AC80" s="27"/>
    </row>
    <row r="81" ht="12.75" customHeight="1">
      <c r="A81" s="111" t="str">
        <f>'Start-Options'!B6</f>
        <v>Bench</v>
      </c>
      <c r="B81" s="115">
        <f>IF(Z76="","",MROUND(Z76*0.8,'Start-Options'!B38))</f>
        <v>65</v>
      </c>
      <c r="C81" s="112"/>
      <c r="D81" s="112"/>
      <c r="E81" s="112"/>
      <c r="F81" s="113"/>
      <c r="G81" s="279"/>
      <c r="H81" s="105"/>
      <c r="I81" s="118" t="str">
        <f>'Start-Options'!B6</f>
        <v>Bench</v>
      </c>
      <c r="J81" s="112">
        <f>IF(Z76="","",MROUND(Z76*0.75,'Start-Options'!B38))</f>
        <v>60</v>
      </c>
      <c r="K81" s="112"/>
      <c r="L81" s="113"/>
      <c r="M81" s="105"/>
      <c r="N81" s="114" t="str">
        <f>'Start-Options'!B6</f>
        <v>Bench</v>
      </c>
      <c r="O81" s="114">
        <f>IF(Z76="","",MROUND(Z76*0.85,'Start-Options'!B38))</f>
        <v>67.5</v>
      </c>
      <c r="P81" s="105"/>
      <c r="Q81" s="105"/>
      <c r="R81" s="105"/>
      <c r="S81" s="116"/>
      <c r="T81" s="118"/>
      <c r="U81" s="105"/>
      <c r="V81" s="114" t="str">
        <f>'Start-Options'!B6</f>
        <v>Bench</v>
      </c>
      <c r="W81" s="117">
        <f>IF(Z76="","",MROUND(Z76*0.5,'Start-Options'!B38))</f>
        <v>40</v>
      </c>
      <c r="X81" s="27"/>
      <c r="Y81" s="77" t="s">
        <v>95</v>
      </c>
      <c r="Z81" s="78" t="str">
        <f>IF(Z80="","",MROUND(Z80*0.4,'Start-Options'!$B$38))</f>
        <v/>
      </c>
      <c r="AA81" s="27"/>
      <c r="AB81" s="27"/>
      <c r="AC81" s="27"/>
    </row>
    <row r="82" ht="12.75" customHeight="1">
      <c r="A82" s="119"/>
      <c r="B82" s="124">
        <f>IF(Z76="","",MROUND(Z76*0.9,'Start-Options'!B38))</f>
        <v>72.5</v>
      </c>
      <c r="C82" s="120">
        <f>IF(Z76="","",ROUND((37-36*B82/(Z76+'Start-Options'!F34)),0))</f>
        <v>5</v>
      </c>
      <c r="D82" s="120">
        <f>IF(Z76="","",MROUND(B82*36/(37-C82),'Start-Options'!B38))</f>
        <v>82.5</v>
      </c>
      <c r="E82" s="156"/>
      <c r="F82" s="122" t="str">
        <f>IF(E82="","",MROUND(36*B82/(37-E82),'Start-Options'!B38))</f>
        <v/>
      </c>
      <c r="G82" s="280">
        <f>Z76</f>
        <v>80</v>
      </c>
      <c r="H82" s="105"/>
      <c r="I82" s="129"/>
      <c r="J82" s="120">
        <f>IF(Z76="","",MROUND(Z76*0.85,'Start-Options'!B38))</f>
        <v>67.5</v>
      </c>
      <c r="K82" s="156"/>
      <c r="L82" s="122" t="str">
        <f>IF(K82="","",MROUND(36*J82/(37-K82),'Start-Options'!B38))</f>
        <v/>
      </c>
      <c r="M82" s="105"/>
      <c r="N82" s="123"/>
      <c r="O82" s="123">
        <f>IF(Z76="","",MROUND(Z76*0.95,'Start-Options'!B38))</f>
        <v>75</v>
      </c>
      <c r="P82" s="120" t="str">
        <f>IF(L82="","",IF(F82&lt;Z76,ROUND((37-36*O82/(Z76+'Start-Options'!F34)),0),ROUND((37-36*O82/(F82+'Start-Options'!F34)),0)))</f>
        <v/>
      </c>
      <c r="Q82" s="125" t="str">
        <f>IF(P82="","",MROUND(O82*36/(37-P82),'Start-Options'!B38))</f>
        <v/>
      </c>
      <c r="R82" s="152"/>
      <c r="S82" s="127" t="str">
        <f>IF(R82="","",MROUND(36*O82/(37-R82),'Start-Options'!B38))</f>
        <v/>
      </c>
      <c r="T82" s="129">
        <f>Z76</f>
        <v>80</v>
      </c>
      <c r="U82" s="105"/>
      <c r="V82" s="123"/>
      <c r="W82" s="128">
        <f>IF(Z76="","",MROUND(Z76*0.6,'Start-Options'!B38))</f>
        <v>47.5</v>
      </c>
      <c r="X82" s="27"/>
      <c r="Y82" s="77" t="s">
        <v>96</v>
      </c>
      <c r="Z82" s="78" t="str">
        <f>IF(Z80="","",MROUND(Z80*0.5,'Start-Options'!$B$38))</f>
        <v/>
      </c>
      <c r="AA82" s="27"/>
      <c r="AB82" s="27"/>
      <c r="AC82" s="27"/>
    </row>
    <row r="83" ht="12.75" customHeight="1">
      <c r="A83" s="111"/>
      <c r="B83" s="107">
        <f>IF(Z77="","",MROUND(Z77*0.7,'Start-Options'!B38))</f>
        <v>70</v>
      </c>
      <c r="C83" s="103"/>
      <c r="D83" s="103"/>
      <c r="E83" s="103"/>
      <c r="F83" s="104"/>
      <c r="G83" s="279"/>
      <c r="H83" s="105"/>
      <c r="I83" s="37"/>
      <c r="J83" s="103">
        <f>IF(Z77="","",MROUND(Z77*0.65,'Start-Options'!B38))</f>
        <v>65</v>
      </c>
      <c r="K83" s="103"/>
      <c r="L83" s="104"/>
      <c r="M83" s="105"/>
      <c r="N83" s="106"/>
      <c r="O83" s="106">
        <f>IF(Z77="","",MROUND(Z77*0.75,'Start-Options'!B38))</f>
        <v>75</v>
      </c>
      <c r="P83" s="108"/>
      <c r="Q83" s="108"/>
      <c r="R83" s="108"/>
      <c r="S83" s="109"/>
      <c r="T83" s="118"/>
      <c r="U83" s="105"/>
      <c r="V83" s="106"/>
      <c r="W83" s="110">
        <f>IF(Z77="","",MROUND(Z77*0.4,'Start-Options'!B38))</f>
        <v>40</v>
      </c>
      <c r="X83" s="27"/>
      <c r="Y83" s="82" t="s">
        <v>97</v>
      </c>
      <c r="Z83" s="83" t="str">
        <f>IF(Z80="","",MROUND(Z80*0.6,'Start-Options'!$B$38))</f>
        <v/>
      </c>
      <c r="AA83" s="27"/>
      <c r="AB83" s="27"/>
      <c r="AC83" s="27"/>
    </row>
    <row r="84" ht="12.75" customHeight="1">
      <c r="A84" s="111" t="str">
        <f>'Start-Options'!B7</f>
        <v>Squat</v>
      </c>
      <c r="B84" s="115">
        <f>IF(Z77="","",MROUND(Z77*0.8,'Start-Options'!B38))</f>
        <v>80</v>
      </c>
      <c r="C84" s="112"/>
      <c r="D84" s="112"/>
      <c r="E84" s="112"/>
      <c r="F84" s="113"/>
      <c r="G84" s="279"/>
      <c r="H84" s="105"/>
      <c r="I84" s="118" t="str">
        <f>'Start-Options'!B7</f>
        <v>Squat</v>
      </c>
      <c r="J84" s="112">
        <f>IF(Z77="","",MROUND(Z77*0.75,'Start-Options'!B38))</f>
        <v>75</v>
      </c>
      <c r="K84" s="112"/>
      <c r="L84" s="113"/>
      <c r="M84" s="105"/>
      <c r="N84" s="114" t="str">
        <f>'Start-Options'!B7</f>
        <v>Squat</v>
      </c>
      <c r="O84" s="114">
        <f>IF(Z77="","",MROUND(Z77*0.85,'Start-Options'!B38))</f>
        <v>85</v>
      </c>
      <c r="P84" s="105"/>
      <c r="Q84" s="105"/>
      <c r="R84" s="105"/>
      <c r="S84" s="116"/>
      <c r="T84" s="118"/>
      <c r="U84" s="105"/>
      <c r="V84" s="114" t="str">
        <f>'Start-Options'!B7</f>
        <v>Squat</v>
      </c>
      <c r="W84" s="117">
        <f>IF(Z77="","",MROUND(Z77*0.5,'Start-Options'!B38))</f>
        <v>50</v>
      </c>
      <c r="X84" s="27"/>
      <c r="Y84" s="27"/>
      <c r="Z84" s="27"/>
      <c r="AA84" s="27"/>
      <c r="AB84" s="27"/>
      <c r="AC84" s="27"/>
    </row>
    <row r="85" ht="13.5" customHeight="1">
      <c r="A85" s="131"/>
      <c r="B85" s="137">
        <f>IF(Z77="","",MROUND(Z77*0.9,'Start-Options'!B38))</f>
        <v>90</v>
      </c>
      <c r="C85" s="132">
        <f>IF(Z77="","",ROUND((37-36*B85/(Z77+'Start-Options'!F35)),0))</f>
        <v>5</v>
      </c>
      <c r="D85" s="132">
        <f>IF(Z77="","",MROUND(B85*36/(37-C85),'Start-Options'!B38))</f>
        <v>102.5</v>
      </c>
      <c r="E85" s="157"/>
      <c r="F85" s="134" t="str">
        <f>IF(E85="","",MROUND(36*B85/(37-E85),'Start-Options'!B38))</f>
        <v/>
      </c>
      <c r="G85" s="281">
        <f>Z77</f>
        <v>100</v>
      </c>
      <c r="H85" s="135"/>
      <c r="I85" s="277"/>
      <c r="J85" s="132">
        <f>IF(Z77="","",MROUND(Z77*0.85,'Start-Options'!B38))</f>
        <v>85</v>
      </c>
      <c r="K85" s="157"/>
      <c r="L85" s="134" t="str">
        <f>IF(K85="","",MROUND(36*J85/(37-K85),'Start-Options'!B38))</f>
        <v/>
      </c>
      <c r="M85" s="135"/>
      <c r="N85" s="136"/>
      <c r="O85" s="136">
        <f>IF(Z77="","",MROUND(Z77*0.95,'Start-Options'!B38))</f>
        <v>95</v>
      </c>
      <c r="P85" s="132" t="str">
        <f>IF(L85="","",IF(F85&lt;Z77,ROUND((37-36*O85/(Z77+'Start-Options'!F35)),0),ROUND((37-36*O85/(F85+'Start-Options'!F35)),0)))</f>
        <v/>
      </c>
      <c r="Q85" s="135" t="str">
        <f>IF(P85="","",MROUND(O85*36/(37-P85),'Start-Options'!B38))</f>
        <v/>
      </c>
      <c r="R85" s="161"/>
      <c r="S85" s="139" t="str">
        <f>IF(R85="","",MROUND(36*O85/(37-R85),'Start-Options'!B38))</f>
        <v/>
      </c>
      <c r="T85" s="277">
        <f>Z77</f>
        <v>100</v>
      </c>
      <c r="U85" s="135"/>
      <c r="V85" s="136"/>
      <c r="W85" s="140">
        <f>IF(Z77="","",MROUND(Z77*0.6,'Start-Options'!B38))</f>
        <v>60</v>
      </c>
      <c r="X85" s="27"/>
      <c r="Y85" s="27"/>
      <c r="Z85" s="27"/>
      <c r="AA85" s="27"/>
      <c r="AB85" s="27"/>
      <c r="AC85" s="27"/>
    </row>
    <row r="86" ht="12.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row>
    <row r="87" ht="21.0" customHeight="1">
      <c r="A87" s="27"/>
      <c r="B87" s="27"/>
      <c r="C87" s="27"/>
      <c r="D87" s="27"/>
      <c r="E87" s="27"/>
      <c r="F87" s="27"/>
      <c r="G87" s="27"/>
      <c r="H87" s="27"/>
      <c r="I87" s="27"/>
      <c r="J87" s="27"/>
      <c r="K87" s="27"/>
      <c r="L87" s="86" t="s">
        <v>124</v>
      </c>
      <c r="M87" s="65"/>
      <c r="N87" s="65"/>
      <c r="O87" s="160"/>
      <c r="P87" s="27"/>
      <c r="Q87" s="27"/>
      <c r="R87" s="27"/>
      <c r="S87" s="27"/>
      <c r="T87" s="27"/>
      <c r="U87" s="27"/>
      <c r="V87" s="27"/>
      <c r="W87" s="27"/>
      <c r="X87" s="27"/>
      <c r="Y87" s="27"/>
      <c r="Z87" s="27"/>
      <c r="AA87" s="27"/>
      <c r="AB87" s="27"/>
      <c r="AC87" s="27"/>
    </row>
    <row r="88" ht="15.75" customHeight="1">
      <c r="A88" s="88"/>
      <c r="B88" s="91"/>
      <c r="C88" s="89" t="s">
        <v>327</v>
      </c>
      <c r="D88" s="91"/>
      <c r="E88" s="91"/>
      <c r="F88" s="91"/>
      <c r="G88" s="91"/>
      <c r="H88" s="91"/>
      <c r="I88" s="91"/>
      <c r="J88" s="89" t="s">
        <v>328</v>
      </c>
      <c r="K88" s="60"/>
      <c r="L88" s="91"/>
      <c r="M88" s="91"/>
      <c r="N88" s="91"/>
      <c r="O88" s="91"/>
      <c r="P88" s="89" t="s">
        <v>127</v>
      </c>
      <c r="Q88" s="60"/>
      <c r="R88" s="60"/>
      <c r="S88" s="91"/>
      <c r="T88" s="91"/>
      <c r="U88" s="91"/>
      <c r="V88" s="93" t="s">
        <v>128</v>
      </c>
      <c r="W88" s="94"/>
      <c r="X88" s="27"/>
      <c r="Y88" s="27"/>
      <c r="Z88" s="27"/>
      <c r="AA88" s="27"/>
      <c r="AB88" s="27"/>
      <c r="AC88" s="27"/>
    </row>
    <row r="89" ht="32.25" customHeight="1">
      <c r="A89" s="95"/>
      <c r="B89" s="96" t="s">
        <v>26</v>
      </c>
      <c r="C89" s="97" t="s">
        <v>88</v>
      </c>
      <c r="D89" s="97" t="s">
        <v>89</v>
      </c>
      <c r="E89" s="97" t="s">
        <v>90</v>
      </c>
      <c r="F89" s="96" t="s">
        <v>91</v>
      </c>
      <c r="G89" s="276" t="s">
        <v>317</v>
      </c>
      <c r="H89" s="27"/>
      <c r="I89" s="98"/>
      <c r="J89" s="96" t="s">
        <v>26</v>
      </c>
      <c r="K89" s="97" t="s">
        <v>90</v>
      </c>
      <c r="L89" s="96" t="s">
        <v>91</v>
      </c>
      <c r="M89" s="27"/>
      <c r="N89" s="98"/>
      <c r="O89" s="96" t="s">
        <v>26</v>
      </c>
      <c r="P89" s="97" t="s">
        <v>88</v>
      </c>
      <c r="Q89" s="97" t="s">
        <v>89</v>
      </c>
      <c r="R89" s="97" t="s">
        <v>90</v>
      </c>
      <c r="S89" s="96" t="s">
        <v>91</v>
      </c>
      <c r="T89" s="276" t="s">
        <v>318</v>
      </c>
      <c r="U89" s="27"/>
      <c r="V89" s="99"/>
      <c r="W89" s="159" t="s">
        <v>26</v>
      </c>
      <c r="X89" s="27"/>
      <c r="Y89" s="101" t="s">
        <v>129</v>
      </c>
      <c r="Z89" s="71"/>
      <c r="AA89" s="142" t="s">
        <v>104</v>
      </c>
      <c r="AB89" s="143" t="s">
        <v>105</v>
      </c>
      <c r="AC89" s="27"/>
    </row>
    <row r="90" ht="12.75" customHeight="1">
      <c r="A90" s="102"/>
      <c r="B90" s="107">
        <f>IF(Z90="","",MROUND(Z90*0.7,'Start-Options'!B38))</f>
        <v>45</v>
      </c>
      <c r="C90" s="103"/>
      <c r="D90" s="103"/>
      <c r="E90" s="103"/>
      <c r="F90" s="104"/>
      <c r="G90" s="278"/>
      <c r="H90" s="105"/>
      <c r="I90" s="37"/>
      <c r="J90" s="103">
        <f>IF(Z90="","",MROUND(Z90*0.65,'Start-Options'!B38))</f>
        <v>40</v>
      </c>
      <c r="K90" s="103"/>
      <c r="L90" s="104"/>
      <c r="M90" s="105"/>
      <c r="N90" s="106"/>
      <c r="O90" s="106">
        <f>IF(Z90="","",MROUND(Z90*0.75,'Start-Options'!B38))</f>
        <v>47.5</v>
      </c>
      <c r="P90" s="108"/>
      <c r="Q90" s="108"/>
      <c r="R90" s="108"/>
      <c r="S90" s="109"/>
      <c r="T90" s="37"/>
      <c r="U90" s="105"/>
      <c r="V90" s="106"/>
      <c r="W90" s="110">
        <f>IF(Z90="","",MROUND(Z90*0.4,'Start-Options'!B38))</f>
        <v>25</v>
      </c>
      <c r="X90" s="27"/>
      <c r="Y90" s="37" t="str">
        <f>'Start-Options'!B4</f>
        <v>Military</v>
      </c>
      <c r="Z90" s="106">
        <f>IF(Z74="","",IF(ISTEXT(AA74),Z74-AB74,Z74+'Start-Options'!C32))</f>
        <v>62.5</v>
      </c>
      <c r="AA90" s="36"/>
      <c r="AB90" s="147"/>
      <c r="AC90" s="27"/>
    </row>
    <row r="91" ht="12.75" customHeight="1">
      <c r="A91" s="111" t="str">
        <f>'Start-Options'!B4</f>
        <v>Military</v>
      </c>
      <c r="B91" s="115">
        <f>IF(Z90="","",MROUND(Z90*0.8,'Start-Options'!B38))</f>
        <v>50</v>
      </c>
      <c r="C91" s="112"/>
      <c r="D91" s="112"/>
      <c r="E91" s="112"/>
      <c r="F91" s="113"/>
      <c r="G91" s="279"/>
      <c r="H91" s="105"/>
      <c r="I91" s="118" t="str">
        <f>'Start-Options'!B4</f>
        <v>Military</v>
      </c>
      <c r="J91" s="112">
        <f>IF(Z90="","",MROUND(Z90*0.75,'Start-Options'!B38))</f>
        <v>47.5</v>
      </c>
      <c r="K91" s="112"/>
      <c r="L91" s="113"/>
      <c r="M91" s="105"/>
      <c r="N91" s="114" t="str">
        <f>'Start-Options'!B4</f>
        <v>Military</v>
      </c>
      <c r="O91" s="114">
        <f>IF(Z90="","",MROUND(Z90*0.85,'Start-Options'!B38))</f>
        <v>52.5</v>
      </c>
      <c r="P91" s="105"/>
      <c r="Q91" s="105"/>
      <c r="R91" s="105"/>
      <c r="S91" s="116"/>
      <c r="T91" s="118"/>
      <c r="U91" s="105"/>
      <c r="V91" s="114" t="str">
        <f>'Start-Options'!B4</f>
        <v>Military</v>
      </c>
      <c r="W91" s="117">
        <f>IF(Z90="","",MROUND(Z90*0.5,'Start-Options'!B38))</f>
        <v>32.5</v>
      </c>
      <c r="X91" s="27"/>
      <c r="Y91" s="118" t="str">
        <f>'Start-Options'!B5</f>
        <v>Deadlift</v>
      </c>
      <c r="Z91" s="114">
        <f>IF(Z75="","",IF(ISTEXT(AA75),Z75-AB75,Z75+'Start-Options'!C33))</f>
        <v>135</v>
      </c>
      <c r="AA91" s="151"/>
      <c r="AB91" s="147"/>
      <c r="AC91" s="27"/>
    </row>
    <row r="92" ht="12.75" customHeight="1">
      <c r="A92" s="119"/>
      <c r="B92" s="124">
        <f>IF(Z90="","",MROUND(Z90*0.9,'Start-Options'!B38))</f>
        <v>57.5</v>
      </c>
      <c r="C92" s="120">
        <f>IF(Z90="","",ROUND((37-36*B92/(Z90+'Start-Options'!F32)),0))</f>
        <v>5</v>
      </c>
      <c r="D92" s="120">
        <f>IF(Z90="","",MROUND(B92*36/(37-C92),'Start-Options'!B38))</f>
        <v>65</v>
      </c>
      <c r="E92" s="156"/>
      <c r="F92" s="122" t="str">
        <f>IF(E92="","",MROUND(36*B92/(37-E92),'Start-Options'!B38))</f>
        <v/>
      </c>
      <c r="G92" s="280">
        <f>Z90</f>
        <v>62.5</v>
      </c>
      <c r="H92" s="105"/>
      <c r="I92" s="129"/>
      <c r="J92" s="120">
        <f>IF(Z90="","",MROUND(Z90*0.85,'Start-Options'!B38))</f>
        <v>52.5</v>
      </c>
      <c r="K92" s="156"/>
      <c r="L92" s="122" t="str">
        <f>IF(K92="","",MROUND(36*J92/(37-K92),'Start-Options'!B38))</f>
        <v/>
      </c>
      <c r="M92" s="105"/>
      <c r="N92" s="123"/>
      <c r="O92" s="123">
        <f>IF(Z90="","",MROUND(Z90*0.95,'Start-Options'!B38))</f>
        <v>60</v>
      </c>
      <c r="P92" s="120" t="str">
        <f>IF(L92="","",IF(F92&lt;Z90,ROUND((37-36*O92/(Z90+'Start-Options'!F32)),0),ROUND((37-36*O92/(F92+'Start-Options'!F32)),0)))</f>
        <v/>
      </c>
      <c r="Q92" s="125" t="str">
        <f>IF(P92="","",MROUND(O92*36/(37-P92),'Start-Options'!B38))</f>
        <v/>
      </c>
      <c r="R92" s="152"/>
      <c r="S92" s="127" t="str">
        <f>IF(R92="","",MROUND(36*O92/(37-R92),'Start-Options'!B38))</f>
        <v/>
      </c>
      <c r="T92" s="118">
        <f>Z90</f>
        <v>62.5</v>
      </c>
      <c r="U92" s="105"/>
      <c r="V92" s="123"/>
      <c r="W92" s="128">
        <f>IF(Z90="","",MROUND(Z90*0.6,'Start-Options'!B38))</f>
        <v>37.5</v>
      </c>
      <c r="X92" s="27"/>
      <c r="Y92" s="118" t="str">
        <f>'Start-Options'!B6</f>
        <v>Bench</v>
      </c>
      <c r="Z92" s="114">
        <f>IF(Z76="","",IF(ISTEXT(AA76),Z76-AB76,Z76+'Start-Options'!C34))</f>
        <v>82.5</v>
      </c>
      <c r="AA92" s="151"/>
      <c r="AB92" s="147"/>
      <c r="AC92" s="27"/>
    </row>
    <row r="93" ht="12.75" customHeight="1">
      <c r="A93" s="102"/>
      <c r="B93" s="107">
        <f>IF(Z91="","",MROUND(Z91*0.7,'Start-Options'!B38))</f>
        <v>95</v>
      </c>
      <c r="C93" s="103"/>
      <c r="D93" s="103"/>
      <c r="E93" s="103"/>
      <c r="F93" s="104"/>
      <c r="G93" s="279"/>
      <c r="H93" s="105"/>
      <c r="I93" s="37"/>
      <c r="J93" s="103">
        <f>IF(Z91="","",MROUND(Z91*0.65,'Start-Options'!B38))</f>
        <v>87.5</v>
      </c>
      <c r="K93" s="103"/>
      <c r="L93" s="104"/>
      <c r="M93" s="105"/>
      <c r="N93" s="106"/>
      <c r="O93" s="106">
        <f>IF(Z91="","",MROUND(Z91*0.75,'Start-Options'!B38))</f>
        <v>102.5</v>
      </c>
      <c r="P93" s="108"/>
      <c r="Q93" s="108"/>
      <c r="R93" s="108"/>
      <c r="S93" s="109"/>
      <c r="T93" s="37"/>
      <c r="U93" s="105"/>
      <c r="V93" s="106"/>
      <c r="W93" s="110">
        <f>IF(Z91="","",MROUND(Z91*0.4,'Start-Options'!B38))</f>
        <v>55</v>
      </c>
      <c r="X93" s="27"/>
      <c r="Y93" s="129" t="str">
        <f>'Start-Options'!B7</f>
        <v>Squat</v>
      </c>
      <c r="Z93" s="123">
        <f>IF(Z77="","",IF(ISTEXT(AA77),Z77-AB77,Z77+'Start-Options'!C35))</f>
        <v>105</v>
      </c>
      <c r="AA93" s="154"/>
      <c r="AB93" s="155"/>
      <c r="AC93" s="27"/>
    </row>
    <row r="94" ht="12.75" customHeight="1">
      <c r="A94" s="111" t="str">
        <f>'Start-Options'!B5</f>
        <v>Deadlift</v>
      </c>
      <c r="B94" s="115">
        <f>IF(Z91="","",MROUND(Z91*0.8,'Start-Options'!B38))</f>
        <v>107.5</v>
      </c>
      <c r="C94" s="112"/>
      <c r="D94" s="112"/>
      <c r="E94" s="112"/>
      <c r="F94" s="113"/>
      <c r="G94" s="279"/>
      <c r="H94" s="105"/>
      <c r="I94" s="118" t="str">
        <f>'Start-Options'!B5</f>
        <v>Deadlift</v>
      </c>
      <c r="J94" s="112">
        <f>IF(Z91="","",MROUND(Z91*0.75,'Start-Options'!B38))</f>
        <v>102.5</v>
      </c>
      <c r="K94" s="112"/>
      <c r="L94" s="113"/>
      <c r="M94" s="105"/>
      <c r="N94" s="114" t="str">
        <f>'Start-Options'!B5</f>
        <v>Deadlift</v>
      </c>
      <c r="O94" s="114">
        <f>IF(Z91="","",MROUND(Z91*0.85,'Start-Options'!B38))</f>
        <v>115</v>
      </c>
      <c r="P94" s="105"/>
      <c r="Q94" s="105"/>
      <c r="R94" s="105"/>
      <c r="S94" s="116"/>
      <c r="T94" s="118"/>
      <c r="U94" s="105"/>
      <c r="V94" s="114" t="str">
        <f>'Start-Options'!B5</f>
        <v>Deadlift</v>
      </c>
      <c r="W94" s="117">
        <f>IF(Z91="","",MROUND(Z91*0.5,'Start-Options'!B38))</f>
        <v>67.5</v>
      </c>
      <c r="X94" s="27"/>
      <c r="Y94" s="27"/>
      <c r="Z94" s="27"/>
      <c r="AA94" s="27"/>
      <c r="AB94" s="27"/>
      <c r="AC94" s="27"/>
    </row>
    <row r="95" ht="12.75" customHeight="1">
      <c r="A95" s="130"/>
      <c r="B95" s="124">
        <f>IF(Z91="","",MROUND(Z91*0.9,'Start-Options'!B38))</f>
        <v>122.5</v>
      </c>
      <c r="C95" s="120">
        <f>IF(Z91="","",ROUND((37-36*B95/(Z91+'Start-Options'!F33)),0))</f>
        <v>5</v>
      </c>
      <c r="D95" s="120">
        <f>IF(Z91="","",MROUND(B95*36/(37-C95),'Start-Options'!B38))</f>
        <v>137.5</v>
      </c>
      <c r="E95" s="156"/>
      <c r="F95" s="122" t="str">
        <f>IF(E95="","",MROUND(36*B95/(37-E95),'Start-Options'!B38))</f>
        <v/>
      </c>
      <c r="G95" s="280">
        <f>Z91</f>
        <v>135</v>
      </c>
      <c r="H95" s="105"/>
      <c r="I95" s="129"/>
      <c r="J95" s="120">
        <f>IF(Z91="","",MROUND(Z91*0.85,'Start-Options'!B38))</f>
        <v>115</v>
      </c>
      <c r="K95" s="156"/>
      <c r="L95" s="122" t="str">
        <f>IF(K95="","",MROUND(36*J95/(37-K95),'Start-Options'!B38))</f>
        <v/>
      </c>
      <c r="M95" s="105"/>
      <c r="N95" s="123"/>
      <c r="O95" s="123">
        <f>IF(Z91="","",MROUND(Z91*0.95,'Start-Options'!B38))</f>
        <v>127.5</v>
      </c>
      <c r="P95" s="120" t="str">
        <f>IF(L95="","",IF(F95&lt;Z91,ROUND((37-36*O95/(Z91+'Start-Options'!F33)),0),ROUND((37-36*O95/(F95+'Start-Options'!F33)),0)))</f>
        <v/>
      </c>
      <c r="Q95" s="125" t="str">
        <f>IF(P95="","",MROUND(O95*36/(37-P95),'Start-Options'!B38))</f>
        <v/>
      </c>
      <c r="R95" s="152"/>
      <c r="S95" s="127" t="str">
        <f>IF(R95="","",MROUND(36*O95/(37-R95),'Start-Options'!B38))</f>
        <v/>
      </c>
      <c r="T95" s="129">
        <f>Z91</f>
        <v>135</v>
      </c>
      <c r="U95" s="105"/>
      <c r="V95" s="123"/>
      <c r="W95" s="128">
        <f>IF(Z91="","",MROUND(Z91*0.6,'Start-Options'!B38))</f>
        <v>80</v>
      </c>
      <c r="X95" s="27"/>
      <c r="Y95" s="70" t="s">
        <v>93</v>
      </c>
      <c r="Z95" s="71"/>
      <c r="AA95" s="27"/>
      <c r="AB95" s="27"/>
      <c r="AC95" s="27"/>
    </row>
    <row r="96" ht="12.75" customHeight="1">
      <c r="A96" s="102"/>
      <c r="B96" s="107">
        <f>IF(Z92="","",MROUND(Z92*0.7,'Start-Options'!B38))</f>
        <v>57.5</v>
      </c>
      <c r="C96" s="103"/>
      <c r="D96" s="103"/>
      <c r="E96" s="103"/>
      <c r="F96" s="104"/>
      <c r="G96" s="279"/>
      <c r="H96" s="105"/>
      <c r="I96" s="37"/>
      <c r="J96" s="103">
        <f>IF(Z92="","",MROUND(Z92*0.65,'Start-Options'!B38))</f>
        <v>52.5</v>
      </c>
      <c r="K96" s="103"/>
      <c r="L96" s="104"/>
      <c r="M96" s="105"/>
      <c r="N96" s="106"/>
      <c r="O96" s="106">
        <f>IF(Z92="","",MROUND(Z92*0.75,'Start-Options'!B38))</f>
        <v>62.5</v>
      </c>
      <c r="P96" s="108"/>
      <c r="Q96" s="108"/>
      <c r="R96" s="108"/>
      <c r="S96" s="109"/>
      <c r="T96" s="118"/>
      <c r="U96" s="105"/>
      <c r="V96" s="106"/>
      <c r="W96" s="110">
        <f>IF(Z92="","",MROUND(Z92*0.4,'Start-Options'!B38))</f>
        <v>32.5</v>
      </c>
      <c r="X96" s="27"/>
      <c r="Y96" s="25" t="s">
        <v>94</v>
      </c>
      <c r="Z96" s="162"/>
      <c r="AA96" s="27"/>
      <c r="AB96" s="27"/>
      <c r="AC96" s="27"/>
    </row>
    <row r="97" ht="12.75" customHeight="1">
      <c r="A97" s="111" t="str">
        <f>'Start-Options'!B6</f>
        <v>Bench</v>
      </c>
      <c r="B97" s="115">
        <f>IF(Z92="","",MROUND(Z92*0.8,'Start-Options'!B38))</f>
        <v>65</v>
      </c>
      <c r="C97" s="112"/>
      <c r="D97" s="112"/>
      <c r="E97" s="112"/>
      <c r="F97" s="113"/>
      <c r="G97" s="279"/>
      <c r="H97" s="105"/>
      <c r="I97" s="118" t="str">
        <f>'Start-Options'!B6</f>
        <v>Bench</v>
      </c>
      <c r="J97" s="112">
        <f>IF(Z92="","",MROUND(Z92*0.75,'Start-Options'!B38))</f>
        <v>62.5</v>
      </c>
      <c r="K97" s="112"/>
      <c r="L97" s="113"/>
      <c r="M97" s="105"/>
      <c r="N97" s="114" t="str">
        <f>'Start-Options'!B6</f>
        <v>Bench</v>
      </c>
      <c r="O97" s="114">
        <f>IF(Z92="","",MROUND(Z92*0.85,'Start-Options'!B38))</f>
        <v>70</v>
      </c>
      <c r="P97" s="105"/>
      <c r="Q97" s="105"/>
      <c r="R97" s="105"/>
      <c r="S97" s="116"/>
      <c r="T97" s="118"/>
      <c r="U97" s="105"/>
      <c r="V97" s="114" t="str">
        <f>'Start-Options'!B6</f>
        <v>Bench</v>
      </c>
      <c r="W97" s="117">
        <f>IF(Z92="","",MROUND(Z92*0.5,'Start-Options'!B38))</f>
        <v>42.5</v>
      </c>
      <c r="X97" s="27"/>
      <c r="Y97" s="77" t="s">
        <v>95</v>
      </c>
      <c r="Z97" s="78" t="str">
        <f>IF(Z96="","",MROUND(Z96*0.4,'Start-Options'!$B$38))</f>
        <v/>
      </c>
      <c r="AA97" s="27"/>
      <c r="AB97" s="27"/>
      <c r="AC97" s="27"/>
    </row>
    <row r="98" ht="12.75" customHeight="1">
      <c r="A98" s="119"/>
      <c r="B98" s="124">
        <f>IF(Z92="","",MROUND(Z92*0.9,'Start-Options'!B38))</f>
        <v>75</v>
      </c>
      <c r="C98" s="120">
        <f>IF(Z92="","",ROUND((37-36*B98/(Z92+'Start-Options'!F34)),0))</f>
        <v>5</v>
      </c>
      <c r="D98" s="120">
        <f>IF(Z92="","",MROUND(B98*36/(37-C98),'Start-Options'!B38))</f>
        <v>85</v>
      </c>
      <c r="E98" s="156"/>
      <c r="F98" s="122" t="str">
        <f>IF(E98="","",MROUND(36*B98/(37-E98),'Start-Options'!B38))</f>
        <v/>
      </c>
      <c r="G98" s="280">
        <f>Z92</f>
        <v>82.5</v>
      </c>
      <c r="H98" s="105"/>
      <c r="I98" s="129"/>
      <c r="J98" s="120">
        <f>IF(Z92="","",MROUND(Z92*0.85,'Start-Options'!B38))</f>
        <v>70</v>
      </c>
      <c r="K98" s="156"/>
      <c r="L98" s="122" t="str">
        <f>IF(K98="","",MROUND(36*J98/(37-K98),'Start-Options'!B38))</f>
        <v/>
      </c>
      <c r="M98" s="105"/>
      <c r="N98" s="123"/>
      <c r="O98" s="123">
        <f>IF(Z92="","",MROUND(Z92*0.95,'Start-Options'!B38))</f>
        <v>77.5</v>
      </c>
      <c r="P98" s="120" t="str">
        <f>IF(L98="","",IF(F98&lt;Z92,ROUND((37-36*O98/(Z92+'Start-Options'!F34)),0),ROUND((37-36*O98/(F98+'Start-Options'!F34)),0)))</f>
        <v/>
      </c>
      <c r="Q98" s="125" t="str">
        <f>IF(P98="","",MROUND(O98*36/(37-P98),'Start-Options'!B38))</f>
        <v/>
      </c>
      <c r="R98" s="152"/>
      <c r="S98" s="127" t="str">
        <f>IF(R98="","",MROUND(36*O98/(37-R98),'Start-Options'!B38))</f>
        <v/>
      </c>
      <c r="T98" s="129">
        <f>Z92</f>
        <v>82.5</v>
      </c>
      <c r="U98" s="105"/>
      <c r="V98" s="123"/>
      <c r="W98" s="128">
        <f>IF(Z92="","",MROUND(Z92*0.6,'Start-Options'!B38))</f>
        <v>50</v>
      </c>
      <c r="X98" s="27"/>
      <c r="Y98" s="77" t="s">
        <v>96</v>
      </c>
      <c r="Z98" s="78" t="str">
        <f>IF(Z96="","",MROUND(Z96*0.5,'Start-Options'!$B$38))</f>
        <v/>
      </c>
      <c r="AA98" s="27"/>
      <c r="AB98" s="27"/>
      <c r="AC98" s="27"/>
    </row>
    <row r="99" ht="12.75" customHeight="1">
      <c r="A99" s="111"/>
      <c r="B99" s="107">
        <f>IF(Z93="","",MROUND(Z93*0.7,'Start-Options'!B38))</f>
        <v>72.5</v>
      </c>
      <c r="C99" s="103"/>
      <c r="D99" s="103"/>
      <c r="E99" s="103"/>
      <c r="F99" s="104"/>
      <c r="G99" s="279"/>
      <c r="H99" s="105"/>
      <c r="I99" s="37"/>
      <c r="J99" s="103">
        <f>IF(Z93="","",MROUND(Z93*0.65,'Start-Options'!B38))</f>
        <v>67.5</v>
      </c>
      <c r="K99" s="103"/>
      <c r="L99" s="104"/>
      <c r="M99" s="105"/>
      <c r="N99" s="106"/>
      <c r="O99" s="106">
        <f>IF(Z93="","",MROUND(Z93*0.75,'Start-Options'!B38))</f>
        <v>80</v>
      </c>
      <c r="P99" s="108"/>
      <c r="Q99" s="108"/>
      <c r="R99" s="108"/>
      <c r="S99" s="109"/>
      <c r="T99" s="118"/>
      <c r="U99" s="105"/>
      <c r="V99" s="106"/>
      <c r="W99" s="110">
        <f>IF(Z93="","",MROUND(Z93*0.4,'Start-Options'!B38))</f>
        <v>42.5</v>
      </c>
      <c r="X99" s="27"/>
      <c r="Y99" s="82" t="s">
        <v>97</v>
      </c>
      <c r="Z99" s="83" t="str">
        <f>IF(Z96="","",MROUND(Z96*0.6,'Start-Options'!$B$38))</f>
        <v/>
      </c>
      <c r="AA99" s="27"/>
      <c r="AB99" s="27"/>
      <c r="AC99" s="27"/>
    </row>
    <row r="100" ht="12.75" customHeight="1">
      <c r="A100" s="111" t="str">
        <f>'Start-Options'!B7</f>
        <v>Squat</v>
      </c>
      <c r="B100" s="115">
        <f>IF(Z93="","",MROUND(Z93*0.8,'Start-Options'!B38))</f>
        <v>85</v>
      </c>
      <c r="C100" s="112"/>
      <c r="D100" s="112"/>
      <c r="E100" s="112"/>
      <c r="F100" s="113"/>
      <c r="G100" s="279"/>
      <c r="H100" s="105"/>
      <c r="I100" s="118" t="str">
        <f>'Start-Options'!B7</f>
        <v>Squat</v>
      </c>
      <c r="J100" s="112">
        <f>IF(Z93="","",MROUND(Z93*0.75,'Start-Options'!B38))</f>
        <v>80</v>
      </c>
      <c r="K100" s="112"/>
      <c r="L100" s="113"/>
      <c r="M100" s="105"/>
      <c r="N100" s="114" t="str">
        <f>'Start-Options'!B7</f>
        <v>Squat</v>
      </c>
      <c r="O100" s="114">
        <f>IF(Z93="","",MROUND(Z93*0.85,'Start-Options'!B38))</f>
        <v>90</v>
      </c>
      <c r="P100" s="105"/>
      <c r="Q100" s="105"/>
      <c r="R100" s="105"/>
      <c r="S100" s="116"/>
      <c r="T100" s="118"/>
      <c r="U100" s="105"/>
      <c r="V100" s="114" t="str">
        <f>'Start-Options'!B7</f>
        <v>Squat</v>
      </c>
      <c r="W100" s="117">
        <f>IF(Z93="","",MROUND(Z93*0.5,'Start-Options'!B38))</f>
        <v>52.5</v>
      </c>
      <c r="X100" s="27"/>
      <c r="Y100" s="27"/>
      <c r="Z100" s="27"/>
      <c r="AA100" s="27"/>
      <c r="AB100" s="27"/>
      <c r="AC100" s="27"/>
    </row>
    <row r="101" ht="13.5" customHeight="1">
      <c r="A101" s="131"/>
      <c r="B101" s="137">
        <f>IF(Z93="","",MROUND(Z93*0.9,'Start-Options'!B38))</f>
        <v>95</v>
      </c>
      <c r="C101" s="132">
        <f>IF(Z93="","",ROUND((37-36*B101/(Z93+'Start-Options'!F35)),0))</f>
        <v>5</v>
      </c>
      <c r="D101" s="132">
        <f>IF(Z93="","",MROUND(B101*36/(37-C101),'Start-Options'!B38))</f>
        <v>107.5</v>
      </c>
      <c r="E101" s="157"/>
      <c r="F101" s="134" t="str">
        <f>IF(E101="","",MROUND(36*B101/(37-E101),'Start-Options'!B38))</f>
        <v/>
      </c>
      <c r="G101" s="281">
        <f>Z93</f>
        <v>105</v>
      </c>
      <c r="H101" s="135"/>
      <c r="I101" s="277"/>
      <c r="J101" s="132">
        <f>IF(Z93="","",MROUND(Z93*0.85,'Start-Options'!B38))</f>
        <v>90</v>
      </c>
      <c r="K101" s="157"/>
      <c r="L101" s="134" t="str">
        <f>IF(K101="","",MROUND(36*J101/(37-K101),'Start-Options'!B38))</f>
        <v/>
      </c>
      <c r="M101" s="135"/>
      <c r="N101" s="136"/>
      <c r="O101" s="136">
        <f>IF(Z93="","",MROUND(Z93*0.95,'Start-Options'!B38))</f>
        <v>100</v>
      </c>
      <c r="P101" s="132" t="str">
        <f>IF(L101="","",IF(F101&lt;Z93,ROUND((37-36*O101/(Z93+'Start-Options'!F35)),0),ROUND((37-36*O101/(F101+'Start-Options'!F35)),0)))</f>
        <v/>
      </c>
      <c r="Q101" s="135" t="str">
        <f>IF(P101="","",MROUND(O101*36/(37-P101),'Start-Options'!B38))</f>
        <v/>
      </c>
      <c r="R101" s="161"/>
      <c r="S101" s="139" t="str">
        <f>IF(R101="","",MROUND(36*O101/(37-R101),'Start-Options'!B38))</f>
        <v/>
      </c>
      <c r="T101" s="277">
        <f>Z93</f>
        <v>105</v>
      </c>
      <c r="U101" s="135"/>
      <c r="V101" s="136"/>
      <c r="W101" s="140">
        <f>IF(Z93="","",MROUND(Z93*0.6,'Start-Options'!B38))</f>
        <v>62.5</v>
      </c>
      <c r="X101" s="27"/>
      <c r="Y101" s="27"/>
      <c r="Z101" s="27"/>
      <c r="AA101" s="27"/>
      <c r="AB101" s="27"/>
      <c r="AC101" s="27"/>
    </row>
    <row r="102" ht="12.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row>
    <row r="103" ht="21.0" customHeight="1">
      <c r="A103" s="27"/>
      <c r="B103" s="27"/>
      <c r="C103" s="27"/>
      <c r="D103" s="27"/>
      <c r="E103" s="27"/>
      <c r="F103" s="27"/>
      <c r="G103" s="27"/>
      <c r="H103" s="27"/>
      <c r="I103" s="27"/>
      <c r="J103" s="27"/>
      <c r="K103" s="27"/>
      <c r="L103" s="86" t="s">
        <v>130</v>
      </c>
      <c r="M103" s="65"/>
      <c r="N103" s="65"/>
      <c r="O103" s="160"/>
      <c r="P103" s="27"/>
      <c r="Q103" s="27"/>
      <c r="R103" s="27"/>
      <c r="S103" s="27"/>
      <c r="T103" s="27"/>
      <c r="U103" s="27"/>
      <c r="V103" s="27"/>
      <c r="W103" s="27"/>
      <c r="X103" s="27"/>
      <c r="Y103" s="27"/>
      <c r="Z103" s="27"/>
      <c r="AA103" s="27"/>
      <c r="AB103" s="27"/>
      <c r="AC103" s="27"/>
    </row>
    <row r="104" ht="15.75" customHeight="1">
      <c r="A104" s="88"/>
      <c r="B104" s="91"/>
      <c r="C104" s="89" t="s">
        <v>329</v>
      </c>
      <c r="D104" s="91"/>
      <c r="E104" s="91"/>
      <c r="F104" s="91"/>
      <c r="G104" s="91"/>
      <c r="H104" s="91"/>
      <c r="I104" s="91"/>
      <c r="J104" s="89" t="s">
        <v>330</v>
      </c>
      <c r="K104" s="60"/>
      <c r="L104" s="91"/>
      <c r="M104" s="91"/>
      <c r="N104" s="91"/>
      <c r="O104" s="91"/>
      <c r="P104" s="89" t="s">
        <v>133</v>
      </c>
      <c r="Q104" s="60"/>
      <c r="R104" s="60"/>
      <c r="S104" s="91"/>
      <c r="T104" s="91"/>
      <c r="U104" s="91"/>
      <c r="V104" s="93" t="s">
        <v>134</v>
      </c>
      <c r="W104" s="94"/>
      <c r="X104" s="27"/>
      <c r="Y104" s="27"/>
      <c r="Z104" s="27"/>
      <c r="AA104" s="27"/>
      <c r="AB104" s="27"/>
      <c r="AC104" s="27"/>
    </row>
    <row r="105" ht="32.25" customHeight="1">
      <c r="A105" s="95"/>
      <c r="B105" s="96" t="s">
        <v>26</v>
      </c>
      <c r="C105" s="97" t="s">
        <v>88</v>
      </c>
      <c r="D105" s="97" t="s">
        <v>89</v>
      </c>
      <c r="E105" s="97" t="s">
        <v>90</v>
      </c>
      <c r="F105" s="96" t="s">
        <v>91</v>
      </c>
      <c r="G105" s="276" t="s">
        <v>317</v>
      </c>
      <c r="H105" s="27"/>
      <c r="I105" s="98"/>
      <c r="J105" s="96" t="s">
        <v>26</v>
      </c>
      <c r="K105" s="97" t="s">
        <v>90</v>
      </c>
      <c r="L105" s="96" t="s">
        <v>91</v>
      </c>
      <c r="M105" s="27"/>
      <c r="N105" s="98"/>
      <c r="O105" s="96" t="s">
        <v>26</v>
      </c>
      <c r="P105" s="97" t="s">
        <v>88</v>
      </c>
      <c r="Q105" s="97" t="s">
        <v>89</v>
      </c>
      <c r="R105" s="97" t="s">
        <v>90</v>
      </c>
      <c r="S105" s="96" t="s">
        <v>91</v>
      </c>
      <c r="T105" s="276" t="s">
        <v>318</v>
      </c>
      <c r="U105" s="27"/>
      <c r="V105" s="99"/>
      <c r="W105" s="159" t="s">
        <v>26</v>
      </c>
      <c r="X105" s="27"/>
      <c r="Y105" s="101" t="s">
        <v>135</v>
      </c>
      <c r="Z105" s="71"/>
      <c r="AA105" s="142" t="s">
        <v>104</v>
      </c>
      <c r="AB105" s="143" t="s">
        <v>105</v>
      </c>
      <c r="AC105" s="27"/>
    </row>
    <row r="106" ht="12.75" customHeight="1">
      <c r="A106" s="102"/>
      <c r="B106" s="107">
        <f>IF(Z106="","",MROUND(Z106*0.7,'Start-Options'!B38))</f>
        <v>45</v>
      </c>
      <c r="C106" s="103"/>
      <c r="D106" s="103"/>
      <c r="E106" s="103"/>
      <c r="F106" s="104"/>
      <c r="G106" s="278"/>
      <c r="H106" s="105"/>
      <c r="I106" s="37"/>
      <c r="J106" s="103">
        <f>IF(Z106="","",MROUND(Z106*0.65,'Start-Options'!B38))</f>
        <v>42.5</v>
      </c>
      <c r="K106" s="103"/>
      <c r="L106" s="104"/>
      <c r="M106" s="105"/>
      <c r="N106" s="106"/>
      <c r="O106" s="106">
        <f>IF(Z106="","",MROUND(Z106*0.75,'Start-Options'!B38))</f>
        <v>50</v>
      </c>
      <c r="P106" s="108"/>
      <c r="Q106" s="108"/>
      <c r="R106" s="108"/>
      <c r="S106" s="109"/>
      <c r="T106" s="37"/>
      <c r="U106" s="105"/>
      <c r="V106" s="106"/>
      <c r="W106" s="110">
        <f>IF(Z106="","",MROUND(Z106*0.4,'Start-Options'!B38))</f>
        <v>25</v>
      </c>
      <c r="X106" s="27"/>
      <c r="Y106" s="37" t="str">
        <f>'Start-Options'!B4</f>
        <v>Military</v>
      </c>
      <c r="Z106" s="106">
        <f>IF(Z90="","",IF(ISTEXT(AA90),Z90-AB90,Z90+'Start-Options'!C32))</f>
        <v>65</v>
      </c>
      <c r="AA106" s="36"/>
      <c r="AB106" s="147"/>
      <c r="AC106" s="27"/>
    </row>
    <row r="107" ht="12.75" customHeight="1">
      <c r="A107" s="111" t="str">
        <f>'Start-Options'!B4</f>
        <v>Military</v>
      </c>
      <c r="B107" s="115">
        <f>IF(Z106="","",MROUND(Z106*0.8,'Start-Options'!B38))</f>
        <v>52.5</v>
      </c>
      <c r="C107" s="112"/>
      <c r="D107" s="112"/>
      <c r="E107" s="112"/>
      <c r="F107" s="113"/>
      <c r="G107" s="279"/>
      <c r="H107" s="105"/>
      <c r="I107" s="118" t="str">
        <f>'Start-Options'!B4</f>
        <v>Military</v>
      </c>
      <c r="J107" s="112">
        <f>IF(Z106="","",MROUND(Z106*0.75,'Start-Options'!B38))</f>
        <v>50</v>
      </c>
      <c r="K107" s="112"/>
      <c r="L107" s="113"/>
      <c r="M107" s="105"/>
      <c r="N107" s="114" t="str">
        <f>'Start-Options'!B4</f>
        <v>Military</v>
      </c>
      <c r="O107" s="114">
        <f>IF(Z106="","",MROUND(Z106*0.85,'Start-Options'!B38))</f>
        <v>55</v>
      </c>
      <c r="P107" s="105"/>
      <c r="Q107" s="105"/>
      <c r="R107" s="105"/>
      <c r="S107" s="116"/>
      <c r="T107" s="118"/>
      <c r="U107" s="105"/>
      <c r="V107" s="114" t="str">
        <f>'Start-Options'!B4</f>
        <v>Military</v>
      </c>
      <c r="W107" s="117">
        <f>IF(Z106="","",MROUND(Z106*0.5,'Start-Options'!B38))</f>
        <v>32.5</v>
      </c>
      <c r="X107" s="27"/>
      <c r="Y107" s="118" t="str">
        <f>'Start-Options'!B5</f>
        <v>Deadlift</v>
      </c>
      <c r="Z107" s="114">
        <f>IF(Z91="","",IF(ISTEXT(AA91),Z91-AB91,Z91+'Start-Options'!C33))</f>
        <v>140</v>
      </c>
      <c r="AA107" s="151"/>
      <c r="AB107" s="147"/>
      <c r="AC107" s="27"/>
    </row>
    <row r="108" ht="12.75" customHeight="1">
      <c r="A108" s="119"/>
      <c r="B108" s="124">
        <f>IF(Z106="","",MROUND(Z106*0.9,'Start-Options'!B38))</f>
        <v>57.5</v>
      </c>
      <c r="C108" s="120">
        <f>IF(Z106="","",ROUND((37-36*B108/(Z106+'Start-Options'!F32)),0))</f>
        <v>6</v>
      </c>
      <c r="D108" s="120">
        <f>IF(Z106="","",MROUND(B108*36/(37-C108),'Start-Options'!B38))</f>
        <v>67.5</v>
      </c>
      <c r="E108" s="156"/>
      <c r="F108" s="122" t="str">
        <f>IF(E108="","",MROUND(36*B108/(37-E108),'Start-Options'!B38))</f>
        <v/>
      </c>
      <c r="G108" s="280">
        <f>Z106</f>
        <v>65</v>
      </c>
      <c r="H108" s="105"/>
      <c r="I108" s="129"/>
      <c r="J108" s="120">
        <f>IF(Z106="","",MROUND(Z106*0.85,'Start-Options'!B38))</f>
        <v>55</v>
      </c>
      <c r="K108" s="156"/>
      <c r="L108" s="122" t="str">
        <f>IF(K108="","",MROUND(36*J108/(37-K108),'Start-Options'!B38))</f>
        <v/>
      </c>
      <c r="M108" s="105"/>
      <c r="N108" s="123"/>
      <c r="O108" s="123">
        <f>IF(Z106="","",MROUND(Z106*0.95,'Start-Options'!B38))</f>
        <v>62.5</v>
      </c>
      <c r="P108" s="120" t="str">
        <f>IF(L108="","",IF(F108&lt;Z106,ROUND((37-36*O108/(Z106+'Start-Options'!F32)),0),ROUND((37-36*O108/(F108+'Start-Options'!F32)),0)))</f>
        <v/>
      </c>
      <c r="Q108" s="125" t="str">
        <f>IF(P108="","",MROUND(O108*36/(37-P108),'Start-Options'!B38))</f>
        <v/>
      </c>
      <c r="R108" s="152"/>
      <c r="S108" s="127" t="str">
        <f>IF(R108="","",MROUND(36*O108/(37-R108),'Start-Options'!B38))</f>
        <v/>
      </c>
      <c r="T108" s="129">
        <f>Z106</f>
        <v>65</v>
      </c>
      <c r="U108" s="105"/>
      <c r="V108" s="123"/>
      <c r="W108" s="128">
        <f>IF(Z106="","",MROUND(Z106*0.6,'Start-Options'!B38))</f>
        <v>40</v>
      </c>
      <c r="X108" s="27"/>
      <c r="Y108" s="118" t="str">
        <f>'Start-Options'!B6</f>
        <v>Bench</v>
      </c>
      <c r="Z108" s="114">
        <f>IF(Z92="","",IF(ISTEXT(AA92),Z92-AB92,Z92+'Start-Options'!C34))</f>
        <v>85</v>
      </c>
      <c r="AA108" s="151"/>
      <c r="AB108" s="147"/>
      <c r="AC108" s="27"/>
    </row>
    <row r="109" ht="12.75" customHeight="1">
      <c r="A109" s="102"/>
      <c r="B109" s="107">
        <f>IF(Z107="","",MROUND(Z107*0.7,'Start-Options'!B38))</f>
        <v>97.5</v>
      </c>
      <c r="C109" s="103"/>
      <c r="D109" s="103"/>
      <c r="E109" s="103"/>
      <c r="F109" s="104"/>
      <c r="G109" s="279"/>
      <c r="H109" s="105"/>
      <c r="I109" s="37"/>
      <c r="J109" s="103">
        <f>IF(Z107="","",MROUND(Z107*0.65,'Start-Options'!B38))</f>
        <v>90</v>
      </c>
      <c r="K109" s="103"/>
      <c r="L109" s="104"/>
      <c r="M109" s="105"/>
      <c r="N109" s="106"/>
      <c r="O109" s="106">
        <f>IF(Z107="","",MROUND(Z107*0.75,'Start-Options'!B38))</f>
        <v>105</v>
      </c>
      <c r="P109" s="108"/>
      <c r="Q109" s="108"/>
      <c r="R109" s="108"/>
      <c r="S109" s="109"/>
      <c r="T109" s="118"/>
      <c r="U109" s="105"/>
      <c r="V109" s="106"/>
      <c r="W109" s="110">
        <f>IF(Z107="","",MROUND(Z107*0.4,'Start-Options'!B38))</f>
        <v>55</v>
      </c>
      <c r="X109" s="27"/>
      <c r="Y109" s="129" t="str">
        <f>'Start-Options'!B7</f>
        <v>Squat</v>
      </c>
      <c r="Z109" s="123">
        <f>IF(Z93="","",IF(ISTEXT(AA93),Z93-AB93,Z93+'Start-Options'!C35))</f>
        <v>110</v>
      </c>
      <c r="AA109" s="154"/>
      <c r="AB109" s="155"/>
      <c r="AC109" s="27"/>
    </row>
    <row r="110" ht="12.75" customHeight="1">
      <c r="A110" s="111" t="str">
        <f>'Start-Options'!B5</f>
        <v>Deadlift</v>
      </c>
      <c r="B110" s="115">
        <f>IF(Z107="","",MROUND(Z107*0.8,'Start-Options'!B38))</f>
        <v>112.5</v>
      </c>
      <c r="C110" s="112"/>
      <c r="D110" s="112"/>
      <c r="E110" s="112"/>
      <c r="F110" s="113"/>
      <c r="G110" s="279"/>
      <c r="H110" s="105"/>
      <c r="I110" s="118" t="str">
        <f>'Start-Options'!B5</f>
        <v>Deadlift</v>
      </c>
      <c r="J110" s="112">
        <f>IF(Z107="","",MROUND(Z107*0.75,'Start-Options'!B38))</f>
        <v>105</v>
      </c>
      <c r="K110" s="112"/>
      <c r="L110" s="113"/>
      <c r="M110" s="105"/>
      <c r="N110" s="114" t="str">
        <f>'Start-Options'!B5</f>
        <v>Deadlift</v>
      </c>
      <c r="O110" s="114">
        <f>IF(Z107="","",MROUND(Z107*0.85,'Start-Options'!B38))</f>
        <v>120</v>
      </c>
      <c r="P110" s="105"/>
      <c r="Q110" s="105"/>
      <c r="R110" s="105"/>
      <c r="S110" s="116"/>
      <c r="T110" s="118"/>
      <c r="U110" s="105"/>
      <c r="V110" s="114" t="str">
        <f>'Start-Options'!B5</f>
        <v>Deadlift</v>
      </c>
      <c r="W110" s="117">
        <f>IF(Z107="","",MROUND(Z107*0.5,'Start-Options'!B38))</f>
        <v>70</v>
      </c>
      <c r="X110" s="27"/>
      <c r="Y110" s="27"/>
      <c r="Z110" s="27"/>
      <c r="AA110" s="27"/>
      <c r="AB110" s="27"/>
      <c r="AC110" s="27"/>
    </row>
    <row r="111" ht="12.75" customHeight="1">
      <c r="A111" s="130"/>
      <c r="B111" s="124">
        <f>IF(Z107="","",MROUND(Z107*0.9,'Start-Options'!B38))</f>
        <v>125</v>
      </c>
      <c r="C111" s="120">
        <f>IF(Z107="","",ROUND((37-36*B111/(Z107+'Start-Options'!F33)),0))</f>
        <v>5</v>
      </c>
      <c r="D111" s="120">
        <f>IF(Z107="","",MROUND(B111*36/(37-C111),'Start-Options'!B38))</f>
        <v>140</v>
      </c>
      <c r="E111" s="156"/>
      <c r="F111" s="122" t="str">
        <f>IF(E111="","",MROUND(36*B111/(37-E111),'Start-Options'!B38))</f>
        <v/>
      </c>
      <c r="G111" s="280">
        <f>Z107</f>
        <v>140</v>
      </c>
      <c r="H111" s="105"/>
      <c r="I111" s="129"/>
      <c r="J111" s="120">
        <f>IF(Z107="","",MROUND(Z107*0.85,'Start-Options'!B38))</f>
        <v>120</v>
      </c>
      <c r="K111" s="156"/>
      <c r="L111" s="122" t="str">
        <f>IF(K111="","",MROUND(36*J111/(37-K111),5))</f>
        <v/>
      </c>
      <c r="M111" s="105"/>
      <c r="N111" s="123"/>
      <c r="O111" s="123">
        <f>IF(Z107="","",MROUND(Z107*0.95,'Start-Options'!B38))</f>
        <v>132.5</v>
      </c>
      <c r="P111" s="120" t="str">
        <f>IF(L111="","",IF(F111&lt;Z107,ROUND((37-36*O111/(Z107+'Start-Options'!F33)),0),ROUND((37-36*O111/(F111+'Start-Options'!F33)),0)))</f>
        <v/>
      </c>
      <c r="Q111" s="125" t="str">
        <f>IF(P111="","",MROUND(O111*36/(37-P111),'Start-Options'!B38))</f>
        <v/>
      </c>
      <c r="R111" s="152"/>
      <c r="S111" s="127" t="str">
        <f>IF(R111="","",MROUND(36*O111/(37-R111),'Start-Options'!B38))</f>
        <v/>
      </c>
      <c r="T111" s="118">
        <f>Z107</f>
        <v>140</v>
      </c>
      <c r="U111" s="105"/>
      <c r="V111" s="123"/>
      <c r="W111" s="128">
        <f>IF(Z107="","",MROUND(Z107*0.6,'Start-Options'!B38))</f>
        <v>85</v>
      </c>
      <c r="X111" s="27"/>
      <c r="Y111" s="70" t="s">
        <v>93</v>
      </c>
      <c r="Z111" s="71"/>
      <c r="AA111" s="27"/>
      <c r="AB111" s="27"/>
      <c r="AC111" s="27"/>
    </row>
    <row r="112" ht="12.75" customHeight="1">
      <c r="A112" s="102"/>
      <c r="B112" s="107">
        <f>IF(Z108="","",MROUND(Z108*0.7,'Start-Options'!B38))</f>
        <v>60</v>
      </c>
      <c r="C112" s="103"/>
      <c r="D112" s="103"/>
      <c r="E112" s="103"/>
      <c r="F112" s="104"/>
      <c r="G112" s="279"/>
      <c r="H112" s="105"/>
      <c r="I112" s="37"/>
      <c r="J112" s="103">
        <f>IF(Z108="","",MROUND(Z108*0.65,'Start-Options'!B38))</f>
        <v>55</v>
      </c>
      <c r="K112" s="103"/>
      <c r="L112" s="104"/>
      <c r="M112" s="105"/>
      <c r="N112" s="106"/>
      <c r="O112" s="106">
        <f>IF(Z108="","",MROUND(Z108*0.75,'Start-Options'!B38))</f>
        <v>65</v>
      </c>
      <c r="P112" s="108"/>
      <c r="Q112" s="108"/>
      <c r="R112" s="108"/>
      <c r="S112" s="109"/>
      <c r="T112" s="37"/>
      <c r="U112" s="105"/>
      <c r="V112" s="106"/>
      <c r="W112" s="110">
        <f>IF(Z108="","",MROUND(Z108*0.4,'Start-Options'!B38))</f>
        <v>35</v>
      </c>
      <c r="X112" s="27"/>
      <c r="Y112" s="25" t="s">
        <v>94</v>
      </c>
      <c r="Z112" s="162"/>
      <c r="AA112" s="27"/>
      <c r="AB112" s="27"/>
      <c r="AC112" s="27"/>
    </row>
    <row r="113" ht="12.75" customHeight="1">
      <c r="A113" s="111" t="str">
        <f>'Start-Options'!B6</f>
        <v>Bench</v>
      </c>
      <c r="B113" s="115">
        <f>IF(Z108="","",MROUND(Z108*0.8,'Start-Options'!B38))</f>
        <v>67.5</v>
      </c>
      <c r="C113" s="112"/>
      <c r="D113" s="112"/>
      <c r="E113" s="112"/>
      <c r="F113" s="113"/>
      <c r="G113" s="279"/>
      <c r="H113" s="105"/>
      <c r="I113" s="118" t="str">
        <f>'Start-Options'!B6</f>
        <v>Bench</v>
      </c>
      <c r="J113" s="112">
        <f>IF(Z108="","",MROUND(Z108*0.75,'Start-Options'!B38))</f>
        <v>65</v>
      </c>
      <c r="K113" s="112"/>
      <c r="L113" s="113"/>
      <c r="M113" s="105"/>
      <c r="N113" s="114" t="str">
        <f>'Start-Options'!B6</f>
        <v>Bench</v>
      </c>
      <c r="O113" s="114">
        <f>IF(Z108="","",MROUND(Z108*0.85,'Start-Options'!B38))</f>
        <v>72.5</v>
      </c>
      <c r="P113" s="105"/>
      <c r="Q113" s="105"/>
      <c r="R113" s="105"/>
      <c r="S113" s="116"/>
      <c r="T113" s="118"/>
      <c r="U113" s="105"/>
      <c r="V113" s="114" t="str">
        <f>'Start-Options'!B6</f>
        <v>Bench</v>
      </c>
      <c r="W113" s="117">
        <f>IF(Z108="","",MROUND(Z108*0.5,'Start-Options'!B38))</f>
        <v>42.5</v>
      </c>
      <c r="X113" s="27"/>
      <c r="Y113" s="77" t="s">
        <v>95</v>
      </c>
      <c r="Z113" s="78" t="str">
        <f>IF(Z112="","",MROUND(Z112*0.4,'Start-Options'!$B$38))</f>
        <v/>
      </c>
      <c r="AA113" s="27"/>
      <c r="AB113" s="27"/>
      <c r="AC113" s="27"/>
    </row>
    <row r="114" ht="12.75" customHeight="1">
      <c r="A114" s="119"/>
      <c r="B114" s="124">
        <f>IF(Z108="","",MROUND(Z108*0.9,'Start-Options'!B38))</f>
        <v>77.5</v>
      </c>
      <c r="C114" s="120">
        <f>IF(Z108="","",ROUND((37-36*B114/(Z108+'Start-Options'!F34)),0))</f>
        <v>5</v>
      </c>
      <c r="D114" s="120">
        <f>IF(Z108="","",MROUND(B114*36/(37-C114),'Start-Options'!B38))</f>
        <v>87.5</v>
      </c>
      <c r="E114" s="156"/>
      <c r="F114" s="122" t="str">
        <f>IF(E114="","",MROUND(36*B114/(37-E114),'Start-Options'!B38))</f>
        <v/>
      </c>
      <c r="G114" s="280">
        <f>Z108</f>
        <v>85</v>
      </c>
      <c r="H114" s="105"/>
      <c r="I114" s="129"/>
      <c r="J114" s="120">
        <f>IF(Z108="","",MROUND(Z108*0.85,'Start-Options'!B38))</f>
        <v>72.5</v>
      </c>
      <c r="K114" s="156"/>
      <c r="L114" s="122" t="str">
        <f>IF(K114="","",MROUND(36*J114/(37-K114),'Start-Options'!B38))</f>
        <v/>
      </c>
      <c r="M114" s="105"/>
      <c r="N114" s="123"/>
      <c r="O114" s="123">
        <f>IF(Z108="","",MROUND(Z108*0.95,'Start-Options'!B38))</f>
        <v>80</v>
      </c>
      <c r="P114" s="120" t="str">
        <f>IF(L114="","",IF(F114&lt;Z108,ROUND((37-36*O114/(Z108+'Start-Options'!F34)),0),ROUND((37-36*O114/(F114+'Start-Options'!F34)),0)))</f>
        <v/>
      </c>
      <c r="Q114" s="125" t="str">
        <f>IF(P114="","",MROUND(O114*36/(37-P114),'Start-Options'!B38))</f>
        <v/>
      </c>
      <c r="R114" s="152"/>
      <c r="S114" s="127" t="str">
        <f>IF(R114="","",MROUND(36*O114/(37-R114),'Start-Options'!B38))</f>
        <v/>
      </c>
      <c r="T114" s="118">
        <f>Z108</f>
        <v>85</v>
      </c>
      <c r="U114" s="105"/>
      <c r="V114" s="123"/>
      <c r="W114" s="128">
        <f>IF(Z108="","",MROUND(Z108*0.6,'Start-Options'!B38))</f>
        <v>50</v>
      </c>
      <c r="X114" s="27"/>
      <c r="Y114" s="77" t="s">
        <v>96</v>
      </c>
      <c r="Z114" s="78" t="str">
        <f>IF(Z112="","",MROUND(Z112*0.5,'Start-Options'!$B$38))</f>
        <v/>
      </c>
      <c r="AA114" s="27"/>
      <c r="AB114" s="27"/>
      <c r="AC114" s="27"/>
    </row>
    <row r="115" ht="12.75" customHeight="1">
      <c r="A115" s="111"/>
      <c r="B115" s="107">
        <f>IF(Z109="","",MROUND(Z109*0.7,'Start-Options'!B38))</f>
        <v>77.5</v>
      </c>
      <c r="C115" s="103"/>
      <c r="D115" s="103"/>
      <c r="E115" s="103"/>
      <c r="F115" s="104"/>
      <c r="G115" s="279"/>
      <c r="H115" s="105"/>
      <c r="I115" s="37"/>
      <c r="J115" s="103">
        <f>IF(Z109="","",MROUND(Z109*0.65,'Start-Options'!B38))</f>
        <v>72.5</v>
      </c>
      <c r="K115" s="103"/>
      <c r="L115" s="104"/>
      <c r="M115" s="105"/>
      <c r="N115" s="106"/>
      <c r="O115" s="106">
        <f>IF(Z109="","",MROUND(Z109*0.75,'Start-Options'!B38))</f>
        <v>82.5</v>
      </c>
      <c r="P115" s="108"/>
      <c r="Q115" s="108"/>
      <c r="R115" s="108"/>
      <c r="S115" s="109"/>
      <c r="T115" s="37"/>
      <c r="U115" s="105"/>
      <c r="V115" s="106"/>
      <c r="W115" s="110">
        <f>IF(Z109="","",MROUND(Z109*0.4,'Start-Options'!B38))</f>
        <v>45</v>
      </c>
      <c r="X115" s="27"/>
      <c r="Y115" s="82" t="s">
        <v>97</v>
      </c>
      <c r="Z115" s="83" t="str">
        <f>IF(Z112="","",MROUND(Z112*0.6,'Start-Options'!$B$38))</f>
        <v/>
      </c>
      <c r="AA115" s="27"/>
      <c r="AB115" s="27"/>
      <c r="AC115" s="27"/>
    </row>
    <row r="116" ht="12.75" customHeight="1">
      <c r="A116" s="111" t="str">
        <f>'Start-Options'!B7</f>
        <v>Squat</v>
      </c>
      <c r="B116" s="115">
        <f>IF(Z109="","",MROUND(Z109*0.8,'Start-Options'!B38))</f>
        <v>87.5</v>
      </c>
      <c r="C116" s="112"/>
      <c r="D116" s="112"/>
      <c r="E116" s="112"/>
      <c r="F116" s="113"/>
      <c r="G116" s="279"/>
      <c r="H116" s="105"/>
      <c r="I116" s="118" t="str">
        <f>'Start-Options'!B7</f>
        <v>Squat</v>
      </c>
      <c r="J116" s="112">
        <f>IF(Z109="","",MROUND(Z109*0.75,'Start-Options'!B38))</f>
        <v>82.5</v>
      </c>
      <c r="K116" s="112"/>
      <c r="L116" s="113"/>
      <c r="M116" s="105"/>
      <c r="N116" s="114" t="str">
        <f>'Start-Options'!B7</f>
        <v>Squat</v>
      </c>
      <c r="O116" s="114">
        <f>IF(Z109="","",MROUND(Z109*0.85,'Start-Options'!B38))</f>
        <v>92.5</v>
      </c>
      <c r="P116" s="105"/>
      <c r="Q116" s="105"/>
      <c r="R116" s="105"/>
      <c r="S116" s="116"/>
      <c r="T116" s="118"/>
      <c r="U116" s="105"/>
      <c r="V116" s="114" t="str">
        <f>'Start-Options'!B7</f>
        <v>Squat</v>
      </c>
      <c r="W116" s="117">
        <f>IF(Z109="","",MROUND(Z109*0.5,'Start-Options'!B38))</f>
        <v>55</v>
      </c>
      <c r="X116" s="27"/>
      <c r="Y116" s="27"/>
      <c r="Z116" s="27"/>
      <c r="AA116" s="27"/>
      <c r="AB116" s="27"/>
      <c r="AC116" s="27"/>
    </row>
    <row r="117" ht="13.5" customHeight="1">
      <c r="A117" s="131"/>
      <c r="B117" s="137">
        <f>IF(Z109="","",MROUND(Z109*0.9,'Start-Options'!B38))</f>
        <v>100</v>
      </c>
      <c r="C117" s="132">
        <f>IF(Z109="","",ROUND((37-36*B117/(Z109+'Start-Options'!F35)),0))</f>
        <v>5</v>
      </c>
      <c r="D117" s="132">
        <f>IF(Z109="","",MROUND(B117*36/(37-C117),'Start-Options'!B38))</f>
        <v>112.5</v>
      </c>
      <c r="E117" s="157"/>
      <c r="F117" s="134" t="str">
        <f>IF(E117="","",MROUND(36*B117/(37-E117),'Start-Options'!B38))</f>
        <v/>
      </c>
      <c r="G117" s="281">
        <f>Z109</f>
        <v>110</v>
      </c>
      <c r="H117" s="135"/>
      <c r="I117" s="277"/>
      <c r="J117" s="132">
        <f>IF(Z109="","",MROUND(Z109*0.85,'Start-Options'!B38))</f>
        <v>92.5</v>
      </c>
      <c r="K117" s="157"/>
      <c r="L117" s="134" t="str">
        <f>IF(K117="","",MROUND(36*J117/(37-K117),'Start-Options'!B38))</f>
        <v/>
      </c>
      <c r="M117" s="135"/>
      <c r="N117" s="136"/>
      <c r="O117" s="136">
        <f>IF(Z109="","",MROUND(Z109*0.95,'Start-Options'!B38))</f>
        <v>105</v>
      </c>
      <c r="P117" s="132" t="str">
        <f>IF(L117="","",IF(F117&lt;Z109,ROUND((37-36*O117/(Z109+'Start-Options'!F35)),0),ROUND((37-36*O117/(F117+'Start-Options'!F35)),0)))</f>
        <v/>
      </c>
      <c r="Q117" s="135" t="str">
        <f>IF(P117="","",MROUND(O117*36/(37-P117),'Start-Options'!B38))</f>
        <v/>
      </c>
      <c r="R117" s="161"/>
      <c r="S117" s="139" t="str">
        <f>IF(R117="","",MROUND(36*O117/(37-R117),'Start-Options'!B38))</f>
        <v/>
      </c>
      <c r="T117" s="277">
        <f>Z109</f>
        <v>110</v>
      </c>
      <c r="U117" s="135"/>
      <c r="V117" s="136"/>
      <c r="W117" s="140">
        <f>IF(Z109="","",MROUND(Z109*0.6,'Start-Options'!B38))</f>
        <v>65</v>
      </c>
      <c r="X117" s="27"/>
      <c r="Y117" s="27"/>
      <c r="Z117" s="27"/>
      <c r="AA117" s="27"/>
      <c r="AB117" s="27"/>
      <c r="AC117" s="27"/>
    </row>
    <row r="118" ht="12.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row>
    <row r="119" ht="21.0" customHeight="1">
      <c r="A119" s="27"/>
      <c r="B119" s="27"/>
      <c r="C119" s="27"/>
      <c r="D119" s="27"/>
      <c r="E119" s="27"/>
      <c r="F119" s="27"/>
      <c r="G119" s="27"/>
      <c r="H119" s="27"/>
      <c r="I119" s="27"/>
      <c r="J119" s="27"/>
      <c r="K119" s="27"/>
      <c r="L119" s="86" t="s">
        <v>136</v>
      </c>
      <c r="M119" s="65"/>
      <c r="N119" s="65"/>
      <c r="O119" s="160"/>
      <c r="P119" s="27"/>
      <c r="Q119" s="27"/>
      <c r="R119" s="27"/>
      <c r="S119" s="27"/>
      <c r="T119" s="27"/>
      <c r="U119" s="27"/>
      <c r="V119" s="27"/>
      <c r="W119" s="27"/>
      <c r="X119" s="27"/>
      <c r="Y119" s="27"/>
      <c r="Z119" s="27"/>
      <c r="AA119" s="27"/>
      <c r="AB119" s="27"/>
      <c r="AC119" s="27"/>
    </row>
    <row r="120" ht="15.75" customHeight="1">
      <c r="A120" s="88"/>
      <c r="B120" s="91"/>
      <c r="C120" s="89" t="s">
        <v>331</v>
      </c>
      <c r="D120" s="91"/>
      <c r="E120" s="91"/>
      <c r="F120" s="91"/>
      <c r="G120" s="91"/>
      <c r="H120" s="91"/>
      <c r="I120" s="91"/>
      <c r="J120" s="89" t="s">
        <v>332</v>
      </c>
      <c r="K120" s="60"/>
      <c r="L120" s="91"/>
      <c r="M120" s="91"/>
      <c r="N120" s="91"/>
      <c r="O120" s="91"/>
      <c r="P120" s="89" t="s">
        <v>139</v>
      </c>
      <c r="Q120" s="60"/>
      <c r="R120" s="60"/>
      <c r="S120" s="91"/>
      <c r="T120" s="91"/>
      <c r="U120" s="91"/>
      <c r="V120" s="93" t="s">
        <v>140</v>
      </c>
      <c r="W120" s="94"/>
      <c r="X120" s="27"/>
      <c r="Y120" s="27"/>
      <c r="Z120" s="27"/>
      <c r="AA120" s="27"/>
      <c r="AB120" s="27"/>
      <c r="AC120" s="27"/>
    </row>
    <row r="121" ht="32.25" customHeight="1">
      <c r="A121" s="95"/>
      <c r="B121" s="96" t="s">
        <v>26</v>
      </c>
      <c r="C121" s="97" t="s">
        <v>88</v>
      </c>
      <c r="D121" s="97" t="s">
        <v>89</v>
      </c>
      <c r="E121" s="97" t="s">
        <v>90</v>
      </c>
      <c r="F121" s="96" t="s">
        <v>91</v>
      </c>
      <c r="G121" s="276" t="s">
        <v>317</v>
      </c>
      <c r="H121" s="27"/>
      <c r="I121" s="98"/>
      <c r="J121" s="96" t="s">
        <v>26</v>
      </c>
      <c r="K121" s="97" t="s">
        <v>90</v>
      </c>
      <c r="L121" s="96" t="s">
        <v>91</v>
      </c>
      <c r="M121" s="27"/>
      <c r="N121" s="98"/>
      <c r="O121" s="96" t="s">
        <v>26</v>
      </c>
      <c r="P121" s="97" t="s">
        <v>88</v>
      </c>
      <c r="Q121" s="97" t="s">
        <v>89</v>
      </c>
      <c r="R121" s="97" t="s">
        <v>90</v>
      </c>
      <c r="S121" s="96" t="s">
        <v>91</v>
      </c>
      <c r="T121" s="276" t="s">
        <v>318</v>
      </c>
      <c r="U121" s="27"/>
      <c r="V121" s="99"/>
      <c r="W121" s="159" t="s">
        <v>26</v>
      </c>
      <c r="X121" s="27"/>
      <c r="Y121" s="101" t="s">
        <v>141</v>
      </c>
      <c r="Z121" s="71"/>
      <c r="AA121" s="142" t="s">
        <v>104</v>
      </c>
      <c r="AB121" s="143" t="s">
        <v>105</v>
      </c>
      <c r="AC121" s="27"/>
    </row>
    <row r="122" ht="12.75" customHeight="1">
      <c r="A122" s="102"/>
      <c r="B122" s="107">
        <f>IF(Z122="","",MROUND(Z122*0.7,'Start-Options'!B38))</f>
        <v>47.5</v>
      </c>
      <c r="C122" s="103"/>
      <c r="D122" s="103"/>
      <c r="E122" s="103"/>
      <c r="F122" s="104"/>
      <c r="G122" s="278"/>
      <c r="H122" s="105"/>
      <c r="I122" s="37"/>
      <c r="J122" s="103">
        <f>IF(Z122="","",MROUND(Z122*0.65,'Start-Options'!B38))</f>
        <v>45</v>
      </c>
      <c r="K122" s="103"/>
      <c r="L122" s="104"/>
      <c r="M122" s="105"/>
      <c r="N122" s="106"/>
      <c r="O122" s="106">
        <f>IF(Z122="","",MROUND(Z122*0.75,'Start-Options'!B38))</f>
        <v>50</v>
      </c>
      <c r="P122" s="108"/>
      <c r="Q122" s="108"/>
      <c r="R122" s="108"/>
      <c r="S122" s="109"/>
      <c r="T122" s="37"/>
      <c r="U122" s="105"/>
      <c r="V122" s="106"/>
      <c r="W122" s="110">
        <f>IF(Z122="","",MROUND(Z122*0.4,'Start-Options'!B38))</f>
        <v>27.5</v>
      </c>
      <c r="X122" s="27"/>
      <c r="Y122" s="37" t="str">
        <f>'Start-Options'!B4</f>
        <v>Military</v>
      </c>
      <c r="Z122" s="106">
        <f>IF(Z106="","",IF(ISTEXT(AA106),Z106-AB106,Z106+'Start-Options'!C32))</f>
        <v>67.5</v>
      </c>
      <c r="AA122" s="36"/>
      <c r="AB122" s="147"/>
      <c r="AC122" s="27"/>
    </row>
    <row r="123" ht="12.75" customHeight="1">
      <c r="A123" s="111" t="str">
        <f>'Start-Options'!B4</f>
        <v>Military</v>
      </c>
      <c r="B123" s="115">
        <f>IF(Z122="","",MROUND(Z122*0.8,'Start-Options'!B38))</f>
        <v>55</v>
      </c>
      <c r="C123" s="112"/>
      <c r="D123" s="112"/>
      <c r="E123" s="112"/>
      <c r="F123" s="113"/>
      <c r="G123" s="279"/>
      <c r="H123" s="105"/>
      <c r="I123" s="118" t="str">
        <f>'Start-Options'!B4</f>
        <v>Military</v>
      </c>
      <c r="J123" s="112">
        <f>IF(Z122="","",MROUND(Z122*0.75,'Start-Options'!B38))</f>
        <v>50</v>
      </c>
      <c r="K123" s="112"/>
      <c r="L123" s="113"/>
      <c r="M123" s="105"/>
      <c r="N123" s="114" t="str">
        <f>'Start-Options'!B4</f>
        <v>Military</v>
      </c>
      <c r="O123" s="114">
        <f>IF(Z122="","",MROUND(Z122*0.85,'Start-Options'!B38))</f>
        <v>57.5</v>
      </c>
      <c r="P123" s="105"/>
      <c r="Q123" s="105"/>
      <c r="R123" s="105"/>
      <c r="S123" s="116"/>
      <c r="T123" s="118"/>
      <c r="U123" s="105"/>
      <c r="V123" s="114" t="str">
        <f>'Start-Options'!B4</f>
        <v>Military</v>
      </c>
      <c r="W123" s="117">
        <f>IF(Z122="","",MROUND(Z122*0.5,'Start-Options'!B38))</f>
        <v>35</v>
      </c>
      <c r="X123" s="27"/>
      <c r="Y123" s="118" t="str">
        <f>'Start-Options'!B5</f>
        <v>Deadlift</v>
      </c>
      <c r="Z123" s="114">
        <f>IF(Z107="","",IF(ISTEXT(AA107),Z107-AB107,Z107+'Start-Options'!C33))</f>
        <v>145</v>
      </c>
      <c r="AA123" s="151"/>
      <c r="AB123" s="147"/>
      <c r="AC123" s="27"/>
    </row>
    <row r="124" ht="12.75" customHeight="1">
      <c r="A124" s="119"/>
      <c r="B124" s="124">
        <f>IF(Z122="","",MROUND(Z122*0.9,'Start-Options'!B38))</f>
        <v>60</v>
      </c>
      <c r="C124" s="120">
        <f>IF(Z122="","",ROUND((37-36*B124/(Z122+'Start-Options'!F32)),0))</f>
        <v>6</v>
      </c>
      <c r="D124" s="120">
        <f>IF(Z122="","",MROUND(B124*36/(37-C124),'Start-Options'!B38))</f>
        <v>70</v>
      </c>
      <c r="E124" s="156"/>
      <c r="F124" s="122" t="str">
        <f>IF(E124="","",MROUND(36*B124/(37-E124),'Start-Options'!B38))</f>
        <v/>
      </c>
      <c r="G124" s="280">
        <f>Z122</f>
        <v>67.5</v>
      </c>
      <c r="H124" s="105"/>
      <c r="I124" s="129"/>
      <c r="J124" s="120">
        <f>IF(Z122="","",MROUND(Z122*0.85,'Start-Options'!B38))</f>
        <v>57.5</v>
      </c>
      <c r="K124" s="156"/>
      <c r="L124" s="122" t="str">
        <f>IF(K124="","",MROUND(36*J124/(37-K124),'Start-Options'!B38))</f>
        <v/>
      </c>
      <c r="M124" s="105"/>
      <c r="N124" s="123"/>
      <c r="O124" s="123">
        <f>IF(Z122="","",MROUND(Z122*0.95,'Start-Options'!B38))</f>
        <v>65</v>
      </c>
      <c r="P124" s="120" t="str">
        <f>IF(L124="","",IF(F124&lt;Z122,ROUND((37-36*O124/(Z122+'Start-Options'!F32)),0),ROUND((37-36*O124/(F124+'Start-Options'!F32)),0)))</f>
        <v/>
      </c>
      <c r="Q124" s="125" t="str">
        <f>IF(P124="","",MROUND(O124*36/(37-P124),'Start-Options'!B38))</f>
        <v/>
      </c>
      <c r="R124" s="152"/>
      <c r="S124" s="127" t="str">
        <f>IF(R124="","",MROUND(36*O124/(37-R124),'Start-Options'!B38))</f>
        <v/>
      </c>
      <c r="T124" s="129">
        <f>Z122</f>
        <v>67.5</v>
      </c>
      <c r="U124" s="105"/>
      <c r="V124" s="123"/>
      <c r="W124" s="128">
        <f>IF(Z122="","",MROUND(Z122*0.6,'Start-Options'!B38))</f>
        <v>40</v>
      </c>
      <c r="X124" s="27"/>
      <c r="Y124" s="118" t="str">
        <f>'Start-Options'!B6</f>
        <v>Bench</v>
      </c>
      <c r="Z124" s="114">
        <f>IF(Z108="","",IF(ISTEXT(AA108),Z108-AB108,Z108+'Start-Options'!C34))</f>
        <v>87.5</v>
      </c>
      <c r="AA124" s="151"/>
      <c r="AB124" s="147"/>
      <c r="AC124" s="27"/>
    </row>
    <row r="125" ht="12.75" customHeight="1">
      <c r="A125" s="102"/>
      <c r="B125" s="107">
        <f>IF(Z123="","",MROUND(Z123*0.7,'Start-Options'!B38))</f>
        <v>102.5</v>
      </c>
      <c r="C125" s="103"/>
      <c r="D125" s="103"/>
      <c r="E125" s="103"/>
      <c r="F125" s="104"/>
      <c r="G125" s="279"/>
      <c r="H125" s="105"/>
      <c r="I125" s="37"/>
      <c r="J125" s="103">
        <f>IF(Z123="","",MROUND(Z123*0.65,'Start-Options'!B38))</f>
        <v>95</v>
      </c>
      <c r="K125" s="103"/>
      <c r="L125" s="104"/>
      <c r="M125" s="105"/>
      <c r="N125" s="106"/>
      <c r="O125" s="106">
        <f>IF(Z123="","",MROUND(Z123*0.75,'Start-Options'!B38))</f>
        <v>110</v>
      </c>
      <c r="P125" s="108"/>
      <c r="Q125" s="108"/>
      <c r="R125" s="108"/>
      <c r="S125" s="109"/>
      <c r="T125" s="118"/>
      <c r="U125" s="105"/>
      <c r="V125" s="106"/>
      <c r="W125" s="110">
        <f>IF(Z123="","",MROUND(Z123*0.4,'Start-Options'!B38))</f>
        <v>57.5</v>
      </c>
      <c r="X125" s="27"/>
      <c r="Y125" s="129" t="str">
        <f>'Start-Options'!B7</f>
        <v>Squat</v>
      </c>
      <c r="Z125" s="123">
        <f>IF(Z109="","",IF(ISTEXT(AA109),Z109-AB109,Z109+'Start-Options'!C35))</f>
        <v>115</v>
      </c>
      <c r="AA125" s="154"/>
      <c r="AB125" s="155"/>
      <c r="AC125" s="27"/>
    </row>
    <row r="126" ht="12.75" customHeight="1">
      <c r="A126" s="111" t="str">
        <f>'Start-Options'!B5</f>
        <v>Deadlift</v>
      </c>
      <c r="B126" s="115">
        <f>IF(Z123="","",MROUND(Z123*0.8,'Start-Options'!B38))</f>
        <v>115</v>
      </c>
      <c r="C126" s="112"/>
      <c r="D126" s="112"/>
      <c r="E126" s="112"/>
      <c r="F126" s="113"/>
      <c r="G126" s="279"/>
      <c r="H126" s="105"/>
      <c r="I126" s="118" t="str">
        <f>'Start-Options'!B5</f>
        <v>Deadlift</v>
      </c>
      <c r="J126" s="112">
        <f>IF(Z123="","",MROUND(Z123*0.75,'Start-Options'!B38))</f>
        <v>110</v>
      </c>
      <c r="K126" s="112"/>
      <c r="L126" s="113"/>
      <c r="M126" s="105"/>
      <c r="N126" s="114" t="str">
        <f>'Start-Options'!B5</f>
        <v>Deadlift</v>
      </c>
      <c r="O126" s="114">
        <f>IF(Z123="","",MROUND(Z123*0.85,'Start-Options'!B38))</f>
        <v>122.5</v>
      </c>
      <c r="P126" s="105"/>
      <c r="Q126" s="105"/>
      <c r="R126" s="105"/>
      <c r="S126" s="116"/>
      <c r="T126" s="118"/>
      <c r="U126" s="105"/>
      <c r="V126" s="114" t="str">
        <f>'Start-Options'!B5</f>
        <v>Deadlift</v>
      </c>
      <c r="W126" s="117">
        <f>IF(Z123="","",MROUND(Z123*0.5,'Start-Options'!B38))</f>
        <v>72.5</v>
      </c>
      <c r="X126" s="27"/>
      <c r="Y126" s="27"/>
      <c r="Z126" s="27"/>
      <c r="AA126" s="27"/>
      <c r="AB126" s="27"/>
      <c r="AC126" s="27"/>
    </row>
    <row r="127" ht="12.75" customHeight="1">
      <c r="A127" s="130"/>
      <c r="B127" s="124">
        <f>IF(Z123="","",MROUND(Z123*0.9,'Start-Options'!B38))</f>
        <v>130</v>
      </c>
      <c r="C127" s="120">
        <f>IF(Z123="","",ROUND((37-36*B127/(Z123+'Start-Options'!F33)),0))</f>
        <v>5</v>
      </c>
      <c r="D127" s="120">
        <f>IF(Z123="","",MROUND(B127*36/(37-C127),'Start-Options'!B38))</f>
        <v>147.5</v>
      </c>
      <c r="E127" s="156"/>
      <c r="F127" s="122" t="str">
        <f>IF(E127="","",MROUND(36*B127/(37-E127),'Start-Options'!B38))</f>
        <v/>
      </c>
      <c r="G127" s="280">
        <f>Z123</f>
        <v>145</v>
      </c>
      <c r="H127" s="105"/>
      <c r="I127" s="129"/>
      <c r="J127" s="120">
        <f>IF(Z123="","",MROUND(Z123*0.85,'Start-Options'!B38))</f>
        <v>122.5</v>
      </c>
      <c r="K127" s="156"/>
      <c r="L127" s="122" t="str">
        <f>IF(K127="","",MROUND(36*J127/(37-K127),'Start-Options'!B38))</f>
        <v/>
      </c>
      <c r="M127" s="105"/>
      <c r="N127" s="123"/>
      <c r="O127" s="123">
        <f>IF(Z123="","",MROUND(Z123*0.95,'Start-Options'!B38))</f>
        <v>137.5</v>
      </c>
      <c r="P127" s="120" t="str">
        <f>IF(L127="","",IF(F127&lt;Z123,ROUND((37-36*O127/(Z123+'Start-Options'!F33)),0),ROUND((37-36*O127/(F127+'Start-Options'!F33)),0)))</f>
        <v/>
      </c>
      <c r="Q127" s="125" t="str">
        <f>IF(P127="","",MROUND(O127*36/(37-P127),'Start-Options'!B38))</f>
        <v/>
      </c>
      <c r="R127" s="152"/>
      <c r="S127" s="127" t="str">
        <f>IF(R127="","",MROUND(36*O127/(37-R127),'Start-Options'!B38))</f>
        <v/>
      </c>
      <c r="T127" s="118">
        <f>Z123</f>
        <v>145</v>
      </c>
      <c r="U127" s="105"/>
      <c r="V127" s="123"/>
      <c r="W127" s="128">
        <f>IF(Z123="","",MROUND(Z123*0.6,'Start-Options'!B38))</f>
        <v>87.5</v>
      </c>
      <c r="X127" s="27"/>
      <c r="Y127" s="70" t="s">
        <v>93</v>
      </c>
      <c r="Z127" s="71"/>
      <c r="AA127" s="27"/>
      <c r="AB127" s="27"/>
      <c r="AC127" s="27"/>
    </row>
    <row r="128" ht="12.75" customHeight="1">
      <c r="A128" s="102"/>
      <c r="B128" s="107">
        <f>IF(Z124="","",MROUND(Z124*0.7,'Start-Options'!B38))</f>
        <v>62.5</v>
      </c>
      <c r="C128" s="103"/>
      <c r="D128" s="103"/>
      <c r="E128" s="103"/>
      <c r="F128" s="104"/>
      <c r="G128" s="279"/>
      <c r="H128" s="105"/>
      <c r="I128" s="37"/>
      <c r="J128" s="103">
        <f>IF(Z124="","",MROUND(Z124*0.65,'Start-Options'!B38))</f>
        <v>57.5</v>
      </c>
      <c r="K128" s="103"/>
      <c r="L128" s="104"/>
      <c r="M128" s="105"/>
      <c r="N128" s="106"/>
      <c r="O128" s="106">
        <f>IF(Z124="","",MROUND(Z124*0.75,'Start-Options'!B38))</f>
        <v>65</v>
      </c>
      <c r="P128" s="108"/>
      <c r="Q128" s="108"/>
      <c r="R128" s="108"/>
      <c r="S128" s="109"/>
      <c r="T128" s="37"/>
      <c r="U128" s="105"/>
      <c r="V128" s="106"/>
      <c r="W128" s="110">
        <f>IF(Z124="","",MROUND(Z124*0.4,'Start-Options'!B38))</f>
        <v>35</v>
      </c>
      <c r="X128" s="27"/>
      <c r="Y128" s="25" t="s">
        <v>94</v>
      </c>
      <c r="Z128" s="162"/>
      <c r="AA128" s="27"/>
      <c r="AB128" s="27"/>
      <c r="AC128" s="27"/>
    </row>
    <row r="129" ht="12.75" customHeight="1">
      <c r="A129" s="111" t="str">
        <f>'Start-Options'!B6</f>
        <v>Bench</v>
      </c>
      <c r="B129" s="115">
        <f>IF(Z124="","",MROUND(Z124*0.8,'Start-Options'!B38))</f>
        <v>70</v>
      </c>
      <c r="C129" s="112"/>
      <c r="D129" s="112"/>
      <c r="E129" s="112"/>
      <c r="F129" s="113"/>
      <c r="G129" s="279"/>
      <c r="H129" s="105"/>
      <c r="I129" s="118" t="str">
        <f>'Start-Options'!B6</f>
        <v>Bench</v>
      </c>
      <c r="J129" s="112">
        <f>IF(Z124="","",MROUND(Z124*0.75,'Start-Options'!B38))</f>
        <v>65</v>
      </c>
      <c r="K129" s="112"/>
      <c r="L129" s="113"/>
      <c r="M129" s="105"/>
      <c r="N129" s="114" t="str">
        <f>'Start-Options'!B6</f>
        <v>Bench</v>
      </c>
      <c r="O129" s="114">
        <f>IF(Z124="","",MROUND(Z124*0.85,'Start-Options'!B38))</f>
        <v>75</v>
      </c>
      <c r="P129" s="105"/>
      <c r="Q129" s="105"/>
      <c r="R129" s="105"/>
      <c r="S129" s="116"/>
      <c r="T129" s="118"/>
      <c r="U129" s="105"/>
      <c r="V129" s="114" t="str">
        <f>'Start-Options'!B6</f>
        <v>Bench</v>
      </c>
      <c r="W129" s="117">
        <f>IF(Z124="","",MROUND(Z124*0.5,'Start-Options'!B38))</f>
        <v>45</v>
      </c>
      <c r="X129" s="27"/>
      <c r="Y129" s="77" t="s">
        <v>95</v>
      </c>
      <c r="Z129" s="78" t="str">
        <f>IF(Z128="","",MROUND(Z128*0.4,'Start-Options'!$B$38))</f>
        <v/>
      </c>
      <c r="AA129" s="27"/>
      <c r="AB129" s="27"/>
      <c r="AC129" s="27"/>
    </row>
    <row r="130" ht="12.75" customHeight="1">
      <c r="A130" s="119"/>
      <c r="B130" s="124">
        <f>IF(Z124="","",MROUND(Z124*0.9,'Start-Options'!B38))</f>
        <v>80</v>
      </c>
      <c r="C130" s="120">
        <f>IF(Z124="","",ROUND((37-36*B130/(Z124+'Start-Options'!F34)),0))</f>
        <v>5</v>
      </c>
      <c r="D130" s="120">
        <f>IF(Z124="","",MROUND(B130*36/(37-C130),'Start-Options'!B38))</f>
        <v>90</v>
      </c>
      <c r="E130" s="156"/>
      <c r="F130" s="122" t="str">
        <f>IF(E130="","",MROUND(36*B130/(37-E130),'Start-Options'!B38))</f>
        <v/>
      </c>
      <c r="G130" s="280">
        <f>Z124</f>
        <v>87.5</v>
      </c>
      <c r="H130" s="105"/>
      <c r="I130" s="129"/>
      <c r="J130" s="120">
        <f>IF(Z124="","",MROUND(Z124*0.85,'Start-Options'!B38))</f>
        <v>75</v>
      </c>
      <c r="K130" s="156"/>
      <c r="L130" s="122" t="str">
        <f>IF(K130="","",MROUND(36*J130/(37-K130),'Start-Options'!B38))</f>
        <v/>
      </c>
      <c r="M130" s="105"/>
      <c r="N130" s="123"/>
      <c r="O130" s="123">
        <f>IF(Z124="","",MROUND(Z124*0.95,'Start-Options'!B38))</f>
        <v>82.5</v>
      </c>
      <c r="P130" s="120" t="str">
        <f>IF(L130="","",IF(F130&lt;Z124,ROUND((37-36*O130/(Z124+'Start-Options'!F34)),0),ROUND((37-36*O130/(F130+'Start-Options'!F34)),0)))</f>
        <v/>
      </c>
      <c r="Q130" s="125" t="str">
        <f>IF(P130="","",MROUND(O130*36/(37-P130),'Start-Options'!B38))</f>
        <v/>
      </c>
      <c r="R130" s="152"/>
      <c r="S130" s="127" t="str">
        <f>IF(R130="","",MROUND(36*O130/(37-R130),'Start-Options'!B38))</f>
        <v/>
      </c>
      <c r="T130" s="129">
        <f>Z124</f>
        <v>87.5</v>
      </c>
      <c r="U130" s="105"/>
      <c r="V130" s="123"/>
      <c r="W130" s="128">
        <f>IF(Z124="","",MROUND(Z124*0.6,'Start-Options'!B38))</f>
        <v>52.5</v>
      </c>
      <c r="X130" s="27"/>
      <c r="Y130" s="77" t="s">
        <v>96</v>
      </c>
      <c r="Z130" s="78" t="str">
        <f>IF(Z128="","",MROUND(Z128*0.5,'Start-Options'!$B$38))</f>
        <v/>
      </c>
      <c r="AA130" s="27"/>
      <c r="AB130" s="27"/>
      <c r="AC130" s="27"/>
    </row>
    <row r="131" ht="12.75" customHeight="1">
      <c r="A131" s="111"/>
      <c r="B131" s="107">
        <f>IF(Z125="","",MROUND(Z125*0.7,'Start-Options'!B38))</f>
        <v>80</v>
      </c>
      <c r="C131" s="103"/>
      <c r="D131" s="103"/>
      <c r="E131" s="103"/>
      <c r="F131" s="104"/>
      <c r="G131" s="279"/>
      <c r="H131" s="105"/>
      <c r="I131" s="37"/>
      <c r="J131" s="103">
        <f>IF(Z125="","",MROUND(Z125*0.65,'Start-Options'!B38))</f>
        <v>75</v>
      </c>
      <c r="K131" s="103"/>
      <c r="L131" s="104"/>
      <c r="M131" s="105"/>
      <c r="N131" s="106"/>
      <c r="O131" s="106">
        <f>IF(Z125="","",MROUND(Z125*0.75,'Start-Options'!B38))</f>
        <v>87.5</v>
      </c>
      <c r="P131" s="108"/>
      <c r="Q131" s="108"/>
      <c r="R131" s="108"/>
      <c r="S131" s="109"/>
      <c r="T131" s="118"/>
      <c r="U131" s="105"/>
      <c r="V131" s="106"/>
      <c r="W131" s="110">
        <f>IF(Z125="","",MROUND(Z125*0.4,'Start-Options'!B38))</f>
        <v>45</v>
      </c>
      <c r="X131" s="27"/>
      <c r="Y131" s="82" t="s">
        <v>97</v>
      </c>
      <c r="Z131" s="83" t="str">
        <f>IF(Z128="","",MROUND(Z128*0.6,'Start-Options'!$B$38))</f>
        <v/>
      </c>
      <c r="AA131" s="27"/>
      <c r="AB131" s="27"/>
      <c r="AC131" s="27"/>
    </row>
    <row r="132" ht="12.75" customHeight="1">
      <c r="A132" s="111" t="str">
        <f>'Start-Options'!B7</f>
        <v>Squat</v>
      </c>
      <c r="B132" s="115">
        <f>IF(Z125="","",MROUND(Z125*0.8,'Start-Options'!B38))</f>
        <v>92.5</v>
      </c>
      <c r="C132" s="112"/>
      <c r="D132" s="112"/>
      <c r="E132" s="112"/>
      <c r="F132" s="113"/>
      <c r="G132" s="279"/>
      <c r="H132" s="105"/>
      <c r="I132" s="118" t="str">
        <f>'Start-Options'!B7</f>
        <v>Squat</v>
      </c>
      <c r="J132" s="112">
        <f>IF(Z125="","",MROUND(Z125*0.75,'Start-Options'!B38))</f>
        <v>87.5</v>
      </c>
      <c r="K132" s="112"/>
      <c r="L132" s="113"/>
      <c r="M132" s="105"/>
      <c r="N132" s="114" t="str">
        <f>'Start-Options'!B7</f>
        <v>Squat</v>
      </c>
      <c r="O132" s="114">
        <f>IF(Z125="","",MROUND(Z125*0.85,'Start-Options'!B38))</f>
        <v>97.5</v>
      </c>
      <c r="P132" s="105"/>
      <c r="Q132" s="105"/>
      <c r="R132" s="105"/>
      <c r="S132" s="116"/>
      <c r="T132" s="118"/>
      <c r="U132" s="105"/>
      <c r="V132" s="114" t="str">
        <f>'Start-Options'!B7</f>
        <v>Squat</v>
      </c>
      <c r="W132" s="117">
        <f>IF(Z125="","",MROUND(Z125*0.5,'Start-Options'!B38))</f>
        <v>57.5</v>
      </c>
      <c r="X132" s="27"/>
      <c r="Y132" s="27"/>
      <c r="Z132" s="27"/>
      <c r="AA132" s="27"/>
      <c r="AB132" s="27"/>
      <c r="AC132" s="27"/>
    </row>
    <row r="133" ht="13.5" customHeight="1">
      <c r="A133" s="131"/>
      <c r="B133" s="137">
        <f>IF(Z125="","",MROUND(Z125*0.9,'Start-Options'!B38))</f>
        <v>102.5</v>
      </c>
      <c r="C133" s="132">
        <f>IF(Z125="","",ROUND((37-36*B133/(Z125+'Start-Options'!F35)),0))</f>
        <v>6</v>
      </c>
      <c r="D133" s="132">
        <f>IF(Z125="","",MROUND(B133*36/(37-C133),'Start-Options'!B38))</f>
        <v>120</v>
      </c>
      <c r="E133" s="157"/>
      <c r="F133" s="134" t="str">
        <f>IF(E133="","",MROUND(36*B133/(37-E133),'Start-Options'!B38))</f>
        <v/>
      </c>
      <c r="G133" s="281">
        <f>Z125</f>
        <v>115</v>
      </c>
      <c r="H133" s="135"/>
      <c r="I133" s="277"/>
      <c r="J133" s="132">
        <f>IF(Z125="","",MROUND(Z125*0.85,'Start-Options'!B38))</f>
        <v>97.5</v>
      </c>
      <c r="K133" s="157"/>
      <c r="L133" s="134" t="str">
        <f>IF(K133="","",MROUND(36*J133/(37-K133),'Start-Options'!B38))</f>
        <v/>
      </c>
      <c r="M133" s="135"/>
      <c r="N133" s="136"/>
      <c r="O133" s="136">
        <f>IF(Z125="","",MROUND(Z125*0.95,'Start-Options'!B38))</f>
        <v>110</v>
      </c>
      <c r="P133" s="132" t="str">
        <f>IF(L133="","",IF(F133&lt;Z125,ROUND((37-36*O133/(Z125+'Start-Options'!F35)),0),ROUND((37-36*O133/(F133+'Start-Options'!F35)),0)))</f>
        <v/>
      </c>
      <c r="Q133" s="135" t="str">
        <f>IF(P133="","",MROUND(O133*36/(37-P133),'Start-Options'!B38))</f>
        <v/>
      </c>
      <c r="R133" s="161"/>
      <c r="S133" s="139" t="str">
        <f>IF(R133="","",MROUND(36*O133/(37-R133),'Start-Options'!B38))</f>
        <v/>
      </c>
      <c r="T133" s="277">
        <f>Z125</f>
        <v>115</v>
      </c>
      <c r="U133" s="135"/>
      <c r="V133" s="136"/>
      <c r="W133" s="140">
        <f>IF(Z125="","",MROUND(Z125*0.6,'Start-Options'!B38))</f>
        <v>70</v>
      </c>
      <c r="X133" s="27"/>
      <c r="Y133" s="27"/>
      <c r="Z133" s="27"/>
      <c r="AA133" s="27"/>
      <c r="AB133" s="27"/>
      <c r="AC133" s="27"/>
    </row>
    <row r="134" ht="12.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row>
    <row r="135" ht="21.0" customHeight="1">
      <c r="A135" s="27"/>
      <c r="B135" s="27"/>
      <c r="C135" s="27"/>
      <c r="D135" s="27"/>
      <c r="E135" s="27"/>
      <c r="F135" s="27"/>
      <c r="G135" s="27"/>
      <c r="H135" s="27"/>
      <c r="I135" s="27"/>
      <c r="J135" s="27"/>
      <c r="K135" s="27"/>
      <c r="L135" s="86" t="s">
        <v>142</v>
      </c>
      <c r="M135" s="65"/>
      <c r="N135" s="65"/>
      <c r="O135" s="160"/>
      <c r="P135" s="27"/>
      <c r="Q135" s="27"/>
      <c r="R135" s="27"/>
      <c r="S135" s="27"/>
      <c r="T135" s="27"/>
      <c r="U135" s="27"/>
      <c r="V135" s="27"/>
      <c r="W135" s="27"/>
      <c r="X135" s="27"/>
      <c r="Y135" s="27"/>
      <c r="Z135" s="27"/>
      <c r="AA135" s="27"/>
      <c r="AB135" s="27"/>
      <c r="AC135" s="27"/>
    </row>
    <row r="136" ht="15.75" customHeight="1">
      <c r="A136" s="88"/>
      <c r="B136" s="91"/>
      <c r="C136" s="89" t="s">
        <v>333</v>
      </c>
      <c r="D136" s="91"/>
      <c r="E136" s="91"/>
      <c r="F136" s="91"/>
      <c r="G136" s="91"/>
      <c r="H136" s="91"/>
      <c r="I136" s="91"/>
      <c r="J136" s="89" t="s">
        <v>334</v>
      </c>
      <c r="K136" s="60"/>
      <c r="L136" s="60"/>
      <c r="M136" s="91"/>
      <c r="N136" s="91"/>
      <c r="O136" s="91"/>
      <c r="P136" s="89" t="s">
        <v>145</v>
      </c>
      <c r="Q136" s="60"/>
      <c r="R136" s="60"/>
      <c r="S136" s="91"/>
      <c r="T136" s="91"/>
      <c r="U136" s="91"/>
      <c r="V136" s="93" t="s">
        <v>146</v>
      </c>
      <c r="W136" s="94"/>
      <c r="X136" s="27"/>
      <c r="Y136" s="27"/>
      <c r="Z136" s="27"/>
      <c r="AA136" s="27"/>
      <c r="AB136" s="27"/>
      <c r="AC136" s="27"/>
    </row>
    <row r="137" ht="32.25" customHeight="1">
      <c r="A137" s="95"/>
      <c r="B137" s="96" t="s">
        <v>26</v>
      </c>
      <c r="C137" s="97" t="s">
        <v>88</v>
      </c>
      <c r="D137" s="97" t="s">
        <v>89</v>
      </c>
      <c r="E137" s="97" t="s">
        <v>90</v>
      </c>
      <c r="F137" s="96" t="s">
        <v>91</v>
      </c>
      <c r="G137" s="276" t="s">
        <v>317</v>
      </c>
      <c r="H137" s="27"/>
      <c r="I137" s="98"/>
      <c r="J137" s="96" t="s">
        <v>26</v>
      </c>
      <c r="K137" s="97" t="s">
        <v>90</v>
      </c>
      <c r="L137" s="96" t="s">
        <v>91</v>
      </c>
      <c r="M137" s="27"/>
      <c r="N137" s="98"/>
      <c r="O137" s="96" t="s">
        <v>26</v>
      </c>
      <c r="P137" s="97" t="s">
        <v>88</v>
      </c>
      <c r="Q137" s="97" t="s">
        <v>89</v>
      </c>
      <c r="R137" s="97" t="s">
        <v>90</v>
      </c>
      <c r="S137" s="96" t="s">
        <v>91</v>
      </c>
      <c r="T137" s="276" t="s">
        <v>318</v>
      </c>
      <c r="U137" s="27"/>
      <c r="V137" s="99"/>
      <c r="W137" s="159" t="s">
        <v>26</v>
      </c>
      <c r="X137" s="27"/>
      <c r="Y137" s="101" t="s">
        <v>147</v>
      </c>
      <c r="Z137" s="71"/>
      <c r="AA137" s="142" t="s">
        <v>104</v>
      </c>
      <c r="AB137" s="143" t="s">
        <v>105</v>
      </c>
      <c r="AC137" s="27"/>
    </row>
    <row r="138" ht="12.75" customHeight="1">
      <c r="A138" s="102"/>
      <c r="B138" s="107">
        <f>IF(Z138="","",MROUND(Z138*0.7,'Start-Options'!B38))</f>
        <v>50</v>
      </c>
      <c r="C138" s="103"/>
      <c r="D138" s="103"/>
      <c r="E138" s="103"/>
      <c r="F138" s="104"/>
      <c r="G138" s="278"/>
      <c r="H138" s="105"/>
      <c r="I138" s="37"/>
      <c r="J138" s="103">
        <f>IF(Z138="","",MROUND(Z138*0.65,'Start-Options'!B38))</f>
        <v>45</v>
      </c>
      <c r="K138" s="103"/>
      <c r="L138" s="104"/>
      <c r="M138" s="105"/>
      <c r="N138" s="106"/>
      <c r="O138" s="106">
        <f>IF(Z138="","",MROUND(Z138*0.75,'Start-Options'!B38))</f>
        <v>52.5</v>
      </c>
      <c r="P138" s="108"/>
      <c r="Q138" s="108"/>
      <c r="R138" s="108"/>
      <c r="S138" s="109"/>
      <c r="T138" s="37"/>
      <c r="U138" s="105"/>
      <c r="V138" s="106"/>
      <c r="W138" s="110">
        <f>IF(Z138="","",MROUND(Z138*0.4,'Start-Options'!B38))</f>
        <v>27.5</v>
      </c>
      <c r="X138" s="27"/>
      <c r="Y138" s="37" t="str">
        <f>'Start-Options'!B4</f>
        <v>Military</v>
      </c>
      <c r="Z138" s="106">
        <f>IF(Z122="","",IF(ISTEXT(AA122),Z122-AB122,Z122+'Start-Options'!C32))</f>
        <v>70</v>
      </c>
      <c r="AA138" s="36"/>
      <c r="AB138" s="147"/>
      <c r="AC138" s="27"/>
    </row>
    <row r="139" ht="12.75" customHeight="1">
      <c r="A139" s="111" t="str">
        <f>'Start-Options'!B4</f>
        <v>Military</v>
      </c>
      <c r="B139" s="115">
        <f>IF(Z138="","",MROUND(Z138*0.8,'Start-Options'!B38))</f>
        <v>55</v>
      </c>
      <c r="C139" s="112"/>
      <c r="D139" s="112"/>
      <c r="E139" s="112"/>
      <c r="F139" s="113"/>
      <c r="G139" s="279"/>
      <c r="H139" s="105"/>
      <c r="I139" s="118" t="str">
        <f>'Start-Options'!B4</f>
        <v>Military</v>
      </c>
      <c r="J139" s="112">
        <f>IF(Z138="","",MROUND(Z138*0.75,'Start-Options'!B38))</f>
        <v>52.5</v>
      </c>
      <c r="K139" s="112"/>
      <c r="L139" s="113"/>
      <c r="M139" s="105"/>
      <c r="N139" s="114" t="str">
        <f>'Start-Options'!B4</f>
        <v>Military</v>
      </c>
      <c r="O139" s="114">
        <f>IF(Z138="","",MROUND(Z138*0.85,'Start-Options'!B38))</f>
        <v>60</v>
      </c>
      <c r="P139" s="105"/>
      <c r="Q139" s="105"/>
      <c r="R139" s="105"/>
      <c r="S139" s="116"/>
      <c r="T139" s="118"/>
      <c r="U139" s="105"/>
      <c r="V139" s="114" t="str">
        <f>'Start-Options'!B4</f>
        <v>Military</v>
      </c>
      <c r="W139" s="117">
        <f>IF(Z138="","",MROUND(Z138*0.5,'Start-Options'!B38))</f>
        <v>35</v>
      </c>
      <c r="X139" s="27"/>
      <c r="Y139" s="118" t="str">
        <f>'Start-Options'!B5</f>
        <v>Deadlift</v>
      </c>
      <c r="Z139" s="114">
        <f>IF(Z123="","",IF(ISTEXT(AA123),Z123-AB123,Z123+'Start-Options'!C33))</f>
        <v>150</v>
      </c>
      <c r="AA139" s="151"/>
      <c r="AB139" s="147"/>
      <c r="AC139" s="27"/>
    </row>
    <row r="140" ht="12.75" customHeight="1">
      <c r="A140" s="119"/>
      <c r="B140" s="124">
        <f>IF(Z138="","",MROUND(Z138*0.9,'Start-Options'!B38))</f>
        <v>62.5</v>
      </c>
      <c r="C140" s="120">
        <f>IF(Z138="","",ROUND((37-36*B140/(Z138+'Start-Options'!F32)),0))</f>
        <v>6</v>
      </c>
      <c r="D140" s="120">
        <f>IF(Z138="","",MROUND(B140*36/(37-C140),'Start-Options'!B38))</f>
        <v>72.5</v>
      </c>
      <c r="E140" s="156"/>
      <c r="F140" s="122" t="str">
        <f>IF(E140="","",MROUND(36*B140/(37-E140),'Start-Options'!B38))</f>
        <v/>
      </c>
      <c r="G140" s="279">
        <f>Z138</f>
        <v>70</v>
      </c>
      <c r="H140" s="105"/>
      <c r="I140" s="129"/>
      <c r="J140" s="120">
        <f>IF(Z138="","",MROUND(Z138*0.85,'Start-Options'!B38))</f>
        <v>60</v>
      </c>
      <c r="K140" s="156"/>
      <c r="L140" s="122" t="str">
        <f>IF(K140="","",MROUND(36*J140/(37-K140),'Start-Options'!B38))</f>
        <v/>
      </c>
      <c r="M140" s="105"/>
      <c r="N140" s="123"/>
      <c r="O140" s="123">
        <f>IF(Z138="","",MROUND(Z138*0.95,'Start-Options'!B38))</f>
        <v>67.5</v>
      </c>
      <c r="P140" s="120" t="str">
        <f>IF(L140="","",IF(F140&lt;Z138,ROUND((37-36*O140/(Z138+'Start-Options'!F32)),0),ROUND((37-36*O140/(F140+'Start-Options'!F32)),0)))</f>
        <v/>
      </c>
      <c r="Q140" s="125" t="str">
        <f>IF(P140="","",MROUND(O140*36/(37-P140),'Start-Options'!B38))</f>
        <v/>
      </c>
      <c r="R140" s="152"/>
      <c r="S140" s="127" t="str">
        <f>IF(R140="","",MROUND(36*O140/(37-R140),'Start-Options'!B38))</f>
        <v/>
      </c>
      <c r="T140" s="129">
        <f>Z138</f>
        <v>70</v>
      </c>
      <c r="U140" s="105"/>
      <c r="V140" s="123"/>
      <c r="W140" s="128">
        <f>IF(Z138="","",MROUND(Z138*0.6,'Start-Options'!B38))</f>
        <v>42.5</v>
      </c>
      <c r="X140" s="27"/>
      <c r="Y140" s="118" t="str">
        <f>'Start-Options'!B6</f>
        <v>Bench</v>
      </c>
      <c r="Z140" s="114">
        <f>IF(Z124="","",IF(ISTEXT(AA124),Z124-AB124,Z124+'Start-Options'!C34))</f>
        <v>90</v>
      </c>
      <c r="AA140" s="151"/>
      <c r="AB140" s="147"/>
      <c r="AC140" s="27"/>
    </row>
    <row r="141" ht="12.75" customHeight="1">
      <c r="A141" s="102"/>
      <c r="B141" s="107">
        <f>IF(Z139="","",MROUND(Z139*0.7,'Start-Options'!B38))</f>
        <v>105</v>
      </c>
      <c r="C141" s="103"/>
      <c r="D141" s="103"/>
      <c r="E141" s="103"/>
      <c r="F141" s="104"/>
      <c r="G141" s="278"/>
      <c r="H141" s="105"/>
      <c r="I141" s="37"/>
      <c r="J141" s="103">
        <f>IF(Z139="","",MROUND(Z139*0.65,'Start-Options'!B38))</f>
        <v>97.5</v>
      </c>
      <c r="K141" s="103"/>
      <c r="L141" s="104"/>
      <c r="M141" s="105"/>
      <c r="N141" s="106"/>
      <c r="O141" s="106">
        <f>IF(Z139="","",MROUND(Z139*0.75,'Start-Options'!B38))</f>
        <v>112.5</v>
      </c>
      <c r="P141" s="108"/>
      <c r="Q141" s="108"/>
      <c r="R141" s="108"/>
      <c r="S141" s="109"/>
      <c r="T141" s="118"/>
      <c r="U141" s="105"/>
      <c r="V141" s="106"/>
      <c r="W141" s="110">
        <f>IF(Z139="","",MROUND(Z139*0.4,'Start-Options'!B38))</f>
        <v>60</v>
      </c>
      <c r="X141" s="27"/>
      <c r="Y141" s="129" t="str">
        <f>'Start-Options'!B7</f>
        <v>Squat</v>
      </c>
      <c r="Z141" s="123">
        <f>IF(Z125="","",IF(ISTEXT(AA125),Z125-AB125,Z125+'Start-Options'!C35))</f>
        <v>120</v>
      </c>
      <c r="AA141" s="154"/>
      <c r="AB141" s="155"/>
      <c r="AC141" s="27"/>
    </row>
    <row r="142" ht="12.75" customHeight="1">
      <c r="A142" s="111" t="str">
        <f>'Start-Options'!B5</f>
        <v>Deadlift</v>
      </c>
      <c r="B142" s="115">
        <f>IF(Z139="","",MROUND(Z139*0.8,'Start-Options'!B38))</f>
        <v>120</v>
      </c>
      <c r="C142" s="112"/>
      <c r="D142" s="112"/>
      <c r="E142" s="112"/>
      <c r="F142" s="113"/>
      <c r="G142" s="279"/>
      <c r="H142" s="105"/>
      <c r="I142" s="118" t="str">
        <f>'Start-Options'!B5</f>
        <v>Deadlift</v>
      </c>
      <c r="J142" s="112">
        <f>IF(Z139="","",MROUND(Z139*0.75,'Start-Options'!B38))</f>
        <v>112.5</v>
      </c>
      <c r="K142" s="112"/>
      <c r="L142" s="113"/>
      <c r="M142" s="105"/>
      <c r="N142" s="114" t="str">
        <f>'Start-Options'!B5</f>
        <v>Deadlift</v>
      </c>
      <c r="O142" s="114">
        <f>IF(Z139="","",MROUND(Z139*0.85,'Start-Options'!B38))</f>
        <v>127.5</v>
      </c>
      <c r="P142" s="105"/>
      <c r="Q142" s="105"/>
      <c r="R142" s="105"/>
      <c r="S142" s="116"/>
      <c r="T142" s="118"/>
      <c r="U142" s="105"/>
      <c r="V142" s="114" t="str">
        <f>'Start-Options'!B5</f>
        <v>Deadlift</v>
      </c>
      <c r="W142" s="117">
        <f>IF(Z139="","",MROUND(Z139*0.5,'Start-Options'!B38))</f>
        <v>75</v>
      </c>
      <c r="X142" s="27"/>
      <c r="Y142" s="27"/>
      <c r="Z142" s="27"/>
      <c r="AA142" s="27"/>
      <c r="AB142" s="27"/>
      <c r="AC142" s="27"/>
    </row>
    <row r="143" ht="12.75" customHeight="1">
      <c r="A143" s="130"/>
      <c r="B143" s="124">
        <f>IF(Z139="","",MROUND(Z139*0.9,'Start-Options'!B38))</f>
        <v>135</v>
      </c>
      <c r="C143" s="120">
        <f>IF(Z139="","",ROUND((37-36*B143/(Z139+'Start-Options'!F33)),0))</f>
        <v>5</v>
      </c>
      <c r="D143" s="120">
        <f>IF(Z139="","",MROUND(B143*36/(37-C143),'Start-Options'!B38))</f>
        <v>152.5</v>
      </c>
      <c r="E143" s="156"/>
      <c r="F143" s="122" t="str">
        <f>IF(E143="","",MROUND(36*B143/(37-E143),'Start-Options'!B38))</f>
        <v/>
      </c>
      <c r="G143" s="280">
        <f>Z139</f>
        <v>150</v>
      </c>
      <c r="H143" s="105"/>
      <c r="I143" s="129"/>
      <c r="J143" s="120">
        <f>IF(Z139="","",MROUND(Z139*0.85,'Start-Options'!B38))</f>
        <v>127.5</v>
      </c>
      <c r="K143" s="156"/>
      <c r="L143" s="122" t="str">
        <f>IF(K143="","",MROUND(36*J143/(37-K143),'Start-Options'!B38))</f>
        <v/>
      </c>
      <c r="M143" s="105"/>
      <c r="N143" s="123"/>
      <c r="O143" s="123">
        <f>IF(Z139="","",MROUND(Z139*0.95,'Start-Options'!B38))</f>
        <v>142.5</v>
      </c>
      <c r="P143" s="120" t="str">
        <f>IF(L143="","",IF(F143&lt;Z139,ROUND((37-36*O143/(Z139+'Start-Options'!F33)),0),ROUND((37-36*O143/(F143+'Start-Options'!F33)),0)))</f>
        <v/>
      </c>
      <c r="Q143" s="125" t="str">
        <f>IF(P143="","",MROUND(O143*36/(37-P143),'Start-Options'!B38))</f>
        <v/>
      </c>
      <c r="R143" s="152"/>
      <c r="S143" s="127" t="str">
        <f>IF(R143="","",MROUND(36*O143/(37-R143),'Start-Options'!B38))</f>
        <v/>
      </c>
      <c r="T143" s="118">
        <f>Z139</f>
        <v>150</v>
      </c>
      <c r="U143" s="105"/>
      <c r="V143" s="123"/>
      <c r="W143" s="128">
        <f>IF(Z139="","",MROUND(Z139*0.6,'Start-Options'!B38))</f>
        <v>90</v>
      </c>
      <c r="X143" s="27"/>
      <c r="Y143" s="70" t="s">
        <v>93</v>
      </c>
      <c r="Z143" s="71"/>
      <c r="AA143" s="27"/>
      <c r="AB143" s="27"/>
      <c r="AC143" s="27"/>
    </row>
    <row r="144" ht="12.75" customHeight="1">
      <c r="A144" s="102"/>
      <c r="B144" s="107">
        <f>IF(Z140="","",MROUND(Z140*0.7,'Start-Options'!B38))</f>
        <v>62.5</v>
      </c>
      <c r="C144" s="103"/>
      <c r="D144" s="103"/>
      <c r="E144" s="103"/>
      <c r="F144" s="104"/>
      <c r="G144" s="279"/>
      <c r="H144" s="105"/>
      <c r="I144" s="37"/>
      <c r="J144" s="103">
        <f>IF(Z140="","",MROUND(Z140*0.65,'Start-Options'!B38))</f>
        <v>57.5</v>
      </c>
      <c r="K144" s="103"/>
      <c r="L144" s="104"/>
      <c r="M144" s="105"/>
      <c r="N144" s="106"/>
      <c r="O144" s="106">
        <f>IF(Z140="","",MROUND(Z140*0.75,'Start-Options'!B38))</f>
        <v>67.5</v>
      </c>
      <c r="P144" s="108"/>
      <c r="Q144" s="108"/>
      <c r="R144" s="108"/>
      <c r="S144" s="109"/>
      <c r="T144" s="37"/>
      <c r="U144" s="105"/>
      <c r="V144" s="106"/>
      <c r="W144" s="110">
        <f>IF(Z140="","",MROUND(Z140*0.4,'Start-Options'!B38))</f>
        <v>35</v>
      </c>
      <c r="X144" s="27"/>
      <c r="Y144" s="25" t="s">
        <v>94</v>
      </c>
      <c r="Z144" s="162"/>
      <c r="AA144" s="27"/>
      <c r="AB144" s="27"/>
      <c r="AC144" s="27"/>
    </row>
    <row r="145" ht="12.75" customHeight="1">
      <c r="A145" s="111" t="str">
        <f>'Start-Options'!B6</f>
        <v>Bench</v>
      </c>
      <c r="B145" s="115">
        <f>IF(Z140="","",MROUND(Z140*0.8,'Start-Options'!B38))</f>
        <v>72.5</v>
      </c>
      <c r="C145" s="112"/>
      <c r="D145" s="112"/>
      <c r="E145" s="112"/>
      <c r="F145" s="113"/>
      <c r="G145" s="279"/>
      <c r="H145" s="105"/>
      <c r="I145" s="118" t="str">
        <f>'Start-Options'!B6</f>
        <v>Bench</v>
      </c>
      <c r="J145" s="112">
        <f>IF(Z140="","",MROUND(Z140*0.75,'Start-Options'!B38))</f>
        <v>67.5</v>
      </c>
      <c r="K145" s="112"/>
      <c r="L145" s="113"/>
      <c r="M145" s="105"/>
      <c r="N145" s="114" t="str">
        <f>'Start-Options'!B6</f>
        <v>Bench</v>
      </c>
      <c r="O145" s="114">
        <f>IF(Z140="","",MROUND(Z140*0.85,'Start-Options'!B38))</f>
        <v>77.5</v>
      </c>
      <c r="P145" s="105"/>
      <c r="Q145" s="105"/>
      <c r="R145" s="105"/>
      <c r="S145" s="116"/>
      <c r="T145" s="118"/>
      <c r="U145" s="105"/>
      <c r="V145" s="114" t="str">
        <f>'Start-Options'!B6</f>
        <v>Bench</v>
      </c>
      <c r="W145" s="117">
        <f>IF(Z140="","",MROUND(Z140*0.5,'Start-Options'!B38))</f>
        <v>45</v>
      </c>
      <c r="X145" s="27"/>
      <c r="Y145" s="77" t="s">
        <v>95</v>
      </c>
      <c r="Z145" s="78" t="str">
        <f>IF(Z144="","",MROUND(Z144*0.4,'Start-Options'!$B$38))</f>
        <v/>
      </c>
      <c r="AA145" s="27"/>
      <c r="AB145" s="27"/>
      <c r="AC145" s="27"/>
    </row>
    <row r="146" ht="12.75" customHeight="1">
      <c r="A146" s="119"/>
      <c r="B146" s="124">
        <f>IF(Z140="","",MROUND(Z140*0.9,'Start-Options'!B38))</f>
        <v>80</v>
      </c>
      <c r="C146" s="120">
        <f>IF(Z140="","",ROUND((37-36*B146/(Z140+'Start-Options'!F34)),0))</f>
        <v>6</v>
      </c>
      <c r="D146" s="120">
        <f>IF(Z140="","",MROUND(B146*36/(37-C146),'Start-Options'!B38))</f>
        <v>92.5</v>
      </c>
      <c r="E146" s="156"/>
      <c r="F146" s="122" t="str">
        <f>IF(E146="","",MROUND(36*B146/(37-E146),'Start-Options'!B38))</f>
        <v/>
      </c>
      <c r="G146" s="279">
        <f>Z140</f>
        <v>90</v>
      </c>
      <c r="H146" s="105"/>
      <c r="I146" s="129"/>
      <c r="J146" s="120">
        <f>IF(Z140="","",MROUND(Z140*0.85,'Start-Options'!B38))</f>
        <v>77.5</v>
      </c>
      <c r="K146" s="156"/>
      <c r="L146" s="122" t="str">
        <f>IF(K146="","",MROUND(36*J146/(37-K146),'Start-Options'!B38))</f>
        <v/>
      </c>
      <c r="M146" s="105"/>
      <c r="N146" s="123"/>
      <c r="O146" s="123">
        <f>IF(Z140="","",MROUND(Z140*0.95,'Start-Options'!B38))</f>
        <v>85</v>
      </c>
      <c r="P146" s="120" t="str">
        <f>IF(L146="","",IF(F146&lt;Z140,ROUND((37-36*O146/(Z140+'Start-Options'!F34)),0),ROUND((37-36*O146/(F146+'Start-Options'!F34)),0)))</f>
        <v/>
      </c>
      <c r="Q146" s="125" t="str">
        <f>IF(P146="","",MROUND(O146*36/(37-P146),'Start-Options'!B38))</f>
        <v/>
      </c>
      <c r="R146" s="152"/>
      <c r="S146" s="127" t="str">
        <f>IF(R146="","",MROUND(36*O146/(37-R146),'Start-Options'!B38))</f>
        <v/>
      </c>
      <c r="T146" s="129">
        <f>Z140</f>
        <v>90</v>
      </c>
      <c r="U146" s="105"/>
      <c r="V146" s="123"/>
      <c r="W146" s="128">
        <f>IF(Z140="","",MROUND(Z140*0.6,'Start-Options'!B38))</f>
        <v>55</v>
      </c>
      <c r="X146" s="27"/>
      <c r="Y146" s="77" t="s">
        <v>96</v>
      </c>
      <c r="Z146" s="78" t="str">
        <f>IF(Z144="","",MROUND(Z144*0.5,'Start-Options'!$B$38))</f>
        <v/>
      </c>
      <c r="AA146" s="27"/>
      <c r="AB146" s="27"/>
      <c r="AC146" s="27"/>
    </row>
    <row r="147" ht="12.75" customHeight="1">
      <c r="A147" s="111"/>
      <c r="B147" s="107">
        <f>IF(Z141="","",MROUND(Z141*0.7,'Start-Options'!B38))</f>
        <v>85</v>
      </c>
      <c r="C147" s="103"/>
      <c r="D147" s="103"/>
      <c r="E147" s="103"/>
      <c r="F147" s="104"/>
      <c r="G147" s="278"/>
      <c r="H147" s="105"/>
      <c r="I147" s="37"/>
      <c r="J147" s="103">
        <f>IF(Z141="","",MROUND(Z141*0.65,'Start-Options'!B38))</f>
        <v>77.5</v>
      </c>
      <c r="K147" s="103"/>
      <c r="L147" s="104"/>
      <c r="M147" s="105"/>
      <c r="N147" s="106"/>
      <c r="O147" s="106">
        <f>IF(Z141="","",MROUND(Z141*0.75,'Start-Options'!B38))</f>
        <v>90</v>
      </c>
      <c r="P147" s="108"/>
      <c r="Q147" s="108"/>
      <c r="R147" s="108"/>
      <c r="S147" s="109"/>
      <c r="T147" s="118"/>
      <c r="U147" s="105"/>
      <c r="V147" s="106"/>
      <c r="W147" s="110">
        <f>IF(Z141="","",MROUND(Z141*0.4,'Start-Options'!B38))</f>
        <v>47.5</v>
      </c>
      <c r="X147" s="27"/>
      <c r="Y147" s="82" t="s">
        <v>97</v>
      </c>
      <c r="Z147" s="83" t="str">
        <f>IF(Z144="","",MROUND(Z144*0.6,'Start-Options'!$B$38))</f>
        <v/>
      </c>
      <c r="AA147" s="27"/>
      <c r="AB147" s="27"/>
      <c r="AC147" s="27"/>
    </row>
    <row r="148" ht="12.75" customHeight="1">
      <c r="A148" s="111" t="str">
        <f>'Start-Options'!B7</f>
        <v>Squat</v>
      </c>
      <c r="B148" s="115">
        <f>IF(Z141="","",MROUND(Z141*0.8,'Start-Options'!B38))</f>
        <v>95</v>
      </c>
      <c r="C148" s="112"/>
      <c r="D148" s="112"/>
      <c r="E148" s="112"/>
      <c r="F148" s="113"/>
      <c r="G148" s="279"/>
      <c r="H148" s="105"/>
      <c r="I148" s="118" t="str">
        <f>'Start-Options'!B7</f>
        <v>Squat</v>
      </c>
      <c r="J148" s="112">
        <f>IF(Z141="","",MROUND(Z141*0.75,'Start-Options'!B38))</f>
        <v>90</v>
      </c>
      <c r="K148" s="112"/>
      <c r="L148" s="113"/>
      <c r="M148" s="105"/>
      <c r="N148" s="114" t="str">
        <f>'Start-Options'!B7</f>
        <v>Squat</v>
      </c>
      <c r="O148" s="114">
        <f>IF(Z141="","",MROUND(Z141*0.85,'Start-Options'!B38))</f>
        <v>102.5</v>
      </c>
      <c r="P148" s="105"/>
      <c r="Q148" s="105"/>
      <c r="R148" s="105"/>
      <c r="S148" s="116"/>
      <c r="T148" s="118"/>
      <c r="U148" s="105"/>
      <c r="V148" s="114" t="str">
        <f>'Start-Options'!B7</f>
        <v>Squat</v>
      </c>
      <c r="W148" s="117">
        <f>IF(Z141="","",MROUND(Z141*0.5,'Start-Options'!B38))</f>
        <v>60</v>
      </c>
      <c r="X148" s="27"/>
      <c r="Y148" s="27"/>
      <c r="Z148" s="27"/>
      <c r="AA148" s="27"/>
      <c r="AB148" s="27"/>
      <c r="AC148" s="27"/>
    </row>
    <row r="149" ht="13.5" customHeight="1">
      <c r="A149" s="131"/>
      <c r="B149" s="137">
        <f>IF(Z141="","",MROUND(Z141*0.9,'Start-Options'!B38))</f>
        <v>107.5</v>
      </c>
      <c r="C149" s="132">
        <f>IF(Z141="","",ROUND((37-36*B149/(Z141+'Start-Options'!F35)),0))</f>
        <v>5</v>
      </c>
      <c r="D149" s="132">
        <f>IF(Z141="","",MROUND(B149*36/(37-C149),'Start-Options'!B38))</f>
        <v>120</v>
      </c>
      <c r="E149" s="157"/>
      <c r="F149" s="134" t="str">
        <f>IF(E149="","",MROUND(36*B149/(37-E149),'Start-Options'!B38))</f>
        <v/>
      </c>
      <c r="G149" s="281">
        <f>Z141</f>
        <v>120</v>
      </c>
      <c r="H149" s="135"/>
      <c r="I149" s="277"/>
      <c r="J149" s="132">
        <f>IF(Z141="","",MROUND(Z141*0.85,'Start-Options'!B38))</f>
        <v>102.5</v>
      </c>
      <c r="K149" s="157"/>
      <c r="L149" s="134" t="str">
        <f>IF(K149="","",MROUND(36*J149/(37-K149),'Start-Options'!B38))</f>
        <v/>
      </c>
      <c r="M149" s="135"/>
      <c r="N149" s="136"/>
      <c r="O149" s="136">
        <f>IF(Z141="","",MROUND(Z141*0.95,'Start-Options'!B38))</f>
        <v>115</v>
      </c>
      <c r="P149" s="132" t="str">
        <f>IF(L149="","",IF(F149&lt;Z141,ROUND((37-36*O149/(Z141+'Start-Options'!F35)),0),ROUND((37-36*O149/(F149+'Start-Options'!F35)),0)))</f>
        <v/>
      </c>
      <c r="Q149" s="135" t="str">
        <f>IF(P149="","",MROUND(O149*36/(37-P149),'Start-Options'!B38))</f>
        <v/>
      </c>
      <c r="R149" s="161"/>
      <c r="S149" s="139" t="str">
        <f>IF(R149="","",MROUND(36*O149/(37-R149),'Start-Options'!B38))</f>
        <v/>
      </c>
      <c r="T149" s="277">
        <f>Z141</f>
        <v>120</v>
      </c>
      <c r="U149" s="135"/>
      <c r="V149" s="136"/>
      <c r="W149" s="140">
        <f>IF(Z141="","",MROUND(Z141*0.6,'Start-Options'!B38))</f>
        <v>72.5</v>
      </c>
      <c r="X149" s="27"/>
      <c r="Y149" s="27"/>
      <c r="Z149" s="27"/>
      <c r="AA149" s="27"/>
      <c r="AB149" s="27"/>
      <c r="AC149" s="27"/>
    </row>
    <row r="150"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row>
    <row r="151" ht="21.0" customHeight="1">
      <c r="A151" s="27"/>
      <c r="B151" s="27"/>
      <c r="C151" s="27"/>
      <c r="D151" s="27"/>
      <c r="E151" s="27"/>
      <c r="F151" s="27"/>
      <c r="G151" s="27"/>
      <c r="H151" s="27"/>
      <c r="I151" s="27"/>
      <c r="J151" s="27"/>
      <c r="K151" s="27"/>
      <c r="L151" s="86" t="s">
        <v>148</v>
      </c>
      <c r="M151" s="65"/>
      <c r="N151" s="65"/>
      <c r="O151" s="160"/>
      <c r="P151" s="27"/>
      <c r="Q151" s="27"/>
      <c r="R151" s="27"/>
      <c r="S151" s="27"/>
      <c r="T151" s="27"/>
      <c r="U151" s="27"/>
      <c r="V151" s="27"/>
      <c r="W151" s="27"/>
      <c r="X151" s="27"/>
      <c r="Y151" s="27"/>
      <c r="Z151" s="27"/>
      <c r="AA151" s="27"/>
      <c r="AB151" s="27"/>
      <c r="AC151" s="27"/>
    </row>
    <row r="152" ht="15.75" customHeight="1">
      <c r="A152" s="88"/>
      <c r="B152" s="91"/>
      <c r="C152" s="89" t="s">
        <v>335</v>
      </c>
      <c r="D152" s="91"/>
      <c r="E152" s="91"/>
      <c r="F152" s="91"/>
      <c r="G152" s="91"/>
      <c r="H152" s="91"/>
      <c r="I152" s="91"/>
      <c r="J152" s="89" t="s">
        <v>336</v>
      </c>
      <c r="K152" s="60"/>
      <c r="L152" s="91"/>
      <c r="M152" s="91"/>
      <c r="N152" s="91"/>
      <c r="O152" s="91"/>
      <c r="P152" s="89" t="s">
        <v>151</v>
      </c>
      <c r="Q152" s="60"/>
      <c r="R152" s="60"/>
      <c r="S152" s="91"/>
      <c r="T152" s="91"/>
      <c r="U152" s="91"/>
      <c r="V152" s="93" t="s">
        <v>152</v>
      </c>
      <c r="W152" s="94"/>
      <c r="X152" s="27"/>
      <c r="Y152" s="27"/>
      <c r="Z152" s="27"/>
      <c r="AA152" s="27"/>
      <c r="AB152" s="27"/>
      <c r="AC152" s="27"/>
    </row>
    <row r="153" ht="32.25" customHeight="1">
      <c r="A153" s="95"/>
      <c r="B153" s="96" t="s">
        <v>26</v>
      </c>
      <c r="C153" s="97" t="s">
        <v>88</v>
      </c>
      <c r="D153" s="97" t="s">
        <v>89</v>
      </c>
      <c r="E153" s="97" t="s">
        <v>90</v>
      </c>
      <c r="F153" s="96" t="s">
        <v>91</v>
      </c>
      <c r="G153" s="276" t="s">
        <v>317</v>
      </c>
      <c r="H153" s="27"/>
      <c r="I153" s="98"/>
      <c r="J153" s="96" t="s">
        <v>26</v>
      </c>
      <c r="K153" s="97" t="s">
        <v>90</v>
      </c>
      <c r="L153" s="96" t="s">
        <v>91</v>
      </c>
      <c r="M153" s="27"/>
      <c r="N153" s="98"/>
      <c r="O153" s="96" t="s">
        <v>26</v>
      </c>
      <c r="P153" s="97" t="s">
        <v>88</v>
      </c>
      <c r="Q153" s="97" t="s">
        <v>89</v>
      </c>
      <c r="R153" s="97" t="s">
        <v>90</v>
      </c>
      <c r="S153" s="96" t="s">
        <v>91</v>
      </c>
      <c r="T153" s="276" t="s">
        <v>318</v>
      </c>
      <c r="U153" s="27"/>
      <c r="V153" s="99"/>
      <c r="W153" s="159" t="s">
        <v>26</v>
      </c>
      <c r="X153" s="27"/>
      <c r="Y153" s="101" t="s">
        <v>153</v>
      </c>
      <c r="Z153" s="71"/>
      <c r="AA153" s="142" t="s">
        <v>104</v>
      </c>
      <c r="AB153" s="143" t="s">
        <v>105</v>
      </c>
      <c r="AC153" s="27"/>
    </row>
    <row r="154" ht="12.75" customHeight="1">
      <c r="A154" s="102"/>
      <c r="B154" s="107">
        <f>IF(Z154="","",MROUND(Z154*0.7,'Start-Options'!B38))</f>
        <v>50</v>
      </c>
      <c r="C154" s="103"/>
      <c r="D154" s="103"/>
      <c r="E154" s="103"/>
      <c r="F154" s="104"/>
      <c r="G154" s="278"/>
      <c r="H154" s="105"/>
      <c r="I154" s="37"/>
      <c r="J154" s="103">
        <f>IF(Z154="","",MROUND(Z154*0.65,'Start-Options'!B38))</f>
        <v>47.5</v>
      </c>
      <c r="K154" s="103"/>
      <c r="L154" s="104"/>
      <c r="M154" s="105"/>
      <c r="N154" s="106"/>
      <c r="O154" s="106">
        <f>IF(Z154="","",MROUND(Z154*0.75,'Start-Options'!B38))</f>
        <v>55</v>
      </c>
      <c r="P154" s="108"/>
      <c r="Q154" s="108"/>
      <c r="R154" s="108"/>
      <c r="S154" s="109"/>
      <c r="T154" s="118"/>
      <c r="U154" s="105"/>
      <c r="V154" s="106"/>
      <c r="W154" s="110">
        <f>IF(Z154="","",MROUND(Z154*0.4,'Start-Options'!B38))</f>
        <v>30</v>
      </c>
      <c r="X154" s="27"/>
      <c r="Y154" s="37" t="str">
        <f>'Start-Options'!B4</f>
        <v>Military</v>
      </c>
      <c r="Z154" s="106">
        <f>IF(Z138="","",IF(ISTEXT(AA138),Z138-AB138,Z138+'Start-Options'!C32))</f>
        <v>72.5</v>
      </c>
      <c r="AA154" s="36"/>
      <c r="AB154" s="147"/>
      <c r="AC154" s="27"/>
    </row>
    <row r="155" ht="12.75" customHeight="1">
      <c r="A155" s="111" t="str">
        <f>'Start-Options'!B4</f>
        <v>Military</v>
      </c>
      <c r="B155" s="115">
        <f>IF(Z154="","",MROUND(Z154*0.8,'Start-Options'!B38))</f>
        <v>57.5</v>
      </c>
      <c r="C155" s="112"/>
      <c r="D155" s="112"/>
      <c r="E155" s="112"/>
      <c r="F155" s="113"/>
      <c r="G155" s="279"/>
      <c r="H155" s="105"/>
      <c r="I155" s="118" t="str">
        <f>'Start-Options'!B4</f>
        <v>Military</v>
      </c>
      <c r="J155" s="112">
        <f>IF(Z154="","",MROUND(Z154*0.75,'Start-Options'!B38))</f>
        <v>55</v>
      </c>
      <c r="K155" s="112"/>
      <c r="L155" s="113"/>
      <c r="M155" s="105"/>
      <c r="N155" s="114" t="str">
        <f>'Start-Options'!B4</f>
        <v>Military</v>
      </c>
      <c r="O155" s="114">
        <f>IF(Z154="","",MROUND(Z154*0.85,'Start-Options'!B38))</f>
        <v>62.5</v>
      </c>
      <c r="P155" s="105"/>
      <c r="Q155" s="105"/>
      <c r="R155" s="105"/>
      <c r="S155" s="116"/>
      <c r="T155" s="118"/>
      <c r="U155" s="105"/>
      <c r="V155" s="114" t="str">
        <f>'Start-Options'!B4</f>
        <v>Military</v>
      </c>
      <c r="W155" s="117">
        <f>IF(Z154="","",MROUND(Z154*0.5,'Start-Options'!B38))</f>
        <v>37.5</v>
      </c>
      <c r="X155" s="27"/>
      <c r="Y155" s="118" t="str">
        <f>'Start-Options'!B5</f>
        <v>Deadlift</v>
      </c>
      <c r="Z155" s="114">
        <f>IF(Z139="","",IF(ISTEXT(AA139),Z139-AB139,Z139+'Start-Options'!C33))</f>
        <v>155</v>
      </c>
      <c r="AA155" s="151"/>
      <c r="AB155" s="147"/>
      <c r="AC155" s="27"/>
    </row>
    <row r="156" ht="12.75" customHeight="1">
      <c r="A156" s="119"/>
      <c r="B156" s="124">
        <f>IF(Z154="","",MROUND(Z154*0.9,'Start-Options'!B38))</f>
        <v>65</v>
      </c>
      <c r="C156" s="120">
        <f>IF(Z154="","",ROUND((37-36*B156/(Z154+'Start-Options'!F32)),0))</f>
        <v>6</v>
      </c>
      <c r="D156" s="120">
        <f>IF(Z154="","",MROUND(B156*36/(37-C156),'Start-Options'!B38))</f>
        <v>75</v>
      </c>
      <c r="E156" s="156"/>
      <c r="F156" s="122" t="str">
        <f>IF(E156="","",MROUND(36*B156/(37-E156),'Start-Options'!B38))</f>
        <v/>
      </c>
      <c r="G156" s="280">
        <f>Z154</f>
        <v>72.5</v>
      </c>
      <c r="H156" s="105"/>
      <c r="I156" s="129"/>
      <c r="J156" s="120">
        <f>IF(Z154="","",MROUND(Z154*0.85,'Start-Options'!B38))</f>
        <v>62.5</v>
      </c>
      <c r="K156" s="156"/>
      <c r="L156" s="122" t="str">
        <f>IF(K156="","",MROUND(36*J156/(37-K156),'Start-Options'!B38))</f>
        <v/>
      </c>
      <c r="M156" s="105"/>
      <c r="N156" s="123"/>
      <c r="O156" s="123">
        <f>IF(Z154="","",MROUND(Z154*0.95,'Start-Options'!B38))</f>
        <v>70</v>
      </c>
      <c r="P156" s="120" t="str">
        <f>IF(L156="","",IF(F156&lt;Z154,ROUND((37-36*O156/(Z154+'Start-Options'!F32)),0),ROUND((37-36*O156/(F156+'Start-Options'!F32)),0)))</f>
        <v/>
      </c>
      <c r="Q156" s="125" t="str">
        <f>IF(P156="","",MROUND(O156*36/(37-P156),'Start-Options'!B38))</f>
        <v/>
      </c>
      <c r="R156" s="152"/>
      <c r="S156" s="127" t="str">
        <f>IF(R156="","",MROUND(36*O156/(37-R156),'Start-Options'!B38))</f>
        <v/>
      </c>
      <c r="T156" s="129">
        <f>Z154</f>
        <v>72.5</v>
      </c>
      <c r="U156" s="105"/>
      <c r="V156" s="123"/>
      <c r="W156" s="128">
        <f>IF(Z154="","",MROUND(Z154*0.6,'Start-Options'!B38))</f>
        <v>42.5</v>
      </c>
      <c r="X156" s="27"/>
      <c r="Y156" s="118" t="str">
        <f>'Start-Options'!B6</f>
        <v>Bench</v>
      </c>
      <c r="Z156" s="114">
        <f>IF(Z140="","",IF(ISTEXT(AA140),Z140-AB140,Z140+'Start-Options'!C34))</f>
        <v>92.5</v>
      </c>
      <c r="AA156" s="151"/>
      <c r="AB156" s="147"/>
      <c r="AC156" s="27"/>
    </row>
    <row r="157" ht="12.75" customHeight="1">
      <c r="A157" s="102"/>
      <c r="B157" s="107">
        <f>IF(Z155="","",MROUND(Z155*0.7,'Start-Options'!B38))</f>
        <v>107.5</v>
      </c>
      <c r="C157" s="103"/>
      <c r="D157" s="103"/>
      <c r="E157" s="103"/>
      <c r="F157" s="104"/>
      <c r="G157" s="279"/>
      <c r="H157" s="105"/>
      <c r="I157" s="37"/>
      <c r="J157" s="103">
        <f>IF(Z155="","",MROUND(Z155*0.65,'Start-Options'!B38))</f>
        <v>100</v>
      </c>
      <c r="K157" s="103"/>
      <c r="L157" s="104"/>
      <c r="M157" s="105"/>
      <c r="N157" s="106"/>
      <c r="O157" s="106">
        <f>IF(Z155="","",MROUND(Z155*0.75,'Start-Options'!B38))</f>
        <v>117.5</v>
      </c>
      <c r="P157" s="108"/>
      <c r="Q157" s="108"/>
      <c r="R157" s="108"/>
      <c r="S157" s="109"/>
      <c r="T157" s="118"/>
      <c r="U157" s="105"/>
      <c r="V157" s="106"/>
      <c r="W157" s="110">
        <f>IF(Z155="","",MROUND(Z155*0.4,'Start-Options'!B38))</f>
        <v>62.5</v>
      </c>
      <c r="X157" s="27"/>
      <c r="Y157" s="129" t="str">
        <f>'Start-Options'!B7</f>
        <v>Squat</v>
      </c>
      <c r="Z157" s="123">
        <f>IF(Z141="","",IF(ISTEXT(AA141),Z141-AB141,Z141+'Start-Options'!C35))</f>
        <v>125</v>
      </c>
      <c r="AA157" s="154"/>
      <c r="AB157" s="155"/>
      <c r="AC157" s="27"/>
    </row>
    <row r="158" ht="12.75" customHeight="1">
      <c r="A158" s="111" t="str">
        <f>'Start-Options'!B5</f>
        <v>Deadlift</v>
      </c>
      <c r="B158" s="115">
        <f>IF(Z155="","",MROUND(Z155*0.8,'Start-Options'!B38))</f>
        <v>125</v>
      </c>
      <c r="C158" s="112"/>
      <c r="D158" s="112"/>
      <c r="E158" s="112"/>
      <c r="F158" s="113"/>
      <c r="G158" s="279"/>
      <c r="H158" s="105"/>
      <c r="I158" s="118" t="str">
        <f>'Start-Options'!B5</f>
        <v>Deadlift</v>
      </c>
      <c r="J158" s="112">
        <f>IF(Z155="","",MROUND(Z155*0.75,'Start-Options'!B38))</f>
        <v>117.5</v>
      </c>
      <c r="K158" s="112"/>
      <c r="L158" s="113"/>
      <c r="M158" s="105"/>
      <c r="N158" s="114" t="str">
        <f>'Start-Options'!B5</f>
        <v>Deadlift</v>
      </c>
      <c r="O158" s="114">
        <f>IF(Z155="","",MROUND(Z155*0.85,'Start-Options'!B38))</f>
        <v>132.5</v>
      </c>
      <c r="P158" s="105"/>
      <c r="Q158" s="105"/>
      <c r="R158" s="105"/>
      <c r="S158" s="116"/>
      <c r="T158" s="118"/>
      <c r="U158" s="105"/>
      <c r="V158" s="114" t="str">
        <f>'Start-Options'!B5</f>
        <v>Deadlift</v>
      </c>
      <c r="W158" s="117">
        <f>IF(Z155="","",MROUND(Z155*0.5,'Start-Options'!B38))</f>
        <v>77.5</v>
      </c>
      <c r="X158" s="27"/>
      <c r="Y158" s="27"/>
      <c r="Z158" s="27"/>
      <c r="AA158" s="27"/>
      <c r="AB158" s="27"/>
      <c r="AC158" s="27"/>
    </row>
    <row r="159" ht="12.75" customHeight="1">
      <c r="A159" s="130"/>
      <c r="B159" s="124">
        <f>IF(Z155="","",MROUND(Z155*0.9,'Start-Options'!B38))</f>
        <v>140</v>
      </c>
      <c r="C159" s="120">
        <f>IF(Z155="","",ROUND((37-36*B159/(Z155+'Start-Options'!F33)),0))</f>
        <v>5</v>
      </c>
      <c r="D159" s="120">
        <f>IF(Z155="","",MROUND(B159*36/(37-C159),'Start-Options'!B38))</f>
        <v>157.5</v>
      </c>
      <c r="E159" s="156"/>
      <c r="F159" s="122" t="str">
        <f>IF(E159="","",MROUND(36*B159/(37-E159),'Start-Options'!B38))</f>
        <v/>
      </c>
      <c r="G159" s="279">
        <f>Z155</f>
        <v>155</v>
      </c>
      <c r="H159" s="105"/>
      <c r="I159" s="129"/>
      <c r="J159" s="120">
        <f>IF(Z155="","",MROUND(Z155*0.85,'Start-Options'!B38))</f>
        <v>132.5</v>
      </c>
      <c r="K159" s="156"/>
      <c r="L159" s="122" t="str">
        <f>IF(K159="","",MROUND(36*J159/(37-K159),'Start-Options'!B38))</f>
        <v/>
      </c>
      <c r="M159" s="105"/>
      <c r="N159" s="123"/>
      <c r="O159" s="123">
        <f>IF(Z155="","",MROUND(Z155*0.95,'Start-Options'!B38))</f>
        <v>147.5</v>
      </c>
      <c r="P159" s="120" t="str">
        <f>IF(L159="","",IF(F159&lt;Z155,ROUND((37-36*O159/(Z155+'Start-Options'!F33)),0),ROUND((37-36*O159/(F159+'Start-Options'!F33)),0)))</f>
        <v/>
      </c>
      <c r="Q159" s="125" t="str">
        <f>IF(P159="","",MROUND(O159*36/(37-P159),'Start-Options'!B38))</f>
        <v/>
      </c>
      <c r="R159" s="152"/>
      <c r="S159" s="127" t="str">
        <f>IF(R159="","",MROUND(36*O159/(37-R159),'Start-Options'!B38))</f>
        <v/>
      </c>
      <c r="T159" s="118">
        <f>Z155</f>
        <v>155</v>
      </c>
      <c r="U159" s="105"/>
      <c r="V159" s="123"/>
      <c r="W159" s="128">
        <f>IF(Z155="","",MROUND(Z155*0.6,'Start-Options'!B38))</f>
        <v>92.5</v>
      </c>
      <c r="X159" s="27"/>
      <c r="Y159" s="70" t="s">
        <v>93</v>
      </c>
      <c r="Z159" s="71"/>
      <c r="AA159" s="27"/>
      <c r="AB159" s="27"/>
      <c r="AC159" s="27"/>
    </row>
    <row r="160" ht="12.75" customHeight="1">
      <c r="A160" s="102"/>
      <c r="B160" s="107">
        <f>IF(Z156="","",MROUND(Z156*0.7,'Start-Options'!B38))</f>
        <v>65</v>
      </c>
      <c r="C160" s="103"/>
      <c r="D160" s="103"/>
      <c r="E160" s="103"/>
      <c r="F160" s="104"/>
      <c r="G160" s="278"/>
      <c r="H160" s="105"/>
      <c r="I160" s="37"/>
      <c r="J160" s="103">
        <f>IF(Z156="","",MROUND(Z156*0.65,'Start-Options'!B38))</f>
        <v>60</v>
      </c>
      <c r="K160" s="103"/>
      <c r="L160" s="104"/>
      <c r="M160" s="105"/>
      <c r="N160" s="106"/>
      <c r="O160" s="106">
        <f>IF(Z156="","",MROUND(Z156*0.75,'Start-Options'!B38))</f>
        <v>70</v>
      </c>
      <c r="P160" s="108"/>
      <c r="Q160" s="108"/>
      <c r="R160" s="108"/>
      <c r="S160" s="109"/>
      <c r="T160" s="37"/>
      <c r="U160" s="105"/>
      <c r="V160" s="106"/>
      <c r="W160" s="110">
        <f>IF(Z156="","",MROUND(Z156*0.4,'Start-Options'!B38))</f>
        <v>37.5</v>
      </c>
      <c r="X160" s="27"/>
      <c r="Y160" s="25" t="s">
        <v>94</v>
      </c>
      <c r="Z160" s="162"/>
      <c r="AA160" s="27"/>
      <c r="AB160" s="27"/>
      <c r="AC160" s="27"/>
    </row>
    <row r="161" ht="12.75" customHeight="1">
      <c r="A161" s="111" t="str">
        <f>'Start-Options'!B6</f>
        <v>Bench</v>
      </c>
      <c r="B161" s="115">
        <f>IF(Z156="","",MROUND(Z156*0.8,'Start-Options'!B38))</f>
        <v>75</v>
      </c>
      <c r="C161" s="112"/>
      <c r="D161" s="112"/>
      <c r="E161" s="112"/>
      <c r="F161" s="113"/>
      <c r="G161" s="279"/>
      <c r="H161" s="105"/>
      <c r="I161" s="118" t="str">
        <f>'Start-Options'!B6</f>
        <v>Bench</v>
      </c>
      <c r="J161" s="112">
        <f>IF(Z156="","",MROUND(Z156*0.75,'Start-Options'!B38))</f>
        <v>70</v>
      </c>
      <c r="K161" s="112"/>
      <c r="L161" s="113"/>
      <c r="M161" s="105"/>
      <c r="N161" s="114" t="str">
        <f>'Start-Options'!B6</f>
        <v>Bench</v>
      </c>
      <c r="O161" s="114">
        <f>IF(Z156="","",MROUND(Z156*0.85,'Start-Options'!B38))</f>
        <v>77.5</v>
      </c>
      <c r="P161" s="105"/>
      <c r="Q161" s="105"/>
      <c r="R161" s="105"/>
      <c r="S161" s="116"/>
      <c r="T161" s="118"/>
      <c r="U161" s="105"/>
      <c r="V161" s="114" t="str">
        <f>'Start-Options'!B6</f>
        <v>Bench</v>
      </c>
      <c r="W161" s="117">
        <f>IF(Z156="","",MROUND(Z156*0.5,'Start-Options'!B38))</f>
        <v>47.5</v>
      </c>
      <c r="X161" s="27"/>
      <c r="Y161" s="77" t="s">
        <v>95</v>
      </c>
      <c r="Z161" s="78" t="str">
        <f>IF(Z160="","",MROUND(Z160*0.4,'Start-Options'!$B$38))</f>
        <v/>
      </c>
      <c r="AA161" s="27"/>
      <c r="AB161" s="27"/>
      <c r="AC161" s="27"/>
    </row>
    <row r="162" ht="12.75" customHeight="1">
      <c r="A162" s="119"/>
      <c r="B162" s="124">
        <f>IF(Z156="","",MROUND(Z156*0.9,'Start-Options'!B38))</f>
        <v>82.5</v>
      </c>
      <c r="C162" s="120">
        <f>IF(Z156="","",ROUND((37-36*B162/(Z156+'Start-Options'!F34)),0))</f>
        <v>6</v>
      </c>
      <c r="D162" s="120">
        <f>IF(Z156="","",MROUND(B162*36/(37-C162),'Start-Options'!B38))</f>
        <v>95</v>
      </c>
      <c r="E162" s="156"/>
      <c r="F162" s="122" t="str">
        <f>IF(E162="","",MROUND(36*B162/(37-E162),'Start-Options'!B38))</f>
        <v/>
      </c>
      <c r="G162" s="279">
        <f>Z156</f>
        <v>92.5</v>
      </c>
      <c r="H162" s="105"/>
      <c r="I162" s="129"/>
      <c r="J162" s="120">
        <f>IF(Z156="","",MROUND(Z156*0.85,'Start-Options'!B38))</f>
        <v>77.5</v>
      </c>
      <c r="K162" s="156"/>
      <c r="L162" s="122" t="str">
        <f>IF(K162="","",MROUND(36*J162/(37-K162),'Start-Options'!B38))</f>
        <v/>
      </c>
      <c r="M162" s="105"/>
      <c r="N162" s="123"/>
      <c r="O162" s="123">
        <f>IF(Z156="","",MROUND(Z156*0.95,'Start-Options'!B38))</f>
        <v>87.5</v>
      </c>
      <c r="P162" s="120" t="str">
        <f>IF(L162="","",IF(F162&lt;Z156,ROUND((37-36*O162/(Z156+'Start-Options'!F34)),0),ROUND((37-36*O162/(F162+'Start-Options'!F34)),0)))</f>
        <v/>
      </c>
      <c r="Q162" s="125" t="str">
        <f>IF(P162="","",MROUND(O162*36/(37-P162),'Start-Options'!B38))</f>
        <v/>
      </c>
      <c r="R162" s="152"/>
      <c r="S162" s="127" t="str">
        <f>IF(R162="","",MROUND(36*O162/(37-R162),'Start-Options'!B38))</f>
        <v/>
      </c>
      <c r="T162" s="118">
        <f>Z156</f>
        <v>92.5</v>
      </c>
      <c r="U162" s="105"/>
      <c r="V162" s="123"/>
      <c r="W162" s="128">
        <f>IF(Z156="","",MROUND(Z156*0.6,'Start-Options'!B38))</f>
        <v>55</v>
      </c>
      <c r="X162" s="27"/>
      <c r="Y162" s="77" t="s">
        <v>96</v>
      </c>
      <c r="Z162" s="78" t="str">
        <f>IF(Z160="","",MROUND(Z160*0.5,'Start-Options'!$B$38))</f>
        <v/>
      </c>
      <c r="AA162" s="27"/>
      <c r="AB162" s="27"/>
      <c r="AC162" s="27"/>
    </row>
    <row r="163" ht="12.75" customHeight="1">
      <c r="A163" s="111"/>
      <c r="B163" s="107">
        <f>IF(Z157="","",MROUND(Z157*0.7,'Start-Options'!B38))</f>
        <v>87.5</v>
      </c>
      <c r="C163" s="103"/>
      <c r="D163" s="103"/>
      <c r="E163" s="103"/>
      <c r="F163" s="104"/>
      <c r="G163" s="278"/>
      <c r="H163" s="105"/>
      <c r="I163" s="37"/>
      <c r="J163" s="103">
        <f>IF(Z157="","",MROUND(Z157*0.65,'Start-Options'!B38))</f>
        <v>82.5</v>
      </c>
      <c r="K163" s="103"/>
      <c r="L163" s="104"/>
      <c r="M163" s="105"/>
      <c r="N163" s="106"/>
      <c r="O163" s="106">
        <f>IF(Z157="","",MROUND(Z157*0.75,'Start-Options'!B38))</f>
        <v>95</v>
      </c>
      <c r="P163" s="108"/>
      <c r="Q163" s="108"/>
      <c r="R163" s="108"/>
      <c r="S163" s="109"/>
      <c r="T163" s="37"/>
      <c r="U163" s="105"/>
      <c r="V163" s="106"/>
      <c r="W163" s="110">
        <f>IF(Z157="","",MROUND(Z157*0.4,'Start-Options'!B38))</f>
        <v>50</v>
      </c>
      <c r="X163" s="27"/>
      <c r="Y163" s="82" t="s">
        <v>97</v>
      </c>
      <c r="Z163" s="83" t="str">
        <f>IF(Z160="","",MROUND(Z160*0.6,'Start-Options'!$B$38))</f>
        <v/>
      </c>
      <c r="AA163" s="27"/>
      <c r="AB163" s="27"/>
      <c r="AC163" s="27"/>
    </row>
    <row r="164" ht="12.75" customHeight="1">
      <c r="A164" s="111" t="str">
        <f>'Start-Options'!B7</f>
        <v>Squat</v>
      </c>
      <c r="B164" s="115">
        <f>IF(Z157="","",MROUND(Z157*0.8,'Start-Options'!B38))</f>
        <v>100</v>
      </c>
      <c r="C164" s="112"/>
      <c r="D164" s="112"/>
      <c r="E164" s="112"/>
      <c r="F164" s="113"/>
      <c r="G164" s="279"/>
      <c r="H164" s="105"/>
      <c r="I164" s="118" t="str">
        <f>'Start-Options'!B7</f>
        <v>Squat</v>
      </c>
      <c r="J164" s="112">
        <f>IF(Z157="","",MROUND(Z157*0.75,'Start-Options'!B38))</f>
        <v>95</v>
      </c>
      <c r="K164" s="112"/>
      <c r="L164" s="113"/>
      <c r="M164" s="105"/>
      <c r="N164" s="114" t="str">
        <f>'Start-Options'!B7</f>
        <v>Squat</v>
      </c>
      <c r="O164" s="114">
        <f>IF(Z157="","",MROUND(Z157*0.85,'Start-Options'!B38))</f>
        <v>107.5</v>
      </c>
      <c r="P164" s="105"/>
      <c r="Q164" s="105"/>
      <c r="R164" s="105"/>
      <c r="S164" s="116"/>
      <c r="T164" s="118"/>
      <c r="U164" s="105"/>
      <c r="V164" s="114" t="str">
        <f>'Start-Options'!B7</f>
        <v>Squat</v>
      </c>
      <c r="W164" s="117">
        <f>IF(Z157="","",MROUND(Z157*0.5,'Start-Options'!B38))</f>
        <v>62.5</v>
      </c>
      <c r="X164" s="27"/>
      <c r="Y164" s="27"/>
      <c r="Z164" s="27"/>
      <c r="AA164" s="27"/>
      <c r="AB164" s="27"/>
      <c r="AC164" s="27"/>
    </row>
    <row r="165" ht="13.5" customHeight="1">
      <c r="A165" s="131"/>
      <c r="B165" s="137">
        <f>IF(Z157="","",MROUND(Z157*0.9,'Start-Options'!B38))</f>
        <v>112.5</v>
      </c>
      <c r="C165" s="132">
        <f>IF(Z157="","",ROUND((37-36*B165/(Z157+'Start-Options'!F35)),0))</f>
        <v>5</v>
      </c>
      <c r="D165" s="132">
        <f>IF(Z157="","",MROUND(B165*36/(37-C165),'Start-Options'!B38))</f>
        <v>127.5</v>
      </c>
      <c r="E165" s="157"/>
      <c r="F165" s="134" t="str">
        <f>IF(E165="","",MROUND(36*B165/(37-E165),'Start-Options'!B38))</f>
        <v/>
      </c>
      <c r="G165" s="281">
        <f>Z157</f>
        <v>125</v>
      </c>
      <c r="H165" s="135"/>
      <c r="I165" s="277"/>
      <c r="J165" s="132">
        <f>IF(Z157="","",MROUND(Z157*0.85,'Start-Options'!B38))</f>
        <v>107.5</v>
      </c>
      <c r="K165" s="157"/>
      <c r="L165" s="134" t="str">
        <f>IF(K165="","",MROUND(36*J165/(37-K165),'Start-Options'!B38))</f>
        <v/>
      </c>
      <c r="M165" s="135"/>
      <c r="N165" s="136"/>
      <c r="O165" s="136">
        <f>IF(Z157="","",MROUND(Z157*0.95,'Start-Options'!B38))</f>
        <v>120</v>
      </c>
      <c r="P165" s="132" t="str">
        <f>IF(L165="","",IF(F165&lt;Z157,ROUND((37-36*O165/(Z157+'Start-Options'!F35)),0),ROUND((37-36*O165/(F165+'Start-Options'!F35)),0)))</f>
        <v/>
      </c>
      <c r="Q165" s="135" t="str">
        <f>IF(P165="","",MROUND(O165*36/(37-P165),'Start-Options'!B38))</f>
        <v/>
      </c>
      <c r="R165" s="161"/>
      <c r="S165" s="139" t="str">
        <f>IF(R165="","",MROUND(36*O165/(37-R165),'Start-Options'!B38))</f>
        <v/>
      </c>
      <c r="T165" s="277">
        <f>Z157</f>
        <v>125</v>
      </c>
      <c r="U165" s="135"/>
      <c r="V165" s="136"/>
      <c r="W165" s="140">
        <f>IF(Z157="","",MROUND(Z157*0.6,'Start-Options'!B38))</f>
        <v>75</v>
      </c>
      <c r="X165" s="27"/>
      <c r="Y165" s="27"/>
      <c r="Z165" s="27"/>
      <c r="AA165" s="27"/>
      <c r="AB165" s="27"/>
      <c r="AC165" s="27"/>
    </row>
    <row r="16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row>
    <row r="167" ht="21.0" customHeight="1">
      <c r="A167" s="27"/>
      <c r="B167" s="27"/>
      <c r="C167" s="27"/>
      <c r="D167" s="27"/>
      <c r="E167" s="27"/>
      <c r="F167" s="27"/>
      <c r="G167" s="27"/>
      <c r="H167" s="27"/>
      <c r="I167" s="27"/>
      <c r="J167" s="27"/>
      <c r="K167" s="27"/>
      <c r="L167" s="86" t="s">
        <v>154</v>
      </c>
      <c r="M167" s="65"/>
      <c r="N167" s="65"/>
      <c r="O167" s="160"/>
      <c r="P167" s="27"/>
      <c r="Q167" s="27"/>
      <c r="R167" s="27"/>
      <c r="S167" s="27"/>
      <c r="T167" s="27"/>
      <c r="U167" s="27"/>
      <c r="V167" s="27"/>
      <c r="W167" s="27"/>
      <c r="X167" s="27"/>
      <c r="Y167" s="27"/>
      <c r="Z167" s="27"/>
      <c r="AA167" s="27"/>
      <c r="AB167" s="27"/>
      <c r="AC167" s="27"/>
    </row>
    <row r="168" ht="15.75" customHeight="1">
      <c r="A168" s="88"/>
      <c r="B168" s="91"/>
      <c r="C168" s="89" t="s">
        <v>337</v>
      </c>
      <c r="D168" s="91"/>
      <c r="E168" s="91"/>
      <c r="F168" s="91"/>
      <c r="G168" s="91"/>
      <c r="H168" s="91"/>
      <c r="I168" s="91"/>
      <c r="J168" s="89" t="s">
        <v>338</v>
      </c>
      <c r="K168" s="60"/>
      <c r="L168" s="91"/>
      <c r="M168" s="91"/>
      <c r="N168" s="91"/>
      <c r="O168" s="91"/>
      <c r="P168" s="89" t="s">
        <v>157</v>
      </c>
      <c r="Q168" s="60"/>
      <c r="R168" s="60"/>
      <c r="S168" s="91"/>
      <c r="T168" s="91"/>
      <c r="U168" s="91"/>
      <c r="V168" s="93" t="s">
        <v>158</v>
      </c>
      <c r="W168" s="94"/>
      <c r="X168" s="27"/>
      <c r="Y168" s="27"/>
      <c r="Z168" s="27"/>
      <c r="AA168" s="27"/>
      <c r="AB168" s="27"/>
      <c r="AC168" s="27"/>
    </row>
    <row r="169" ht="32.25" customHeight="1">
      <c r="A169" s="95"/>
      <c r="B169" s="96" t="s">
        <v>26</v>
      </c>
      <c r="C169" s="97" t="s">
        <v>88</v>
      </c>
      <c r="D169" s="97" t="s">
        <v>89</v>
      </c>
      <c r="E169" s="97" t="s">
        <v>90</v>
      </c>
      <c r="F169" s="96" t="s">
        <v>91</v>
      </c>
      <c r="G169" s="276" t="s">
        <v>317</v>
      </c>
      <c r="H169" s="27"/>
      <c r="I169" s="98"/>
      <c r="J169" s="96" t="s">
        <v>26</v>
      </c>
      <c r="K169" s="97" t="s">
        <v>90</v>
      </c>
      <c r="L169" s="96" t="s">
        <v>91</v>
      </c>
      <c r="M169" s="27"/>
      <c r="N169" s="98"/>
      <c r="O169" s="96" t="s">
        <v>26</v>
      </c>
      <c r="P169" s="97" t="s">
        <v>88</v>
      </c>
      <c r="Q169" s="97" t="s">
        <v>89</v>
      </c>
      <c r="R169" s="97" t="s">
        <v>90</v>
      </c>
      <c r="S169" s="96" t="s">
        <v>91</v>
      </c>
      <c r="T169" s="276" t="s">
        <v>318</v>
      </c>
      <c r="U169" s="27"/>
      <c r="V169" s="99"/>
      <c r="W169" s="159" t="s">
        <v>26</v>
      </c>
      <c r="X169" s="27"/>
      <c r="Y169" s="101" t="s">
        <v>159</v>
      </c>
      <c r="Z169" s="71"/>
      <c r="AA169" s="142" t="s">
        <v>104</v>
      </c>
      <c r="AB169" s="143" t="s">
        <v>105</v>
      </c>
      <c r="AC169" s="27"/>
    </row>
    <row r="170" ht="12.75" customHeight="1">
      <c r="A170" s="102"/>
      <c r="B170" s="107">
        <f>IF(Z170="","",MROUND(Z170*0.7,'Start-Options'!B38))</f>
        <v>52.5</v>
      </c>
      <c r="C170" s="103"/>
      <c r="D170" s="103"/>
      <c r="E170" s="103"/>
      <c r="F170" s="104"/>
      <c r="G170" s="278"/>
      <c r="H170" s="105"/>
      <c r="I170" s="37"/>
      <c r="J170" s="103">
        <f>IF(Z170="","",MROUND(Z170*0.65,'Start-Options'!B38))</f>
        <v>50</v>
      </c>
      <c r="K170" s="103"/>
      <c r="L170" s="104"/>
      <c r="M170" s="105"/>
      <c r="N170" s="106"/>
      <c r="O170" s="106">
        <f>IF(Z170="","",MROUND(Z170*0.75,'Start-Options'!B38))</f>
        <v>57.5</v>
      </c>
      <c r="P170" s="108"/>
      <c r="Q170" s="108"/>
      <c r="R170" s="108"/>
      <c r="S170" s="109"/>
      <c r="T170" s="37"/>
      <c r="U170" s="105"/>
      <c r="V170" s="106"/>
      <c r="W170" s="110">
        <f>IF(Z170="","",MROUND(Z170*0.4,'Start-Options'!B38))</f>
        <v>30</v>
      </c>
      <c r="X170" s="27"/>
      <c r="Y170" s="37" t="str">
        <f>'Start-Options'!B4</f>
        <v>Military</v>
      </c>
      <c r="Z170" s="106">
        <f>IF(Z154="","",IF(ISTEXT(AA154),Z154-AB154,Z154+'Start-Options'!C32))</f>
        <v>75</v>
      </c>
      <c r="AA170" s="36"/>
      <c r="AB170" s="147"/>
      <c r="AC170" s="27"/>
    </row>
    <row r="171" ht="12.75" customHeight="1">
      <c r="A171" s="111" t="str">
        <f>'Start-Options'!B4</f>
        <v>Military</v>
      </c>
      <c r="B171" s="115">
        <f>IF(Z170="","",MROUND(Z170*0.8,'Start-Options'!B38))</f>
        <v>60</v>
      </c>
      <c r="C171" s="112"/>
      <c r="D171" s="112"/>
      <c r="E171" s="112"/>
      <c r="F171" s="113"/>
      <c r="G171" s="279"/>
      <c r="H171" s="105"/>
      <c r="I171" s="118" t="str">
        <f>'Start-Options'!B4</f>
        <v>Military</v>
      </c>
      <c r="J171" s="112">
        <f>IF(Z170="","",MROUND(Z170*0.75,'Start-Options'!B38))</f>
        <v>57.5</v>
      </c>
      <c r="K171" s="112"/>
      <c r="L171" s="113"/>
      <c r="M171" s="105"/>
      <c r="N171" s="114" t="str">
        <f>'Start-Options'!B4</f>
        <v>Military</v>
      </c>
      <c r="O171" s="114">
        <f>IF(Z170="","",MROUND(Z170*0.85,'Start-Options'!B38))</f>
        <v>65</v>
      </c>
      <c r="P171" s="105"/>
      <c r="Q171" s="105"/>
      <c r="R171" s="105"/>
      <c r="S171" s="116"/>
      <c r="T171" s="118"/>
      <c r="U171" s="105"/>
      <c r="V171" s="114" t="str">
        <f>'Start-Options'!B4</f>
        <v>Military</v>
      </c>
      <c r="W171" s="117">
        <f>IF(Z170="","",MROUND(Z170*0.5,'Start-Options'!B38))</f>
        <v>37.5</v>
      </c>
      <c r="X171" s="27"/>
      <c r="Y171" s="118" t="str">
        <f>'Start-Options'!B5</f>
        <v>Deadlift</v>
      </c>
      <c r="Z171" s="114">
        <f>IF(Z155="","",IF(ISTEXT(AA155),Z155-AB155,Z155+'Start-Options'!C33))</f>
        <v>160</v>
      </c>
      <c r="AA171" s="151"/>
      <c r="AB171" s="147"/>
      <c r="AC171" s="27"/>
    </row>
    <row r="172" ht="12.75" customHeight="1">
      <c r="A172" s="119"/>
      <c r="B172" s="124">
        <f>IF(Z170="","",MROUND(Z170*0.9,'Start-Options'!B38))</f>
        <v>67.5</v>
      </c>
      <c r="C172" s="120">
        <f>IF(Z170="","",ROUND((37-36*B172/(Z170+'Start-Options'!F32)),0))</f>
        <v>6</v>
      </c>
      <c r="D172" s="120">
        <f>IF(Z170="","",MROUND(B172*36/(37-C172),'Start-Options'!B38))</f>
        <v>77.5</v>
      </c>
      <c r="E172" s="156"/>
      <c r="F172" s="122" t="str">
        <f>IF(E172="","",MROUND(36*B172/(37-E172),'Start-Options'!B38))</f>
        <v/>
      </c>
      <c r="G172" s="279">
        <f>Z170</f>
        <v>75</v>
      </c>
      <c r="H172" s="105"/>
      <c r="I172" s="129"/>
      <c r="J172" s="120">
        <f>IF(Z170="","",MROUND(Z170*0.85,'Start-Options'!B38))</f>
        <v>65</v>
      </c>
      <c r="K172" s="156"/>
      <c r="L172" s="122" t="str">
        <f>IF(K172="","",MROUND(36*J172/(37-K172),'Start-Options'!B38))</f>
        <v/>
      </c>
      <c r="M172" s="105"/>
      <c r="N172" s="123"/>
      <c r="O172" s="123">
        <f>IF(Z170="","",MROUND(Z170*0.95,'Start-Options'!B38))</f>
        <v>72.5</v>
      </c>
      <c r="P172" s="120" t="str">
        <f>IF(L172="","",IF(F172&lt;Z170,ROUND((37-36*O172/(Z170+'Start-Options'!F32)),0),ROUND((37-36*O172/(F172+'Start-Options'!F32)),0)))</f>
        <v/>
      </c>
      <c r="Q172" s="125" t="str">
        <f>IF(P172="","",MROUND(O172*36/(37-P172),'Start-Options'!B38))</f>
        <v/>
      </c>
      <c r="R172" s="152"/>
      <c r="S172" s="127" t="str">
        <f>IF(R172="","",MROUND(36*O172/(37-R172),'Start-Options'!B38))</f>
        <v/>
      </c>
      <c r="T172" s="129">
        <f>Z170</f>
        <v>75</v>
      </c>
      <c r="U172" s="105"/>
      <c r="V172" s="123"/>
      <c r="W172" s="128">
        <f>IF(Z170="","",MROUND(Z170*0.6,'Start-Options'!B38))</f>
        <v>45</v>
      </c>
      <c r="X172" s="27"/>
      <c r="Y172" s="118" t="str">
        <f>'Start-Options'!B6</f>
        <v>Bench</v>
      </c>
      <c r="Z172" s="114">
        <f>IF(Z156="","",IF(ISTEXT(AA156),Z156-AB156,Z156+'Start-Options'!C34))</f>
        <v>95</v>
      </c>
      <c r="AA172" s="151"/>
      <c r="AB172" s="147"/>
      <c r="AC172" s="27"/>
    </row>
    <row r="173" ht="12.75" customHeight="1">
      <c r="A173" s="102"/>
      <c r="B173" s="107">
        <f>IF(Z171="","",MROUND(Z171*0.7,'Start-Options'!B38))</f>
        <v>112.5</v>
      </c>
      <c r="C173" s="103"/>
      <c r="D173" s="103"/>
      <c r="E173" s="103"/>
      <c r="F173" s="104"/>
      <c r="G173" s="278"/>
      <c r="H173" s="105"/>
      <c r="I173" s="37"/>
      <c r="J173" s="103">
        <f>IF(Z171="","",MROUND(Z171*0.65,'Start-Options'!B38))</f>
        <v>105</v>
      </c>
      <c r="K173" s="103"/>
      <c r="L173" s="104"/>
      <c r="M173" s="105"/>
      <c r="N173" s="106"/>
      <c r="O173" s="106">
        <f>IF(Z171="","",MROUND(Z171*0.75,'Start-Options'!B38))</f>
        <v>120</v>
      </c>
      <c r="P173" s="108"/>
      <c r="Q173" s="108"/>
      <c r="R173" s="108"/>
      <c r="S173" s="109"/>
      <c r="T173" s="118"/>
      <c r="U173" s="105"/>
      <c r="V173" s="106"/>
      <c r="W173" s="110">
        <f>IF(Z171="","",MROUND(Z171*0.4,'Start-Options'!B38))</f>
        <v>65</v>
      </c>
      <c r="X173" s="27"/>
      <c r="Y173" s="129" t="str">
        <f>'Start-Options'!B7</f>
        <v>Squat</v>
      </c>
      <c r="Z173" s="123">
        <f>IF(Z157="","",IF(ISTEXT(AA157),Z157-AB157,Z157+'Start-Options'!C35))</f>
        <v>130</v>
      </c>
      <c r="AA173" s="154"/>
      <c r="AB173" s="155"/>
      <c r="AC173" s="27"/>
    </row>
    <row r="174" ht="12.75" customHeight="1">
      <c r="A174" s="111" t="str">
        <f>'Start-Options'!B5</f>
        <v>Deadlift</v>
      </c>
      <c r="B174" s="115">
        <f>IF(Z171="","",MROUND(Z171*0.8,'Start-Options'!B38))</f>
        <v>127.5</v>
      </c>
      <c r="C174" s="112"/>
      <c r="D174" s="112"/>
      <c r="E174" s="112"/>
      <c r="F174" s="113"/>
      <c r="G174" s="279"/>
      <c r="H174" s="105"/>
      <c r="I174" s="118" t="str">
        <f>'Start-Options'!B5</f>
        <v>Deadlift</v>
      </c>
      <c r="J174" s="112">
        <f>IF(Z171="","",MROUND(Z171*0.75,'Start-Options'!B38))</f>
        <v>120</v>
      </c>
      <c r="K174" s="112"/>
      <c r="L174" s="113"/>
      <c r="M174" s="105"/>
      <c r="N174" s="114" t="str">
        <f>'Start-Options'!B5</f>
        <v>Deadlift</v>
      </c>
      <c r="O174" s="114">
        <f>IF(Z171="","",MROUND(Z171*0.85,'Start-Options'!B38))</f>
        <v>135</v>
      </c>
      <c r="P174" s="105"/>
      <c r="Q174" s="105"/>
      <c r="R174" s="105"/>
      <c r="S174" s="116"/>
      <c r="T174" s="118"/>
      <c r="U174" s="105"/>
      <c r="V174" s="114" t="str">
        <f>'Start-Options'!B5</f>
        <v>Deadlift</v>
      </c>
      <c r="W174" s="117">
        <f>IF(Z171="","",MROUND(Z171*0.5,'Start-Options'!B38))</f>
        <v>80</v>
      </c>
      <c r="X174" s="27"/>
      <c r="Y174" s="27"/>
      <c r="Z174" s="27"/>
      <c r="AA174" s="27"/>
      <c r="AB174" s="27"/>
      <c r="AC174" s="27"/>
    </row>
    <row r="175" ht="12.75" customHeight="1">
      <c r="A175" s="130"/>
      <c r="B175" s="124">
        <f>IF(Z171="","",MROUND(Z171*0.9,'Start-Options'!B38))</f>
        <v>145</v>
      </c>
      <c r="C175" s="120">
        <f>IF(Z171="","",ROUND((37-36*B175/(Z171+'Start-Options'!F33)),0))</f>
        <v>5</v>
      </c>
      <c r="D175" s="120">
        <f>IF(Z171="","",MROUND(B175*36/(37-C175),'Start-Options'!B38))</f>
        <v>162.5</v>
      </c>
      <c r="E175" s="156"/>
      <c r="F175" s="122" t="str">
        <f>IF(E175="","",MROUND(36*B175/(37-E175),'Start-Options'!B38))</f>
        <v/>
      </c>
      <c r="G175" s="279">
        <f>Z171</f>
        <v>160</v>
      </c>
      <c r="H175" s="105"/>
      <c r="I175" s="129"/>
      <c r="J175" s="120">
        <f>IF(Z171="","",MROUND(Z171*0.85,'Start-Options'!B38))</f>
        <v>135</v>
      </c>
      <c r="K175" s="156"/>
      <c r="L175" s="122" t="str">
        <f>IF(K175="","",MROUND(36*J175/(37-K175),'Start-Options'!B38))</f>
        <v/>
      </c>
      <c r="M175" s="105"/>
      <c r="N175" s="123"/>
      <c r="O175" s="123">
        <f>IF(Z171="","",MROUND(Z171*0.95,'Start-Options'!B38))</f>
        <v>152.5</v>
      </c>
      <c r="P175" s="120" t="str">
        <f>IF(L175="","",IF(F175&lt;Z171,ROUND((37-36*O175/(Z171+'Start-Options'!F33)),0),ROUND((37-36*O175/(F175+'Start-Options'!F33)),0)))</f>
        <v/>
      </c>
      <c r="Q175" s="125" t="str">
        <f>IF(P175="","",MROUND(O175*36/(37-P175),'Start-Options'!B38))</f>
        <v/>
      </c>
      <c r="R175" s="152"/>
      <c r="S175" s="127" t="str">
        <f>IF(R175="","",MROUND(36*O175/(37-R175),'Start-Options'!B38))</f>
        <v/>
      </c>
      <c r="T175" s="129">
        <f>Z171</f>
        <v>160</v>
      </c>
      <c r="U175" s="105"/>
      <c r="V175" s="123"/>
      <c r="W175" s="128">
        <f>IF(Z171="","",MROUND(Z171*0.6,'Start-Options'!B38))</f>
        <v>95</v>
      </c>
      <c r="X175" s="27"/>
      <c r="Y175" s="70" t="s">
        <v>93</v>
      </c>
      <c r="Z175" s="71"/>
      <c r="AA175" s="27"/>
      <c r="AB175" s="27"/>
      <c r="AC175" s="27"/>
    </row>
    <row r="176" ht="12.75" customHeight="1">
      <c r="A176" s="102"/>
      <c r="B176" s="107">
        <f>IF(Z172="","",MROUND(Z172*0.7,'Start-Options'!B38))</f>
        <v>67.5</v>
      </c>
      <c r="C176" s="103"/>
      <c r="D176" s="103"/>
      <c r="E176" s="103"/>
      <c r="F176" s="104"/>
      <c r="G176" s="278"/>
      <c r="H176" s="105"/>
      <c r="I176" s="37"/>
      <c r="J176" s="103">
        <f>IF(Z172="","",MROUND(Z172*0.65,'Start-Options'!B38))</f>
        <v>62.5</v>
      </c>
      <c r="K176" s="103"/>
      <c r="L176" s="104"/>
      <c r="M176" s="105"/>
      <c r="N176" s="106"/>
      <c r="O176" s="106">
        <f>IF(Z172="","",MROUND(Z172*0.75,'Start-Options'!B38))</f>
        <v>72.5</v>
      </c>
      <c r="P176" s="108"/>
      <c r="Q176" s="108"/>
      <c r="R176" s="108"/>
      <c r="S176" s="109"/>
      <c r="T176" s="118"/>
      <c r="U176" s="105"/>
      <c r="V176" s="106"/>
      <c r="W176" s="110">
        <f>IF(Z172="","",MROUND(Z172*0.4,'Start-Options'!B38))</f>
        <v>37.5</v>
      </c>
      <c r="X176" s="27"/>
      <c r="Y176" s="25" t="s">
        <v>94</v>
      </c>
      <c r="Z176" s="162"/>
      <c r="AA176" s="27"/>
      <c r="AB176" s="27"/>
      <c r="AC176" s="27"/>
    </row>
    <row r="177" ht="12.75" customHeight="1">
      <c r="A177" s="111" t="str">
        <f>'Start-Options'!B6</f>
        <v>Bench</v>
      </c>
      <c r="B177" s="115">
        <f>IF(Z172="","",MROUND(Z172*0.8,'Start-Options'!B38))</f>
        <v>75</v>
      </c>
      <c r="C177" s="112"/>
      <c r="D177" s="112"/>
      <c r="E177" s="112"/>
      <c r="F177" s="113"/>
      <c r="G177" s="279"/>
      <c r="H177" s="105"/>
      <c r="I177" s="118" t="str">
        <f>'Start-Options'!B6</f>
        <v>Bench</v>
      </c>
      <c r="J177" s="112">
        <f>IF(Z172="","",MROUND(Z172*0.75,'Start-Options'!B38))</f>
        <v>72.5</v>
      </c>
      <c r="K177" s="112"/>
      <c r="L177" s="113"/>
      <c r="M177" s="105"/>
      <c r="N177" s="114" t="str">
        <f>'Start-Options'!B6</f>
        <v>Bench</v>
      </c>
      <c r="O177" s="114">
        <f>IF(Z172="","",MROUND(Z172*0.85,'Start-Options'!B38))</f>
        <v>80</v>
      </c>
      <c r="P177" s="105"/>
      <c r="Q177" s="105"/>
      <c r="R177" s="105"/>
      <c r="S177" s="116"/>
      <c r="T177" s="118"/>
      <c r="U177" s="105"/>
      <c r="V177" s="114" t="str">
        <f>'Start-Options'!B6</f>
        <v>Bench</v>
      </c>
      <c r="W177" s="117">
        <f>IF(Z172="","",MROUND(Z172*0.5,'Start-Options'!B38))</f>
        <v>47.5</v>
      </c>
      <c r="X177" s="27"/>
      <c r="Y177" s="77" t="s">
        <v>95</v>
      </c>
      <c r="Z177" s="78" t="str">
        <f>IF(Z176="","",MROUND(Z176*0.4,'Start-Options'!$B$38))</f>
        <v/>
      </c>
      <c r="AA177" s="27"/>
      <c r="AB177" s="27"/>
      <c r="AC177" s="27"/>
    </row>
    <row r="178" ht="12.75" customHeight="1">
      <c r="A178" s="119"/>
      <c r="B178" s="124">
        <f>IF(Z172="","",MROUND(Z172*0.9,'Start-Options'!B38))</f>
        <v>85</v>
      </c>
      <c r="C178" s="120">
        <f>IF(Z172="","",ROUND((37-36*B178/(Z172+'Start-Options'!F34)),0))</f>
        <v>6</v>
      </c>
      <c r="D178" s="120">
        <f>IF(Z172="","",MROUND(B178*36/(37-C178),'Start-Options'!B38))</f>
        <v>97.5</v>
      </c>
      <c r="E178" s="156"/>
      <c r="F178" s="122" t="str">
        <f>IF(E178="","",MROUND(36*B178/(37-E178),'Start-Options'!B38))</f>
        <v/>
      </c>
      <c r="G178" s="280">
        <f>Z172</f>
        <v>95</v>
      </c>
      <c r="H178" s="105"/>
      <c r="I178" s="129"/>
      <c r="J178" s="120">
        <f>IF(Z172="","",MROUND(Z172*0.85,'Start-Options'!B38))</f>
        <v>80</v>
      </c>
      <c r="K178" s="156"/>
      <c r="L178" s="122" t="str">
        <f>IF(K178="","",MROUND(36*J178/(37-K178),'Start-Options'!B38))</f>
        <v/>
      </c>
      <c r="M178" s="105"/>
      <c r="N178" s="123"/>
      <c r="O178" s="123">
        <f>IF(Z172="","",MROUND(Z172*0.95,'Start-Options'!B38))</f>
        <v>90</v>
      </c>
      <c r="P178" s="120" t="str">
        <f>IF(L178="","",IF(F178&lt;Z172,ROUND((37-36*O178/(Z172+'Start-Options'!F34)),0),ROUND((37-36*O178/(F178+'Start-Options'!F34)),0)))</f>
        <v/>
      </c>
      <c r="Q178" s="125" t="str">
        <f>IF(P178="","",MROUND(O178*36/(37-P178),'Start-Options'!B38))</f>
        <v/>
      </c>
      <c r="R178" s="152"/>
      <c r="S178" s="127" t="str">
        <f>IF(R178="","",MROUND(36*O178/(37-R178),'Start-Options'!B38))</f>
        <v/>
      </c>
      <c r="T178" s="118">
        <f>Z172</f>
        <v>95</v>
      </c>
      <c r="U178" s="105"/>
      <c r="V178" s="123"/>
      <c r="W178" s="128">
        <f>IF(Z172="","",MROUND(Z172*0.6,'Start-Options'!B38))</f>
        <v>57.5</v>
      </c>
      <c r="X178" s="27"/>
      <c r="Y178" s="77" t="s">
        <v>96</v>
      </c>
      <c r="Z178" s="78" t="str">
        <f>IF(Z176="","",MROUND(Z176*0.5,'Start-Options'!$B$38))</f>
        <v/>
      </c>
      <c r="AA178" s="27"/>
      <c r="AB178" s="27"/>
      <c r="AC178" s="27"/>
    </row>
    <row r="179" ht="12.75" customHeight="1">
      <c r="A179" s="111"/>
      <c r="B179" s="107">
        <f>IF(Z173="","",MROUND(Z173*0.7,'Start-Options'!B38))</f>
        <v>90</v>
      </c>
      <c r="C179" s="103"/>
      <c r="D179" s="103"/>
      <c r="E179" s="103"/>
      <c r="F179" s="104"/>
      <c r="G179" s="279"/>
      <c r="H179" s="105"/>
      <c r="I179" s="37"/>
      <c r="J179" s="103">
        <f>IF(Z173="","",MROUND(Z173*0.65,'Start-Options'!B38))</f>
        <v>85</v>
      </c>
      <c r="K179" s="103"/>
      <c r="L179" s="104"/>
      <c r="M179" s="105"/>
      <c r="N179" s="106"/>
      <c r="O179" s="106">
        <f>IF(Z173="","",MROUND(Z173*0.75,'Start-Options'!B38))</f>
        <v>97.5</v>
      </c>
      <c r="P179" s="108"/>
      <c r="Q179" s="108"/>
      <c r="R179" s="108"/>
      <c r="S179" s="109"/>
      <c r="T179" s="37"/>
      <c r="U179" s="105"/>
      <c r="V179" s="106"/>
      <c r="W179" s="110">
        <f>IF(Z173="","",MROUND(Z173*0.4,'Start-Options'!B38))</f>
        <v>52.5</v>
      </c>
      <c r="X179" s="27"/>
      <c r="Y179" s="82" t="s">
        <v>97</v>
      </c>
      <c r="Z179" s="83" t="str">
        <f>IF(Z176="","",MROUND(Z176*0.6,'Start-Options'!$B$38))</f>
        <v/>
      </c>
      <c r="AA179" s="27"/>
      <c r="AB179" s="27"/>
      <c r="AC179" s="27"/>
    </row>
    <row r="180" ht="12.75" customHeight="1">
      <c r="A180" s="111" t="str">
        <f>'Start-Options'!B7</f>
        <v>Squat</v>
      </c>
      <c r="B180" s="115">
        <f>IF(Z173="","",MROUND(Z173*0.8,'Start-Options'!B38))</f>
        <v>105</v>
      </c>
      <c r="C180" s="112"/>
      <c r="D180" s="112"/>
      <c r="E180" s="112"/>
      <c r="F180" s="113"/>
      <c r="G180" s="279"/>
      <c r="H180" s="105"/>
      <c r="I180" s="118" t="str">
        <f>'Start-Options'!B7</f>
        <v>Squat</v>
      </c>
      <c r="J180" s="112">
        <f>IF(Z173="","",MROUND(Z173*0.75,'Start-Options'!B38))</f>
        <v>97.5</v>
      </c>
      <c r="K180" s="112"/>
      <c r="L180" s="113"/>
      <c r="M180" s="105"/>
      <c r="N180" s="114" t="str">
        <f>'Start-Options'!B7</f>
        <v>Squat</v>
      </c>
      <c r="O180" s="114">
        <f>IF(Z173="","",MROUND(Z173*0.85,'Start-Options'!B38))</f>
        <v>110</v>
      </c>
      <c r="P180" s="105"/>
      <c r="Q180" s="105"/>
      <c r="R180" s="105"/>
      <c r="S180" s="116"/>
      <c r="T180" s="118"/>
      <c r="U180" s="105"/>
      <c r="V180" s="114" t="str">
        <f>'Start-Options'!B7</f>
        <v>Squat</v>
      </c>
      <c r="W180" s="117">
        <f>IF(Z173="","",MROUND(Z173*0.5,'Start-Options'!B38))</f>
        <v>65</v>
      </c>
      <c r="X180" s="27"/>
      <c r="Y180" s="27"/>
      <c r="Z180" s="27"/>
      <c r="AA180" s="27"/>
      <c r="AB180" s="27"/>
      <c r="AC180" s="27"/>
    </row>
    <row r="181" ht="13.5" customHeight="1">
      <c r="A181" s="131"/>
      <c r="B181" s="137">
        <f>IF(Z173="","",MROUND(Z173*0.9,'Start-Options'!B38))</f>
        <v>117.5</v>
      </c>
      <c r="C181" s="132">
        <f>IF(Z173="","",ROUND((37-36*B181/(Z173+'Start-Options'!F35)),0))</f>
        <v>5</v>
      </c>
      <c r="D181" s="132">
        <f>IF(Z173="","",MROUND(B181*36/(37-C181),5))</f>
        <v>130</v>
      </c>
      <c r="E181" s="157"/>
      <c r="F181" s="134" t="str">
        <f>IF(E181="","",MROUND(36*B181/(37-E181),'Start-Options'!B38))</f>
        <v/>
      </c>
      <c r="G181" s="281">
        <f>Z173</f>
        <v>130</v>
      </c>
      <c r="H181" s="135"/>
      <c r="I181" s="277"/>
      <c r="J181" s="132">
        <f>IF(Z173="","",MROUND(Z173*0.85,'Start-Options'!B38))</f>
        <v>110</v>
      </c>
      <c r="K181" s="157"/>
      <c r="L181" s="134" t="str">
        <f>IF(K181="","",MROUND(36*J181/(37-K181),'Start-Options'!B38))</f>
        <v/>
      </c>
      <c r="M181" s="135"/>
      <c r="N181" s="136"/>
      <c r="O181" s="136">
        <f>IF(Z173="","",MROUND(Z173*0.95,'Start-Options'!B38))</f>
        <v>122.5</v>
      </c>
      <c r="P181" s="132" t="str">
        <f>IF(L181="","",IF(F181&lt;Z173,ROUND((37-36*O181/(Z173+'Start-Options'!F35)),0),ROUND((37-36*O181/(F181+'Start-Options'!F35)),0)))</f>
        <v/>
      </c>
      <c r="Q181" s="135" t="str">
        <f>IF(P181="","",MROUND(O181*36/(37-P181),'Start-Options'!B38))</f>
        <v/>
      </c>
      <c r="R181" s="161"/>
      <c r="S181" s="139" t="str">
        <f>IF(R181="","",MROUND(36*O181/(37-R181),'Start-Options'!B38))</f>
        <v/>
      </c>
      <c r="T181" s="277">
        <f>Z173</f>
        <v>130</v>
      </c>
      <c r="U181" s="135"/>
      <c r="V181" s="136"/>
      <c r="W181" s="140">
        <f>IF(Z173="","",MROUND(Z173*0.6,'Start-Options'!B38))</f>
        <v>77.5</v>
      </c>
      <c r="X181" s="27"/>
      <c r="Y181" s="27"/>
      <c r="Z181" s="27"/>
      <c r="AA181" s="27"/>
      <c r="AB181" s="27"/>
      <c r="AC181" s="27"/>
    </row>
    <row r="182"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row>
    <row r="183" ht="21.0" customHeight="1">
      <c r="A183" s="27"/>
      <c r="B183" s="27"/>
      <c r="C183" s="27"/>
      <c r="D183" s="27"/>
      <c r="E183" s="27"/>
      <c r="F183" s="27"/>
      <c r="G183" s="27"/>
      <c r="H183" s="27"/>
      <c r="I183" s="27"/>
      <c r="J183" s="27"/>
      <c r="K183" s="27"/>
      <c r="L183" s="86" t="s">
        <v>160</v>
      </c>
      <c r="M183" s="65"/>
      <c r="N183" s="65"/>
      <c r="O183" s="160"/>
      <c r="P183" s="27"/>
      <c r="Q183" s="27"/>
      <c r="R183" s="27"/>
      <c r="S183" s="27"/>
      <c r="T183" s="27"/>
      <c r="U183" s="27"/>
      <c r="V183" s="27"/>
      <c r="W183" s="27"/>
      <c r="X183" s="27"/>
      <c r="Y183" s="27"/>
      <c r="Z183" s="27"/>
      <c r="AA183" s="27"/>
      <c r="AB183" s="27"/>
      <c r="AC183" s="27"/>
    </row>
    <row r="184" ht="15.75" customHeight="1">
      <c r="A184" s="88"/>
      <c r="B184" s="91"/>
      <c r="C184" s="89" t="s">
        <v>339</v>
      </c>
      <c r="D184" s="91"/>
      <c r="E184" s="91"/>
      <c r="F184" s="91"/>
      <c r="G184" s="91"/>
      <c r="H184" s="91"/>
      <c r="I184" s="91"/>
      <c r="J184" s="89" t="s">
        <v>340</v>
      </c>
      <c r="K184" s="60"/>
      <c r="L184" s="91"/>
      <c r="M184" s="91"/>
      <c r="N184" s="91"/>
      <c r="O184" s="91"/>
      <c r="P184" s="89" t="s">
        <v>163</v>
      </c>
      <c r="Q184" s="60"/>
      <c r="R184" s="60"/>
      <c r="S184" s="91"/>
      <c r="T184" s="91"/>
      <c r="U184" s="91"/>
      <c r="V184" s="93" t="s">
        <v>164</v>
      </c>
      <c r="W184" s="94"/>
      <c r="X184" s="27"/>
      <c r="Y184" s="27"/>
      <c r="Z184" s="27"/>
      <c r="AA184" s="27"/>
      <c r="AB184" s="27"/>
      <c r="AC184" s="27"/>
    </row>
    <row r="185" ht="32.25" customHeight="1">
      <c r="A185" s="95"/>
      <c r="B185" s="96" t="s">
        <v>26</v>
      </c>
      <c r="C185" s="97" t="s">
        <v>88</v>
      </c>
      <c r="D185" s="97" t="s">
        <v>89</v>
      </c>
      <c r="E185" s="97" t="s">
        <v>90</v>
      </c>
      <c r="F185" s="96" t="s">
        <v>91</v>
      </c>
      <c r="G185" s="276" t="s">
        <v>317</v>
      </c>
      <c r="H185" s="27"/>
      <c r="I185" s="98"/>
      <c r="J185" s="96" t="s">
        <v>26</v>
      </c>
      <c r="K185" s="97" t="s">
        <v>90</v>
      </c>
      <c r="L185" s="96" t="s">
        <v>91</v>
      </c>
      <c r="M185" s="27"/>
      <c r="N185" s="98"/>
      <c r="O185" s="96" t="s">
        <v>26</v>
      </c>
      <c r="P185" s="97" t="s">
        <v>88</v>
      </c>
      <c r="Q185" s="97" t="s">
        <v>89</v>
      </c>
      <c r="R185" s="97" t="s">
        <v>90</v>
      </c>
      <c r="S185" s="96" t="s">
        <v>91</v>
      </c>
      <c r="T185" s="276" t="s">
        <v>318</v>
      </c>
      <c r="U185" s="27"/>
      <c r="V185" s="99"/>
      <c r="W185" s="159" t="s">
        <v>26</v>
      </c>
      <c r="X185" s="27"/>
      <c r="Y185" s="101" t="s">
        <v>165</v>
      </c>
      <c r="Z185" s="71"/>
      <c r="AA185" s="142" t="s">
        <v>104</v>
      </c>
      <c r="AB185" s="143" t="s">
        <v>105</v>
      </c>
      <c r="AC185" s="27"/>
    </row>
    <row r="186" ht="12.75" customHeight="1">
      <c r="A186" s="102"/>
      <c r="B186" s="107">
        <f>IF(Z186="","",MROUND(Z186*0.7,'Start-Options'!B38))</f>
        <v>55</v>
      </c>
      <c r="C186" s="103"/>
      <c r="D186" s="103"/>
      <c r="E186" s="103"/>
      <c r="F186" s="104"/>
      <c r="G186" s="278"/>
      <c r="H186" s="105"/>
      <c r="I186" s="37"/>
      <c r="J186" s="103">
        <f>IF(Z186="","",MROUND(Z186*0.65,'Start-Options'!B38))</f>
        <v>50</v>
      </c>
      <c r="K186" s="103"/>
      <c r="L186" s="104"/>
      <c r="M186" s="105"/>
      <c r="N186" s="106"/>
      <c r="O186" s="106">
        <f>IF(Z186="","",MROUND(Z186*0.75,'Start-Options'!B38))</f>
        <v>57.5</v>
      </c>
      <c r="P186" s="108"/>
      <c r="Q186" s="108"/>
      <c r="R186" s="108"/>
      <c r="S186" s="109"/>
      <c r="T186" s="279"/>
      <c r="U186" s="105"/>
      <c r="V186" s="106"/>
      <c r="W186" s="110">
        <f>IF(Z186="","",MROUND(Z186*0.4,'Start-Options'!B38))</f>
        <v>30</v>
      </c>
      <c r="X186" s="27"/>
      <c r="Y186" s="37" t="str">
        <f>'Start-Options'!B4</f>
        <v>Military</v>
      </c>
      <c r="Z186" s="106">
        <f>IF(Z170="","",IF(ISTEXT(AA170),Z170-AB170,Z170+'Start-Options'!C32))</f>
        <v>77.5</v>
      </c>
      <c r="AA186" s="36"/>
      <c r="AB186" s="147"/>
      <c r="AC186" s="27"/>
    </row>
    <row r="187" ht="12.75" customHeight="1">
      <c r="A187" s="111" t="str">
        <f>'Start-Options'!B4</f>
        <v>Military</v>
      </c>
      <c r="B187" s="115">
        <f>IF(Z186="","",MROUND(Z186*0.8,'Start-Options'!B38))</f>
        <v>62.5</v>
      </c>
      <c r="C187" s="112"/>
      <c r="D187" s="112"/>
      <c r="E187" s="112"/>
      <c r="F187" s="113"/>
      <c r="G187" s="279"/>
      <c r="H187" s="105"/>
      <c r="I187" s="118" t="str">
        <f>'Start-Options'!B4</f>
        <v>Military</v>
      </c>
      <c r="J187" s="112">
        <f>IF(Z186="","",MROUND(Z186*0.75,'Start-Options'!B38))</f>
        <v>57.5</v>
      </c>
      <c r="K187" s="112"/>
      <c r="L187" s="113"/>
      <c r="M187" s="105"/>
      <c r="N187" s="114" t="str">
        <f>'Start-Options'!B4</f>
        <v>Military</v>
      </c>
      <c r="O187" s="114">
        <f>IF(Z186="","",MROUND(Z186*0.85,'Start-Options'!B38))</f>
        <v>65</v>
      </c>
      <c r="P187" s="105"/>
      <c r="Q187" s="105"/>
      <c r="R187" s="105"/>
      <c r="S187" s="116"/>
      <c r="T187" s="279"/>
      <c r="U187" s="105"/>
      <c r="V187" s="114" t="str">
        <f>'Start-Options'!B4</f>
        <v>Military</v>
      </c>
      <c r="W187" s="117">
        <f>IF(Z186="","",MROUND(Z186*0.5,'Start-Options'!B38))</f>
        <v>40</v>
      </c>
      <c r="X187" s="27"/>
      <c r="Y187" s="118" t="str">
        <f>'Start-Options'!B5</f>
        <v>Deadlift</v>
      </c>
      <c r="Z187" s="114">
        <f>IF(Z171="","",IF(ISTEXT(AA171),Z171-AB171,Z171+'Start-Options'!C33))</f>
        <v>165</v>
      </c>
      <c r="AA187" s="151"/>
      <c r="AB187" s="147"/>
      <c r="AC187" s="27"/>
    </row>
    <row r="188" ht="12.75" customHeight="1">
      <c r="A188" s="119"/>
      <c r="B188" s="124">
        <f>IF(Z186="","",MROUND(Z186*0.9,'Start-Options'!B38))</f>
        <v>70</v>
      </c>
      <c r="C188" s="120">
        <f>IF(Z186="","",ROUND((37-36*B188/(Z186+'Start-Options'!F32)),0))</f>
        <v>6</v>
      </c>
      <c r="D188" s="120">
        <f>IF(Z186="","",MROUND(B188*36/(37-C188),'Start-Options'!B38))</f>
        <v>82.5</v>
      </c>
      <c r="E188" s="156"/>
      <c r="F188" s="122" t="str">
        <f>IF(E188="","",MROUND(36*B188/(37-E188),'Start-Options'!B38))</f>
        <v/>
      </c>
      <c r="G188" s="280">
        <f>Z186</f>
        <v>77.5</v>
      </c>
      <c r="H188" s="105"/>
      <c r="I188" s="129"/>
      <c r="J188" s="120">
        <f>IF(Z186="","",MROUND(Z186*0.85,'Start-Options'!B38))</f>
        <v>65</v>
      </c>
      <c r="K188" s="156"/>
      <c r="L188" s="122" t="str">
        <f>IF(K188="","",MROUND(36*J188/(37-K188),'Start-Options'!B38))</f>
        <v/>
      </c>
      <c r="M188" s="105"/>
      <c r="N188" s="123"/>
      <c r="O188" s="123">
        <f>IF(Z186="","",MROUND(Z186*0.95,'Start-Options'!B38))</f>
        <v>72.5</v>
      </c>
      <c r="P188" s="120" t="str">
        <f>IF(L188="","",IF(F188&lt;Z186,ROUND((37-36*O188/(Z186+'Start-Options'!F32)),0),ROUND((37-36*O188/(F188+'Start-Options'!F32)),0)))</f>
        <v/>
      </c>
      <c r="Q188" s="125" t="str">
        <f>IF(P188="","",MROUND(O188*36/(37-P188),'Start-Options'!B38))</f>
        <v/>
      </c>
      <c r="R188" s="152"/>
      <c r="S188" s="127" t="str">
        <f>IF(R188="","",MROUND(36*O188/(37-R188),'Start-Options'!B38))</f>
        <v/>
      </c>
      <c r="T188" s="280">
        <f>Z186</f>
        <v>77.5</v>
      </c>
      <c r="U188" s="105"/>
      <c r="V188" s="123"/>
      <c r="W188" s="128">
        <f>IF(Z186="","",MROUND(Z186*0.6,'Start-Options'!B38))</f>
        <v>47.5</v>
      </c>
      <c r="X188" s="27"/>
      <c r="Y188" s="118" t="str">
        <f>'Start-Options'!B6</f>
        <v>Bench</v>
      </c>
      <c r="Z188" s="114">
        <f>IF(Z172="","",IF(ISTEXT(AA172),Z172-AB172,Z172+'Start-Options'!C34))</f>
        <v>97.5</v>
      </c>
      <c r="AA188" s="151"/>
      <c r="AB188" s="147"/>
      <c r="AC188" s="27"/>
    </row>
    <row r="189" ht="12.75" customHeight="1">
      <c r="A189" s="102"/>
      <c r="B189" s="107">
        <f>IF(Z187="","",MROUND(Z187*0.7,'Start-Options'!B38))</f>
        <v>115</v>
      </c>
      <c r="C189" s="103"/>
      <c r="D189" s="103"/>
      <c r="E189" s="103"/>
      <c r="F189" s="104"/>
      <c r="G189" s="279"/>
      <c r="H189" s="105"/>
      <c r="I189" s="37"/>
      <c r="J189" s="103">
        <f>IF(Z187="","",MROUND(Z187*0.65,'Start-Options'!B38))</f>
        <v>107.5</v>
      </c>
      <c r="K189" s="103"/>
      <c r="L189" s="104"/>
      <c r="M189" s="105"/>
      <c r="N189" s="106"/>
      <c r="O189" s="106">
        <f>IF(Z187="","",MROUND(Z187*0.75,'Start-Options'!B38))</f>
        <v>125</v>
      </c>
      <c r="P189" s="108"/>
      <c r="Q189" s="108"/>
      <c r="R189" s="108"/>
      <c r="S189" s="109"/>
      <c r="T189" s="279"/>
      <c r="U189" s="105"/>
      <c r="V189" s="106"/>
      <c r="W189" s="110">
        <f>IF(Z187="","",MROUND(Z187*0.4,'Start-Options'!B38))</f>
        <v>65</v>
      </c>
      <c r="X189" s="27"/>
      <c r="Y189" s="129" t="str">
        <f>'Start-Options'!B7</f>
        <v>Squat</v>
      </c>
      <c r="Z189" s="123">
        <f>IF(Z173="","",IF(ISTEXT(AA173),Z173-AB173,Z173+'Start-Options'!C35))</f>
        <v>135</v>
      </c>
      <c r="AA189" s="154"/>
      <c r="AB189" s="155"/>
      <c r="AC189" s="27"/>
    </row>
    <row r="190" ht="12.75" customHeight="1">
      <c r="A190" s="111" t="str">
        <f>'Start-Options'!B5</f>
        <v>Deadlift</v>
      </c>
      <c r="B190" s="115">
        <f>IF(Z187="","",MROUND(Z187*0.8,'Start-Options'!B38))</f>
        <v>132.5</v>
      </c>
      <c r="C190" s="112"/>
      <c r="D190" s="112"/>
      <c r="E190" s="112"/>
      <c r="F190" s="113"/>
      <c r="G190" s="279"/>
      <c r="H190" s="105"/>
      <c r="I190" s="118" t="str">
        <f>'Start-Options'!B5</f>
        <v>Deadlift</v>
      </c>
      <c r="J190" s="112">
        <f>IF(Z187="","",MROUND(Z187*0.75,'Start-Options'!B38))</f>
        <v>125</v>
      </c>
      <c r="K190" s="112"/>
      <c r="L190" s="113"/>
      <c r="M190" s="105"/>
      <c r="N190" s="114" t="str">
        <f>'Start-Options'!B5</f>
        <v>Deadlift</v>
      </c>
      <c r="O190" s="114">
        <f>IF(Z187="","",MROUND(Z187*0.85,'Start-Options'!B38))</f>
        <v>140</v>
      </c>
      <c r="P190" s="105"/>
      <c r="Q190" s="105"/>
      <c r="R190" s="105"/>
      <c r="S190" s="116"/>
      <c r="T190" s="279"/>
      <c r="U190" s="105"/>
      <c r="V190" s="114" t="str">
        <f>'Start-Options'!B5</f>
        <v>Deadlift</v>
      </c>
      <c r="W190" s="117">
        <f>IF(Z187="","",MROUND(Z187*0.5,'Start-Options'!B38))</f>
        <v>82.5</v>
      </c>
      <c r="X190" s="27"/>
      <c r="Y190" s="27"/>
      <c r="Z190" s="27"/>
      <c r="AA190" s="27"/>
      <c r="AB190" s="27"/>
      <c r="AC190" s="27"/>
    </row>
    <row r="191" ht="12.75" customHeight="1">
      <c r="A191" s="130"/>
      <c r="B191" s="124">
        <f>IF(Z187="","",MROUND(Z187*0.9,'Start-Options'!B38))</f>
        <v>147.5</v>
      </c>
      <c r="C191" s="120">
        <f>IF(Z187="","",ROUND((37-36*B191/(Z187+'Start-Options'!F33)),0))</f>
        <v>5</v>
      </c>
      <c r="D191" s="120">
        <f>IF(Z187="","",MROUND(B191*36/(37-C191),'Start-Options'!B38))</f>
        <v>165</v>
      </c>
      <c r="E191" s="156"/>
      <c r="F191" s="122" t="str">
        <f>IF(E191="","",MROUND(36*B191/(37-E191),'Start-Options'!B38))</f>
        <v/>
      </c>
      <c r="G191" s="280">
        <f>Z187</f>
        <v>165</v>
      </c>
      <c r="H191" s="105"/>
      <c r="I191" s="129"/>
      <c r="J191" s="120">
        <f>IF(Z187="","",MROUND(Z187*0.85,'Start-Options'!B38))</f>
        <v>140</v>
      </c>
      <c r="K191" s="156"/>
      <c r="L191" s="122" t="str">
        <f>IF(K191="","",MROUND(36*J191/(37-K191),'Start-Options'!B38))</f>
        <v/>
      </c>
      <c r="M191" s="105"/>
      <c r="N191" s="123"/>
      <c r="O191" s="123">
        <f>IF(Z187="","",MROUND(Z187*0.95,'Start-Options'!B38))</f>
        <v>157.5</v>
      </c>
      <c r="P191" s="120" t="str">
        <f>IF(L191="","",IF(F191&lt;Z187,ROUND((37-36*O191/(Z187+'Start-Options'!F33)),0),ROUND((37-36*O191/(F191+'Start-Options'!F33)),0)))</f>
        <v/>
      </c>
      <c r="Q191" s="125" t="str">
        <f>IF(P191="","",MROUND(O191*36/(37-P191),'Start-Options'!B38))</f>
        <v/>
      </c>
      <c r="R191" s="152"/>
      <c r="S191" s="127" t="str">
        <f>IF(R191="","",MROUND(36*O191/(37-R191),'Start-Options'!B38))</f>
        <v/>
      </c>
      <c r="T191" s="280">
        <f>Z187</f>
        <v>165</v>
      </c>
      <c r="U191" s="105"/>
      <c r="V191" s="123"/>
      <c r="W191" s="128">
        <f>IF(Z187="","",MROUND(Z187*0.6,'Start-Options'!B38))</f>
        <v>100</v>
      </c>
      <c r="X191" s="27"/>
      <c r="Y191" s="70" t="s">
        <v>93</v>
      </c>
      <c r="Z191" s="71"/>
      <c r="AA191" s="27"/>
      <c r="AB191" s="27"/>
      <c r="AC191" s="27"/>
    </row>
    <row r="192" ht="12.75" customHeight="1">
      <c r="A192" s="102"/>
      <c r="B192" s="107">
        <f>IF(Z188="","",MROUND(Z188*0.7,'Start-Options'!B38))</f>
        <v>67.5</v>
      </c>
      <c r="C192" s="103"/>
      <c r="D192" s="103"/>
      <c r="E192" s="103"/>
      <c r="F192" s="104"/>
      <c r="G192" s="279"/>
      <c r="H192" s="105"/>
      <c r="I192" s="37"/>
      <c r="J192" s="103">
        <f>IF(Z188="","",MROUND(Z188*0.65,'Start-Options'!B38))</f>
        <v>62.5</v>
      </c>
      <c r="K192" s="103"/>
      <c r="L192" s="104"/>
      <c r="M192" s="105"/>
      <c r="N192" s="106"/>
      <c r="O192" s="106">
        <f>IF(Z188="","",MROUND(Z188*0.75,'Start-Options'!B38))</f>
        <v>72.5</v>
      </c>
      <c r="P192" s="108"/>
      <c r="Q192" s="108"/>
      <c r="R192" s="108"/>
      <c r="S192" s="109"/>
      <c r="T192" s="279"/>
      <c r="U192" s="105"/>
      <c r="V192" s="106"/>
      <c r="W192" s="110">
        <f>IF(Z188="","",MROUND(Z188*0.4,'Start-Options'!B38))</f>
        <v>40</v>
      </c>
      <c r="X192" s="27"/>
      <c r="Y192" s="25" t="s">
        <v>94</v>
      </c>
      <c r="Z192" s="162"/>
      <c r="AA192" s="27"/>
      <c r="AB192" s="27"/>
      <c r="AC192" s="27"/>
    </row>
    <row r="193" ht="12.75" customHeight="1">
      <c r="A193" s="111" t="str">
        <f>'Start-Options'!B6</f>
        <v>Bench</v>
      </c>
      <c r="B193" s="115">
        <f>IF(Z188="","",MROUND(Z188*0.8,'Start-Options'!B38))</f>
        <v>77.5</v>
      </c>
      <c r="C193" s="112"/>
      <c r="D193" s="112"/>
      <c r="E193" s="112"/>
      <c r="F193" s="113"/>
      <c r="G193" s="279"/>
      <c r="H193" s="105"/>
      <c r="I193" s="118" t="str">
        <f>'Start-Options'!B6</f>
        <v>Bench</v>
      </c>
      <c r="J193" s="112">
        <f>IF(Z188="","",MROUND(Z188*0.75,'Start-Options'!B38))</f>
        <v>72.5</v>
      </c>
      <c r="K193" s="112"/>
      <c r="L193" s="113"/>
      <c r="M193" s="105"/>
      <c r="N193" s="114" t="str">
        <f>'Start-Options'!B6</f>
        <v>Bench</v>
      </c>
      <c r="O193" s="114">
        <f>IF(Z188="","",MROUND(Z188*0.85,'Start-Options'!B38))</f>
        <v>82.5</v>
      </c>
      <c r="P193" s="105"/>
      <c r="Q193" s="105"/>
      <c r="R193" s="105"/>
      <c r="S193" s="116"/>
      <c r="T193" s="279"/>
      <c r="U193" s="105"/>
      <c r="V193" s="114" t="str">
        <f>'Start-Options'!B6</f>
        <v>Bench</v>
      </c>
      <c r="W193" s="117">
        <f>IF(Z188="","",MROUND(Z188*0.5,'Start-Options'!B38))</f>
        <v>50</v>
      </c>
      <c r="X193" s="27"/>
      <c r="Y193" s="77" t="s">
        <v>95</v>
      </c>
      <c r="Z193" s="78" t="str">
        <f>IF(Z192="","",MROUND(Z192*0.4,'Start-Options'!$B$38))</f>
        <v/>
      </c>
      <c r="AA193" s="27"/>
      <c r="AB193" s="27"/>
      <c r="AC193" s="27"/>
    </row>
    <row r="194" ht="12.75" customHeight="1">
      <c r="A194" s="119"/>
      <c r="B194" s="124">
        <f>IF(Z188="","",MROUND(Z188*0.9,'Start-Options'!B38))</f>
        <v>87.5</v>
      </c>
      <c r="C194" s="120">
        <f>IF(Z188="","",ROUND((37-36*B194/(Z188+'Start-Options'!F34)),0))</f>
        <v>6</v>
      </c>
      <c r="D194" s="120">
        <f>IF(Z188="","",MROUND(B194*36/(37-C194),'Start-Options'!B38))</f>
        <v>102.5</v>
      </c>
      <c r="E194" s="156"/>
      <c r="F194" s="122" t="str">
        <f>IF(E194="","",MROUND(36*B194/(37-E194),'Start-Options'!B38))</f>
        <v/>
      </c>
      <c r="G194" s="280">
        <f>Z188</f>
        <v>97.5</v>
      </c>
      <c r="H194" s="105"/>
      <c r="I194" s="129"/>
      <c r="J194" s="120">
        <f>IF(Z188="","",MROUND(Z188*0.85,'Start-Options'!B38))</f>
        <v>82.5</v>
      </c>
      <c r="K194" s="156"/>
      <c r="L194" s="122" t="str">
        <f>IF(K194="","",MROUND(36*J194/(37-K194),'Start-Options'!B38))</f>
        <v/>
      </c>
      <c r="M194" s="105"/>
      <c r="N194" s="123"/>
      <c r="O194" s="123">
        <f>IF(Z188="","",MROUND(Z188*0.95,'Start-Options'!B38))</f>
        <v>92.5</v>
      </c>
      <c r="P194" s="120" t="str">
        <f>IF(L194="","",IF(F194&lt;Z188,ROUND((37-36*O194/(Z188+'Start-Options'!F34)),0),ROUND((37-36*O194/(F194+'Start-Options'!F34)),0)))</f>
        <v/>
      </c>
      <c r="Q194" s="125" t="str">
        <f>IF(P194="","",MROUND(O194*36/(37-P194),'Start-Options'!B38))</f>
        <v/>
      </c>
      <c r="R194" s="152"/>
      <c r="S194" s="127" t="str">
        <f>IF(R194="","",MROUND(36*O194/(37-R194),'Start-Options'!B38))</f>
        <v/>
      </c>
      <c r="T194" s="280">
        <f>Z188</f>
        <v>97.5</v>
      </c>
      <c r="U194" s="105"/>
      <c r="V194" s="123"/>
      <c r="W194" s="128">
        <f>IF(Z188="","",MROUND(Z188*0.6,'Start-Options'!B38))</f>
        <v>57.5</v>
      </c>
      <c r="X194" s="27"/>
      <c r="Y194" s="77" t="s">
        <v>96</v>
      </c>
      <c r="Z194" s="78" t="str">
        <f>IF(Z192="","",MROUND(Z192*0.5,'Start-Options'!$B$38))</f>
        <v/>
      </c>
      <c r="AA194" s="27"/>
      <c r="AB194" s="27"/>
      <c r="AC194" s="27"/>
    </row>
    <row r="195" ht="12.75" customHeight="1">
      <c r="A195" s="111"/>
      <c r="B195" s="107">
        <f>IF(Z189="","",MROUND(Z189*0.7,'Start-Options'!B38))</f>
        <v>95</v>
      </c>
      <c r="C195" s="103"/>
      <c r="D195" s="103"/>
      <c r="E195" s="103"/>
      <c r="F195" s="104"/>
      <c r="G195" s="279"/>
      <c r="H195" s="105"/>
      <c r="I195" s="37"/>
      <c r="J195" s="103">
        <f>IF(Z189="","",MROUND(Z189*0.65,'Start-Options'!B38))</f>
        <v>87.5</v>
      </c>
      <c r="K195" s="103"/>
      <c r="L195" s="104"/>
      <c r="M195" s="105"/>
      <c r="N195" s="106"/>
      <c r="O195" s="106">
        <f>IF(Z189="","",MROUND(Z189*0.75,'Start-Options'!B38))</f>
        <v>102.5</v>
      </c>
      <c r="P195" s="108"/>
      <c r="Q195" s="108"/>
      <c r="R195" s="108"/>
      <c r="S195" s="109"/>
      <c r="T195" s="279"/>
      <c r="U195" s="105"/>
      <c r="V195" s="106"/>
      <c r="W195" s="110">
        <f>IF(Z189="","",MROUND(Z189*0.4,'Start-Options'!B38))</f>
        <v>55</v>
      </c>
      <c r="X195" s="27"/>
      <c r="Y195" s="82" t="s">
        <v>97</v>
      </c>
      <c r="Z195" s="83" t="str">
        <f>IF(Z192="","",MROUND(Z192*0.6,'Start-Options'!$B$38))</f>
        <v/>
      </c>
      <c r="AA195" s="27"/>
      <c r="AB195" s="27"/>
      <c r="AC195" s="27"/>
    </row>
    <row r="196" ht="12.75" customHeight="1">
      <c r="A196" s="111" t="str">
        <f>'Start-Options'!B7</f>
        <v>Squat</v>
      </c>
      <c r="B196" s="115">
        <f>IF(Z189="","",MROUND(Z189*0.8,'Start-Options'!B38))</f>
        <v>107.5</v>
      </c>
      <c r="C196" s="112"/>
      <c r="D196" s="112"/>
      <c r="E196" s="112"/>
      <c r="F196" s="113"/>
      <c r="G196" s="279"/>
      <c r="H196" s="105"/>
      <c r="I196" s="118" t="str">
        <f>'Start-Options'!B7</f>
        <v>Squat</v>
      </c>
      <c r="J196" s="112">
        <f>IF(Z189="","",MROUND(Z189*0.75,'Start-Options'!B38))</f>
        <v>102.5</v>
      </c>
      <c r="K196" s="112"/>
      <c r="L196" s="113"/>
      <c r="M196" s="105"/>
      <c r="N196" s="114" t="str">
        <f>'Start-Options'!B7</f>
        <v>Squat</v>
      </c>
      <c r="O196" s="114">
        <f>IF(Z189="","",MROUND(Z189*0.85,'Start-Options'!B38))</f>
        <v>115</v>
      </c>
      <c r="P196" s="105"/>
      <c r="Q196" s="105"/>
      <c r="R196" s="105"/>
      <c r="S196" s="116"/>
      <c r="T196" s="279"/>
      <c r="U196" s="105"/>
      <c r="V196" s="114" t="str">
        <f>'Start-Options'!B7</f>
        <v>Squat</v>
      </c>
      <c r="W196" s="117">
        <f>IF(Z189="","",MROUND(Z189*0.5,'Start-Options'!B38))</f>
        <v>67.5</v>
      </c>
      <c r="X196" s="27"/>
      <c r="Y196" s="27"/>
      <c r="Z196" s="27"/>
      <c r="AA196" s="27"/>
      <c r="AB196" s="27"/>
      <c r="AC196" s="27"/>
    </row>
    <row r="197" ht="13.5" customHeight="1">
      <c r="A197" s="131"/>
      <c r="B197" s="137">
        <f>IF(Z189="","",MROUND(Z189*0.9,'Start-Options'!B38))</f>
        <v>122.5</v>
      </c>
      <c r="C197" s="132">
        <f>IF(Z189="","",ROUND((37-36*B197/(Z189+'Start-Options'!F35)),0))</f>
        <v>5</v>
      </c>
      <c r="D197" s="132">
        <f>IF(Z189="","",MROUND(B197*36/(37-C197),'Start-Options'!B38))</f>
        <v>137.5</v>
      </c>
      <c r="E197" s="157"/>
      <c r="F197" s="134" t="str">
        <f>IF(E197="","",MROUND(36*B197/(37-E197),'Start-Options'!B38))</f>
        <v/>
      </c>
      <c r="G197" s="281">
        <f>Z189</f>
        <v>135</v>
      </c>
      <c r="H197" s="135"/>
      <c r="I197" s="277"/>
      <c r="J197" s="132">
        <f>IF(Z189="","",MROUND(Z189*0.85,'Start-Options'!B38))</f>
        <v>115</v>
      </c>
      <c r="K197" s="157"/>
      <c r="L197" s="134" t="str">
        <f>IF(K197="","",MROUND(36*J197/(37-K197),'Start-Options'!B38))</f>
        <v/>
      </c>
      <c r="M197" s="135"/>
      <c r="N197" s="136"/>
      <c r="O197" s="136">
        <f>IF(Z189="","",MROUND(Z189*0.95,'Start-Options'!B38))</f>
        <v>127.5</v>
      </c>
      <c r="P197" s="132" t="str">
        <f>IF(L197="","",IF(F197&lt;Z189,ROUND((37-36*O197/(Z189+'Start-Options'!F35)),0),ROUND((37-36*O197/(F197+'Start-Options'!F35)),0)))</f>
        <v/>
      </c>
      <c r="Q197" s="135" t="str">
        <f>IF(P197="","",MROUND(O197*36/(37-P197),'Start-Options'!B38))</f>
        <v/>
      </c>
      <c r="R197" s="161"/>
      <c r="S197" s="139" t="str">
        <f>IF(R197="","",MROUND(36*O197/(37-R197),'Start-Options'!B38))</f>
        <v/>
      </c>
      <c r="T197" s="281">
        <f>Z189</f>
        <v>135</v>
      </c>
      <c r="U197" s="135"/>
      <c r="V197" s="136"/>
      <c r="W197" s="140">
        <f>IF(Z189="","",MROUND(Z189*0.6,'Start-Options'!B38))</f>
        <v>80</v>
      </c>
      <c r="X197" s="27"/>
      <c r="Y197" s="27"/>
      <c r="Z197" s="27"/>
      <c r="AA197" s="27"/>
      <c r="AB197" s="27"/>
      <c r="AC197" s="2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row>
    <row r="199" ht="21.0" customHeight="1">
      <c r="A199" s="27"/>
      <c r="B199" s="27"/>
      <c r="C199" s="27"/>
      <c r="D199" s="27"/>
      <c r="E199" s="27"/>
      <c r="F199" s="27"/>
      <c r="G199" s="27"/>
      <c r="H199" s="27"/>
      <c r="I199" s="27"/>
      <c r="J199" s="27"/>
      <c r="K199" s="27"/>
      <c r="L199" s="86" t="s">
        <v>166</v>
      </c>
      <c r="M199" s="65"/>
      <c r="N199" s="65"/>
      <c r="O199" s="160"/>
      <c r="P199" s="27"/>
      <c r="Q199" s="27"/>
      <c r="R199" s="27"/>
      <c r="S199" s="27"/>
      <c r="T199" s="27"/>
      <c r="U199" s="27"/>
      <c r="V199" s="27"/>
      <c r="W199" s="27"/>
      <c r="X199" s="27"/>
      <c r="Y199" s="27"/>
      <c r="Z199" s="27"/>
      <c r="AA199" s="27"/>
      <c r="AB199" s="27"/>
      <c r="AC199" s="27"/>
    </row>
    <row r="200" ht="15.75" customHeight="1">
      <c r="A200" s="88"/>
      <c r="B200" s="91"/>
      <c r="C200" s="89" t="s">
        <v>341</v>
      </c>
      <c r="D200" s="91"/>
      <c r="E200" s="91"/>
      <c r="F200" s="91"/>
      <c r="G200" s="91"/>
      <c r="H200" s="91"/>
      <c r="I200" s="91"/>
      <c r="J200" s="89" t="s">
        <v>342</v>
      </c>
      <c r="K200" s="60"/>
      <c r="L200" s="91"/>
      <c r="M200" s="91"/>
      <c r="N200" s="91"/>
      <c r="O200" s="91"/>
      <c r="P200" s="89" t="s">
        <v>169</v>
      </c>
      <c r="Q200" s="60"/>
      <c r="R200" s="60"/>
      <c r="S200" s="91"/>
      <c r="T200" s="91"/>
      <c r="U200" s="91"/>
      <c r="V200" s="93" t="s">
        <v>170</v>
      </c>
      <c r="W200" s="94"/>
      <c r="X200" s="27"/>
      <c r="Y200" s="27"/>
      <c r="Z200" s="27"/>
      <c r="AA200" s="27"/>
      <c r="AB200" s="27"/>
      <c r="AC200" s="27"/>
    </row>
    <row r="201" ht="32.25" customHeight="1">
      <c r="A201" s="95"/>
      <c r="B201" s="96" t="s">
        <v>26</v>
      </c>
      <c r="C201" s="97" t="s">
        <v>88</v>
      </c>
      <c r="D201" s="97" t="s">
        <v>89</v>
      </c>
      <c r="E201" s="97" t="s">
        <v>90</v>
      </c>
      <c r="F201" s="96" t="s">
        <v>91</v>
      </c>
      <c r="G201" s="276" t="s">
        <v>317</v>
      </c>
      <c r="H201" s="27"/>
      <c r="I201" s="98"/>
      <c r="J201" s="96" t="s">
        <v>26</v>
      </c>
      <c r="K201" s="97" t="s">
        <v>90</v>
      </c>
      <c r="L201" s="96" t="s">
        <v>91</v>
      </c>
      <c r="M201" s="27"/>
      <c r="N201" s="98"/>
      <c r="O201" s="96" t="s">
        <v>26</v>
      </c>
      <c r="P201" s="97" t="s">
        <v>88</v>
      </c>
      <c r="Q201" s="97" t="s">
        <v>89</v>
      </c>
      <c r="R201" s="97" t="s">
        <v>90</v>
      </c>
      <c r="S201" s="96" t="s">
        <v>91</v>
      </c>
      <c r="T201" s="276" t="s">
        <v>318</v>
      </c>
      <c r="U201" s="27"/>
      <c r="V201" s="99"/>
      <c r="W201" s="159" t="s">
        <v>26</v>
      </c>
      <c r="X201" s="27"/>
      <c r="Y201" s="101" t="s">
        <v>171</v>
      </c>
      <c r="Z201" s="71"/>
      <c r="AA201" s="79"/>
      <c r="AB201" s="27"/>
      <c r="AC201" s="27"/>
    </row>
    <row r="202" ht="12.75" customHeight="1">
      <c r="A202" s="102"/>
      <c r="B202" s="107">
        <f>IF(Z202="","",MROUND(Z202*0.7,'Start-Options'!B38))</f>
        <v>55</v>
      </c>
      <c r="C202" s="103"/>
      <c r="D202" s="103"/>
      <c r="E202" s="103"/>
      <c r="F202" s="104"/>
      <c r="G202" s="278"/>
      <c r="H202" s="105"/>
      <c r="I202" s="37"/>
      <c r="J202" s="103">
        <f>IF(Z202="","",MROUND(Z202*0.65,'Start-Options'!B38))</f>
        <v>52.5</v>
      </c>
      <c r="K202" s="103"/>
      <c r="L202" s="104"/>
      <c r="M202" s="105"/>
      <c r="N202" s="106"/>
      <c r="O202" s="106">
        <f>IF(Z202="","",MROUND(Z202*0.75,'Start-Options'!B38))</f>
        <v>60</v>
      </c>
      <c r="P202" s="108"/>
      <c r="Q202" s="108"/>
      <c r="R202" s="108"/>
      <c r="S202" s="109"/>
      <c r="T202" s="279"/>
      <c r="U202" s="105"/>
      <c r="V202" s="106"/>
      <c r="W202" s="110">
        <f>IF(Z202="","",MROUND(Z202*0.4,'Start-Options'!B38))</f>
        <v>32.5</v>
      </c>
      <c r="X202" s="27"/>
      <c r="Y202" s="37" t="str">
        <f>'Start-Options'!B4</f>
        <v>Military</v>
      </c>
      <c r="Z202" s="37">
        <f>IF(Z186="","",IF(ISTEXT(AA186),Z186-AB186,Z186+'Start-Options'!C32))</f>
        <v>80</v>
      </c>
      <c r="AA202" s="27"/>
      <c r="AB202" s="27"/>
      <c r="AC202" s="27"/>
    </row>
    <row r="203" ht="12.75" customHeight="1">
      <c r="A203" s="111" t="str">
        <f>'Start-Options'!B4</f>
        <v>Military</v>
      </c>
      <c r="B203" s="115">
        <f>IF(Z202="","",MROUND(Z202*0.8,'Start-Options'!B38))</f>
        <v>65</v>
      </c>
      <c r="C203" s="112"/>
      <c r="D203" s="112"/>
      <c r="E203" s="112"/>
      <c r="F203" s="113"/>
      <c r="G203" s="279"/>
      <c r="H203" s="105"/>
      <c r="I203" s="118" t="str">
        <f>'Start-Options'!B4</f>
        <v>Military</v>
      </c>
      <c r="J203" s="112">
        <f>IF(Z202="","",MROUND(Z202*0.75,'Start-Options'!B38))</f>
        <v>60</v>
      </c>
      <c r="K203" s="112"/>
      <c r="L203" s="113"/>
      <c r="M203" s="105"/>
      <c r="N203" s="114" t="str">
        <f>'Start-Options'!B4</f>
        <v>Military</v>
      </c>
      <c r="O203" s="114">
        <f>IF(Z202="","",MROUND(Z202*0.85,'Start-Options'!B38))</f>
        <v>67.5</v>
      </c>
      <c r="P203" s="105"/>
      <c r="Q203" s="105"/>
      <c r="R203" s="105"/>
      <c r="S203" s="116"/>
      <c r="T203" s="279"/>
      <c r="U203" s="105"/>
      <c r="V203" s="114" t="str">
        <f>'Start-Options'!B4</f>
        <v>Military</v>
      </c>
      <c r="W203" s="117">
        <f>IF(Z202="","",MROUND(Z202*0.5,'Start-Options'!B38))</f>
        <v>40</v>
      </c>
      <c r="X203" s="27"/>
      <c r="Y203" s="118" t="str">
        <f>'Start-Options'!B5</f>
        <v>Deadlift</v>
      </c>
      <c r="Z203" s="118">
        <f>IF(Z187="","",IF(ISTEXT(AA187),Z187-AB187,Z187+'Start-Options'!C33))</f>
        <v>170</v>
      </c>
      <c r="AA203" s="27"/>
      <c r="AB203" s="27"/>
      <c r="AC203" s="27"/>
    </row>
    <row r="204" ht="12.75" customHeight="1">
      <c r="A204" s="119"/>
      <c r="B204" s="124">
        <f>IF(Z202="","",MROUND(Z202*0.9,'Start-Options'!B38))</f>
        <v>72.5</v>
      </c>
      <c r="C204" s="120">
        <f>IF(Z202="","",ROUND((37-36*B204/(Z202+'Start-Options'!F32)),0))</f>
        <v>5</v>
      </c>
      <c r="D204" s="120">
        <f>IF(Z202="","",MROUND(B204*36/(37-C204),'Start-Options'!B38))</f>
        <v>82.5</v>
      </c>
      <c r="E204" s="156"/>
      <c r="F204" s="122" t="str">
        <f>IF(E204="","",MROUND(36*J204/(37-E204),'Start-Options'!B38))</f>
        <v/>
      </c>
      <c r="G204" s="279">
        <f>Z202</f>
        <v>80</v>
      </c>
      <c r="H204" s="105"/>
      <c r="I204" s="129"/>
      <c r="J204" s="120">
        <f>IF(Z202="","",MROUND(Z202*0.85,'Start-Options'!B38))</f>
        <v>67.5</v>
      </c>
      <c r="K204" s="156"/>
      <c r="L204" s="122" t="str">
        <f>IF(K204="","",MROUND(36*J204/(37-K204),'Start-Options'!B38))</f>
        <v/>
      </c>
      <c r="M204" s="105"/>
      <c r="N204" s="123"/>
      <c r="O204" s="123">
        <f>IF(Z202="","",MROUND(Z202*0.95,'Start-Options'!B38))</f>
        <v>75</v>
      </c>
      <c r="P204" s="120" t="str">
        <f>IF(L204="","",IF(F204&lt;Z202,ROUND((37-36*O204/(Z202+'Start-Options'!F32)),0),ROUND((37-36*O204/(F204+'Start-Options'!F32)),0)))</f>
        <v/>
      </c>
      <c r="Q204" s="125" t="str">
        <f>IF(P204="","",MROUND(O204*36/(37-P204),'Start-Options'!B38))</f>
        <v/>
      </c>
      <c r="R204" s="152"/>
      <c r="S204" s="127" t="str">
        <f>IF(R204="","",MROUND(36*O204/(37-R204),'Start-Options'!B38))</f>
        <v/>
      </c>
      <c r="T204" s="280">
        <f>Z202</f>
        <v>80</v>
      </c>
      <c r="U204" s="105"/>
      <c r="V204" s="123"/>
      <c r="W204" s="128">
        <f>IF(Z202="","",MROUND(Z202*0.6,'Start-Options'!B38))</f>
        <v>47.5</v>
      </c>
      <c r="X204" s="27"/>
      <c r="Y204" s="118" t="str">
        <f>'Start-Options'!B6</f>
        <v>Bench</v>
      </c>
      <c r="Z204" s="118">
        <f>IF(Z188="","",IF(ISTEXT(AA188),Z188-AB188,Z188+'Start-Options'!C34))</f>
        <v>100</v>
      </c>
      <c r="AA204" s="27"/>
      <c r="AB204" s="27"/>
      <c r="AC204" s="27"/>
    </row>
    <row r="205" ht="12.75" customHeight="1">
      <c r="A205" s="102"/>
      <c r="B205" s="107">
        <f>IF(Z203="","",MROUND(Z203*0.7,'Start-Options'!B38))</f>
        <v>120</v>
      </c>
      <c r="C205" s="103"/>
      <c r="D205" s="103"/>
      <c r="E205" s="103"/>
      <c r="F205" s="104"/>
      <c r="G205" s="278"/>
      <c r="H205" s="105"/>
      <c r="I205" s="37"/>
      <c r="J205" s="103">
        <f>IF(Z203="","",MROUND(Z203*0.65,'Start-Options'!B38))</f>
        <v>110</v>
      </c>
      <c r="K205" s="103"/>
      <c r="L205" s="104"/>
      <c r="M205" s="105"/>
      <c r="N205" s="106"/>
      <c r="O205" s="106">
        <f>IF(Z203="","",MROUND(Z203*0.75,'Start-Options'!B38))</f>
        <v>127.5</v>
      </c>
      <c r="P205" s="108"/>
      <c r="Q205" s="108"/>
      <c r="R205" s="108"/>
      <c r="S205" s="109"/>
      <c r="T205" s="279"/>
      <c r="U205" s="105"/>
      <c r="V205" s="106"/>
      <c r="W205" s="110">
        <f>IF(Z203="","",MROUND(Z203*0.4,'Start-Options'!B38))</f>
        <v>67.5</v>
      </c>
      <c r="X205" s="27"/>
      <c r="Y205" s="129" t="str">
        <f>'Start-Options'!B7</f>
        <v>Squat</v>
      </c>
      <c r="Z205" s="129">
        <f>IF(Z189="","",IF(ISTEXT(AA189),Z189-AB189,Z189+'Start-Options'!C35))</f>
        <v>140</v>
      </c>
      <c r="AA205" s="27"/>
      <c r="AB205" s="27"/>
      <c r="AC205" s="27"/>
    </row>
    <row r="206" ht="12.75" customHeight="1">
      <c r="A206" s="111" t="str">
        <f>'Start-Options'!B5</f>
        <v>Deadlift</v>
      </c>
      <c r="B206" s="115">
        <f>IF(Z203="","",MROUND(Z203*0.8,'Start-Options'!B38))</f>
        <v>135</v>
      </c>
      <c r="C206" s="112"/>
      <c r="D206" s="112"/>
      <c r="E206" s="112"/>
      <c r="F206" s="113"/>
      <c r="G206" s="279"/>
      <c r="H206" s="105"/>
      <c r="I206" s="118" t="str">
        <f>'Start-Options'!B5</f>
        <v>Deadlift</v>
      </c>
      <c r="J206" s="112">
        <f>IF(Z203="","",MROUND(Z203*0.75,'Start-Options'!B38))</f>
        <v>127.5</v>
      </c>
      <c r="K206" s="112"/>
      <c r="L206" s="113"/>
      <c r="M206" s="105"/>
      <c r="N206" s="114" t="str">
        <f>'Start-Options'!B5</f>
        <v>Deadlift</v>
      </c>
      <c r="O206" s="114">
        <f>IF(Z203="","",MROUND(Z203*0.85,'Start-Options'!B38))</f>
        <v>145</v>
      </c>
      <c r="P206" s="105"/>
      <c r="Q206" s="105"/>
      <c r="R206" s="105"/>
      <c r="S206" s="116"/>
      <c r="T206" s="279"/>
      <c r="U206" s="105"/>
      <c r="V206" s="114" t="str">
        <f>'Start-Options'!B5</f>
        <v>Deadlift</v>
      </c>
      <c r="W206" s="117">
        <f>IF(Z203="","",MROUND(Z203*0.5,'Start-Options'!B38))</f>
        <v>85</v>
      </c>
      <c r="X206" s="27"/>
      <c r="Y206" s="27"/>
      <c r="Z206" s="27"/>
      <c r="AA206" s="27"/>
      <c r="AB206" s="27"/>
      <c r="AC206" s="27"/>
    </row>
    <row r="207" ht="12.75" customHeight="1">
      <c r="A207" s="130"/>
      <c r="B207" s="124">
        <f>IF(Z203="","",MROUND(Z203*0.9,'Start-Options'!B38))</f>
        <v>152.5</v>
      </c>
      <c r="C207" s="120">
        <f>IF(Z203="","",ROUND((37-36*B207/(Z203+'Start-Options'!F33)),0))</f>
        <v>5</v>
      </c>
      <c r="D207" s="120">
        <f>IF(Z203="","",MROUND(B207*36/(37-C207),'Start-Options'!B38))</f>
        <v>172.5</v>
      </c>
      <c r="E207" s="156"/>
      <c r="F207" s="122" t="str">
        <f>IF(E207="","",MROUND(36*J207/(37-E207),'Start-Options'!B38))</f>
        <v/>
      </c>
      <c r="G207" s="280">
        <f>Z203</f>
        <v>170</v>
      </c>
      <c r="H207" s="105"/>
      <c r="I207" s="129"/>
      <c r="J207" s="120">
        <f>IF(Z203="","",MROUND(Z203*0.85,'Start-Options'!B38))</f>
        <v>145</v>
      </c>
      <c r="K207" s="156"/>
      <c r="L207" s="122" t="str">
        <f>IF(K207="","",MROUND(36*J207/(37-K207),'Start-Options'!B38))</f>
        <v/>
      </c>
      <c r="M207" s="105"/>
      <c r="N207" s="123"/>
      <c r="O207" s="123">
        <f>IF(Z203="","",MROUND(Z203*0.95,'Start-Options'!B38))</f>
        <v>162.5</v>
      </c>
      <c r="P207" s="120" t="str">
        <f>IF(L207="","",IF(F207&lt;Z203,ROUND((37-36*O207/(Z203+'Start-Options'!F33)),0),ROUND((37-36*O207/(F207+'Start-Options'!F33)),0)))</f>
        <v/>
      </c>
      <c r="Q207" s="125" t="str">
        <f>IF(P207="","",MROUND(O207*36/(37-P207),'Start-Options'!B38))</f>
        <v/>
      </c>
      <c r="R207" s="152"/>
      <c r="S207" s="127" t="str">
        <f>IF(R207="","",MROUND(36*O207/(37-R207),'Start-Options'!B38))</f>
        <v/>
      </c>
      <c r="T207" s="280">
        <f>Z203</f>
        <v>170</v>
      </c>
      <c r="U207" s="105"/>
      <c r="V207" s="123"/>
      <c r="W207" s="128">
        <f>IF(Z203="","",MROUND(Z203*0.6,'Start-Options'!B38))</f>
        <v>102.5</v>
      </c>
      <c r="X207" s="27"/>
      <c r="Y207" s="70" t="s">
        <v>93</v>
      </c>
      <c r="Z207" s="71"/>
      <c r="AA207" s="27"/>
      <c r="AB207" s="27"/>
      <c r="AC207" s="27"/>
    </row>
    <row r="208" ht="12.75" customHeight="1">
      <c r="A208" s="102"/>
      <c r="B208" s="107">
        <f>IF(Z204="","",MROUND(Z204*0.7,'Start-Options'!B38))</f>
        <v>70</v>
      </c>
      <c r="C208" s="103"/>
      <c r="D208" s="103"/>
      <c r="E208" s="103"/>
      <c r="F208" s="104"/>
      <c r="G208" s="279"/>
      <c r="H208" s="105"/>
      <c r="I208" s="37"/>
      <c r="J208" s="103">
        <f>IF(Z204="","",MROUND(Z204*0.65,'Start-Options'!B38))</f>
        <v>65</v>
      </c>
      <c r="K208" s="103"/>
      <c r="L208" s="104"/>
      <c r="M208" s="105"/>
      <c r="N208" s="106"/>
      <c r="O208" s="106">
        <f>IF(Z204="","",MROUND(Z204*0.75,'Start-Options'!B38))</f>
        <v>75</v>
      </c>
      <c r="P208" s="108"/>
      <c r="Q208" s="108"/>
      <c r="R208" s="108"/>
      <c r="S208" s="109"/>
      <c r="T208" s="279"/>
      <c r="U208" s="105"/>
      <c r="V208" s="106"/>
      <c r="W208" s="110">
        <f>IF(Z204="","",MROUND(Z204*0.4,'Start-Options'!B38))</f>
        <v>40</v>
      </c>
      <c r="X208" s="27"/>
      <c r="Y208" s="25" t="s">
        <v>94</v>
      </c>
      <c r="Z208" s="162"/>
      <c r="AA208" s="27"/>
      <c r="AB208" s="27"/>
      <c r="AC208" s="27"/>
    </row>
    <row r="209" ht="12.75" customHeight="1">
      <c r="A209" s="111" t="str">
        <f>'Start-Options'!B6</f>
        <v>Bench</v>
      </c>
      <c r="B209" s="115">
        <f>IF(Z204="","",MROUND(Z204*0.8,'Start-Options'!B38))</f>
        <v>80</v>
      </c>
      <c r="C209" s="112"/>
      <c r="D209" s="112"/>
      <c r="E209" s="112"/>
      <c r="F209" s="113"/>
      <c r="G209" s="279"/>
      <c r="H209" s="105"/>
      <c r="I209" s="118" t="str">
        <f>'Start-Options'!B6</f>
        <v>Bench</v>
      </c>
      <c r="J209" s="112">
        <f>IF(Z204="","",MROUND(Z204*0.75,'Start-Options'!B38))</f>
        <v>75</v>
      </c>
      <c r="K209" s="112"/>
      <c r="L209" s="113"/>
      <c r="M209" s="105"/>
      <c r="N209" s="114" t="str">
        <f>'Start-Options'!B6</f>
        <v>Bench</v>
      </c>
      <c r="O209" s="114">
        <f>IF(Z204="","",MROUND(Z204*0.85,'Start-Options'!B38))</f>
        <v>85</v>
      </c>
      <c r="P209" s="105"/>
      <c r="Q209" s="105"/>
      <c r="R209" s="105"/>
      <c r="S209" s="116"/>
      <c r="T209" s="279"/>
      <c r="U209" s="105"/>
      <c r="V209" s="114" t="str">
        <f>'Start-Options'!B6</f>
        <v>Bench</v>
      </c>
      <c r="W209" s="117">
        <f>IF(Z204="","",MROUND(Z204*0.5,'Start-Options'!B38))</f>
        <v>50</v>
      </c>
      <c r="X209" s="27"/>
      <c r="Y209" s="77" t="s">
        <v>95</v>
      </c>
      <c r="Z209" s="78" t="str">
        <f>IF(Z208="","",MROUND(Z208*0.4,'Start-Options'!$B$38))</f>
        <v/>
      </c>
      <c r="AA209" s="27"/>
      <c r="AB209" s="27"/>
      <c r="AC209" s="27"/>
    </row>
    <row r="210" ht="12.75" customHeight="1">
      <c r="A210" s="119"/>
      <c r="B210" s="124">
        <f>IF(Z204="","",MROUND(Z204*0.9,'Start-Options'!B38))</f>
        <v>90</v>
      </c>
      <c r="C210" s="120">
        <f>IF(Z204="","",ROUND((37-36*B210/(Z204+'Start-Options'!F34)),0))</f>
        <v>5</v>
      </c>
      <c r="D210" s="120">
        <f>IF(Z204="","",MROUND(B210*36/(37-C210),'Start-Options'!B38))</f>
        <v>102.5</v>
      </c>
      <c r="E210" s="156"/>
      <c r="F210" s="122" t="str">
        <f>IF(E210="","",MROUND(36*B210/(37-E210),'Start-Options'!B38))</f>
        <v/>
      </c>
      <c r="G210" s="280">
        <f>Z204</f>
        <v>100</v>
      </c>
      <c r="H210" s="105"/>
      <c r="I210" s="129"/>
      <c r="J210" s="120">
        <f>IF(Z204="","",MROUND(Z204*0.85,'Start-Options'!B38))</f>
        <v>85</v>
      </c>
      <c r="K210" s="156"/>
      <c r="L210" s="122" t="str">
        <f>IF(K210="","",MROUND(36*J210/(37-K210),'Start-Options'!B38))</f>
        <v/>
      </c>
      <c r="M210" s="105"/>
      <c r="N210" s="123"/>
      <c r="O210" s="123">
        <f>IF(Z204="","",MROUND(Z204*0.95,'Start-Options'!B38))</f>
        <v>95</v>
      </c>
      <c r="P210" s="120" t="str">
        <f>IF(L210="","",IF(F210&lt;Z204,ROUND((37-36*O210/(Z204+'Start-Options'!F34)),0),ROUND((37-36*O210/(F210+'Start-Options'!F34)),0)))</f>
        <v/>
      </c>
      <c r="Q210" s="125" t="str">
        <f>IF(P210="","",MROUND(O210*36/(37-P210),'Start-Options'!B38))</f>
        <v/>
      </c>
      <c r="R210" s="152"/>
      <c r="S210" s="127" t="str">
        <f>IF(R210="","",MROUND(36*O210/(37-R210),'Start-Options'!B38))</f>
        <v/>
      </c>
      <c r="T210" s="279">
        <f>Z204</f>
        <v>100</v>
      </c>
      <c r="U210" s="105"/>
      <c r="V210" s="123"/>
      <c r="W210" s="128">
        <f>IF(Z204="","",MROUND(Z204*0.6,'Start-Options'!B38))</f>
        <v>60</v>
      </c>
      <c r="X210" s="27"/>
      <c r="Y210" s="77" t="s">
        <v>96</v>
      </c>
      <c r="Z210" s="78" t="str">
        <f>IF(Z208="","",MROUND(Z208*0.5,'Start-Options'!$B$38))</f>
        <v/>
      </c>
      <c r="AA210" s="27"/>
      <c r="AB210" s="27"/>
      <c r="AC210" s="27"/>
    </row>
    <row r="211" ht="12.75" customHeight="1">
      <c r="A211" s="111"/>
      <c r="B211" s="107">
        <f>IF(Z205="","",MROUND(Z205*0.7,'Start-Options'!B38))</f>
        <v>97.5</v>
      </c>
      <c r="C211" s="103"/>
      <c r="D211" s="103"/>
      <c r="E211" s="103"/>
      <c r="F211" s="104"/>
      <c r="G211" s="279"/>
      <c r="H211" s="105"/>
      <c r="I211" s="37"/>
      <c r="J211" s="103">
        <f>IF(Z205="","",MROUND(Z205*0.65,'Start-Options'!B38))</f>
        <v>90</v>
      </c>
      <c r="K211" s="103"/>
      <c r="L211" s="104"/>
      <c r="M211" s="105"/>
      <c r="N211" s="106"/>
      <c r="O211" s="106">
        <f>IF(Z205="","",MROUND(Z205*0.75,'Start-Options'!B38))</f>
        <v>105</v>
      </c>
      <c r="P211" s="108"/>
      <c r="Q211" s="108"/>
      <c r="R211" s="108"/>
      <c r="S211" s="109"/>
      <c r="T211" s="278"/>
      <c r="U211" s="105"/>
      <c r="V211" s="106"/>
      <c r="W211" s="110">
        <f>IF(Z205="","",MROUND(Z205*0.4,'Start-Options'!B38))</f>
        <v>55</v>
      </c>
      <c r="X211" s="27"/>
      <c r="Y211" s="82" t="s">
        <v>97</v>
      </c>
      <c r="Z211" s="83" t="str">
        <f>IF(Z208="","",MROUND(Z208*0.6,'Start-Options'!$B$38))</f>
        <v/>
      </c>
      <c r="AA211" s="27"/>
      <c r="AB211" s="27"/>
      <c r="AC211" s="27"/>
    </row>
    <row r="212" ht="12.75" customHeight="1">
      <c r="A212" s="111" t="str">
        <f>'Start-Options'!B7</f>
        <v>Squat</v>
      </c>
      <c r="B212" s="115">
        <f>IF(Z205="","",MROUND(Z205*0.8,'Start-Options'!B38))</f>
        <v>112.5</v>
      </c>
      <c r="C212" s="112"/>
      <c r="D212" s="112"/>
      <c r="E212" s="112"/>
      <c r="F212" s="113"/>
      <c r="G212" s="279"/>
      <c r="H212" s="105"/>
      <c r="I212" s="118" t="str">
        <f>'Start-Options'!B7</f>
        <v>Squat</v>
      </c>
      <c r="J212" s="112">
        <f>IF(Z205="","",MROUND(Z205*0.75,'Start-Options'!B38))</f>
        <v>105</v>
      </c>
      <c r="K212" s="112"/>
      <c r="L212" s="113"/>
      <c r="M212" s="105"/>
      <c r="N212" s="114" t="str">
        <f>'Start-Options'!B7</f>
        <v>Squat</v>
      </c>
      <c r="O212" s="114">
        <f>IF(Z205="","",MROUND(Z205*0.85,'Start-Options'!B38))</f>
        <v>120</v>
      </c>
      <c r="P212" s="105"/>
      <c r="Q212" s="105"/>
      <c r="R212" s="105"/>
      <c r="S212" s="116"/>
      <c r="T212" s="279"/>
      <c r="U212" s="105"/>
      <c r="V212" s="114" t="str">
        <f>'Start-Options'!B7</f>
        <v>Squat</v>
      </c>
      <c r="W212" s="117">
        <f>IF(Z205="","",MROUND(Z205*0.5,'Start-Options'!B38))</f>
        <v>70</v>
      </c>
      <c r="X212" s="27"/>
      <c r="Y212" s="27"/>
      <c r="Z212" s="27"/>
      <c r="AA212" s="27"/>
      <c r="AB212" s="27"/>
      <c r="AC212" s="27"/>
    </row>
    <row r="213" ht="13.5" customHeight="1">
      <c r="A213" s="131"/>
      <c r="B213" s="137">
        <f>IF(Z205="","",MROUND(Z205*0.9,'Start-Options'!B38))</f>
        <v>125</v>
      </c>
      <c r="C213" s="132">
        <f>IF(Z205="","",ROUND((37-36*B213/(Z205+'Start-Options'!F35)),0))</f>
        <v>5</v>
      </c>
      <c r="D213" s="132">
        <f>IF(Z205="","",MROUND(B213*36/(37-C213),'Start-Options'!B38))</f>
        <v>140</v>
      </c>
      <c r="E213" s="157"/>
      <c r="F213" s="134" t="str">
        <f>IF(E213="","",MROUND(36*B213/(37-E213),'Start-Options'!B38))</f>
        <v/>
      </c>
      <c r="G213" s="281">
        <f>Z205</f>
        <v>140</v>
      </c>
      <c r="H213" s="135"/>
      <c r="I213" s="277"/>
      <c r="J213" s="132">
        <f>IF(Z205="","",MROUND(Z205*0.85,'Start-Options'!B38))</f>
        <v>120</v>
      </c>
      <c r="K213" s="157"/>
      <c r="L213" s="134" t="str">
        <f>IF(K213="","",MROUND(36*J213/(37-K213),'Start-Options'!B38))</f>
        <v/>
      </c>
      <c r="M213" s="135"/>
      <c r="N213" s="136"/>
      <c r="O213" s="136">
        <f>IF(Z205="","",MROUND(Z205*0.95,'Start-Options'!B38))</f>
        <v>132.5</v>
      </c>
      <c r="P213" s="132" t="str">
        <f>IF(L213="","",IF(F213&lt;Z205,ROUND((37-36*O213/(Z205+'Start-Options'!F35)),0),ROUND((37-36*O213/(F213+'Start-Options'!F35)),0)))</f>
        <v/>
      </c>
      <c r="Q213" s="135" t="str">
        <f>IF(P213="","",MROUND(O213*36/(37-P213),'Start-Options'!B38))</f>
        <v/>
      </c>
      <c r="R213" s="161"/>
      <c r="S213" s="139" t="str">
        <f>IF(R213="","",MROUND(36*O213/(37-R213),'Start-Options'!B38))</f>
        <v/>
      </c>
      <c r="T213" s="281">
        <f>Z205</f>
        <v>140</v>
      </c>
      <c r="U213" s="135"/>
      <c r="V213" s="136"/>
      <c r="W213" s="140">
        <f>IF(Z205="","",MROUND(Z205*0.6,'Start-Options'!B38))</f>
        <v>85</v>
      </c>
      <c r="X213" s="27"/>
      <c r="Y213" s="27"/>
      <c r="Z213" s="27"/>
      <c r="AA213" s="27"/>
      <c r="AB213" s="27"/>
      <c r="AC213" s="2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mergeCells count="85">
    <mergeCell ref="L119:N119"/>
    <mergeCell ref="J120:K120"/>
    <mergeCell ref="P120:R120"/>
    <mergeCell ref="V120:W120"/>
    <mergeCell ref="Y121:Z121"/>
    <mergeCell ref="Y127:Z127"/>
    <mergeCell ref="L135:N135"/>
    <mergeCell ref="J136:L136"/>
    <mergeCell ref="P136:R136"/>
    <mergeCell ref="V136:W136"/>
    <mergeCell ref="Y137:Z137"/>
    <mergeCell ref="Y143:Z143"/>
    <mergeCell ref="L151:N151"/>
    <mergeCell ref="J152:K152"/>
    <mergeCell ref="P152:R152"/>
    <mergeCell ref="V152:W152"/>
    <mergeCell ref="Y153:Z153"/>
    <mergeCell ref="Y159:Z159"/>
    <mergeCell ref="L167:N167"/>
    <mergeCell ref="J168:K168"/>
    <mergeCell ref="P168:R168"/>
    <mergeCell ref="Y185:Z185"/>
    <mergeCell ref="Y191:Z191"/>
    <mergeCell ref="L199:N199"/>
    <mergeCell ref="J200:K200"/>
    <mergeCell ref="P200:R200"/>
    <mergeCell ref="V200:W200"/>
    <mergeCell ref="Y201:Z201"/>
    <mergeCell ref="Y207:Z207"/>
    <mergeCell ref="V168:W168"/>
    <mergeCell ref="Y169:Z169"/>
    <mergeCell ref="Y175:Z175"/>
    <mergeCell ref="L183:N183"/>
    <mergeCell ref="J184:K184"/>
    <mergeCell ref="P184:R184"/>
    <mergeCell ref="V184:W184"/>
    <mergeCell ref="B3:D3"/>
    <mergeCell ref="I3:K3"/>
    <mergeCell ref="P3:R3"/>
    <mergeCell ref="V3:W3"/>
    <mergeCell ref="V4:W4"/>
    <mergeCell ref="V5:W5"/>
    <mergeCell ref="L7:N7"/>
    <mergeCell ref="B8:D8"/>
    <mergeCell ref="J8:K8"/>
    <mergeCell ref="P8:R8"/>
    <mergeCell ref="V8:W8"/>
    <mergeCell ref="Y9:Z9"/>
    <mergeCell ref="Y15:Z15"/>
    <mergeCell ref="L23:N23"/>
    <mergeCell ref="J24:K24"/>
    <mergeCell ref="P24:R24"/>
    <mergeCell ref="V24:W24"/>
    <mergeCell ref="Y25:Z25"/>
    <mergeCell ref="Y31:Z31"/>
    <mergeCell ref="L39:N39"/>
    <mergeCell ref="J40:K40"/>
    <mergeCell ref="P40:R40"/>
    <mergeCell ref="V40:W40"/>
    <mergeCell ref="Y41:Z41"/>
    <mergeCell ref="Y47:Z47"/>
    <mergeCell ref="L55:N55"/>
    <mergeCell ref="J56:K56"/>
    <mergeCell ref="P56:R56"/>
    <mergeCell ref="V56:W56"/>
    <mergeCell ref="Y57:Z57"/>
    <mergeCell ref="Y63:Z63"/>
    <mergeCell ref="L71:N71"/>
    <mergeCell ref="J72:K72"/>
    <mergeCell ref="P72:R72"/>
    <mergeCell ref="V72:W72"/>
    <mergeCell ref="Y73:Z73"/>
    <mergeCell ref="Y79:Z79"/>
    <mergeCell ref="J88:K88"/>
    <mergeCell ref="P88:R88"/>
    <mergeCell ref="V88:W88"/>
    <mergeCell ref="Y89:Z89"/>
    <mergeCell ref="Y95:Z95"/>
    <mergeCell ref="L87:N87"/>
    <mergeCell ref="L103:N103"/>
    <mergeCell ref="J104:K104"/>
    <mergeCell ref="P104:R104"/>
    <mergeCell ref="V104:W104"/>
    <mergeCell ref="Y105:Z105"/>
    <mergeCell ref="Y111:Z1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9" width="7.75"/>
    <col customWidth="1" min="20" max="20" width="3.63"/>
    <col customWidth="1" min="21" max="21" width="1.25"/>
    <col customWidth="1" min="22" max="22" width="4.25"/>
    <col customWidth="1" min="23" max="23" width="4.63"/>
    <col customWidth="1" min="24" max="27" width="5.88"/>
  </cols>
  <sheetData>
    <row r="1" ht="26.25" customHeight="1">
      <c r="A1" s="1"/>
      <c r="B1" s="282"/>
      <c r="C1" s="282"/>
      <c r="D1" s="282"/>
      <c r="E1" s="282"/>
      <c r="F1" s="282"/>
      <c r="G1" s="282"/>
      <c r="H1" s="267" t="s">
        <v>343</v>
      </c>
      <c r="I1" s="282"/>
      <c r="J1" s="282"/>
      <c r="K1" s="282"/>
      <c r="L1" s="282"/>
      <c r="M1" s="282"/>
      <c r="N1" s="3" t="s">
        <v>1</v>
      </c>
      <c r="O1" s="282"/>
      <c r="P1" s="282"/>
      <c r="Q1" s="282"/>
      <c r="R1" s="282"/>
      <c r="S1" s="282"/>
      <c r="T1" s="282"/>
      <c r="U1" s="18"/>
      <c r="V1" s="18"/>
      <c r="W1" s="18"/>
      <c r="X1" s="18"/>
      <c r="Y1" s="18"/>
      <c r="Z1" s="18"/>
      <c r="AA1" s="18"/>
    </row>
    <row r="2" ht="18.0" customHeight="1">
      <c r="A2" s="269" t="s">
        <v>344</v>
      </c>
      <c r="B2" s="5"/>
      <c r="C2" s="5"/>
      <c r="D2" s="5"/>
      <c r="E2" s="5"/>
      <c r="F2" s="5"/>
      <c r="G2" s="5"/>
      <c r="H2" s="5"/>
      <c r="I2" s="5"/>
      <c r="J2" s="5"/>
      <c r="K2" s="5"/>
      <c r="L2" s="5"/>
      <c r="M2" s="5"/>
      <c r="N2" s="5"/>
      <c r="O2" s="5"/>
      <c r="P2" s="5"/>
      <c r="Q2" s="5"/>
      <c r="R2" s="5"/>
      <c r="S2" s="5"/>
      <c r="T2" s="6"/>
      <c r="U2" s="18"/>
      <c r="V2" s="18"/>
      <c r="W2" s="18"/>
      <c r="X2" s="18"/>
      <c r="Y2" s="18"/>
      <c r="Z2" s="18"/>
      <c r="AA2" s="18"/>
    </row>
    <row r="3" ht="6.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ht="12.75" customHeight="1">
      <c r="A4" s="18"/>
      <c r="B4" s="18"/>
      <c r="C4" s="18"/>
      <c r="D4" s="18"/>
      <c r="E4" s="18"/>
      <c r="F4" s="18"/>
      <c r="G4" s="18"/>
      <c r="H4" s="211" t="s">
        <v>308</v>
      </c>
      <c r="I4" s="41"/>
      <c r="J4" s="41"/>
      <c r="K4" s="42"/>
      <c r="L4" s="18"/>
      <c r="M4" s="18"/>
      <c r="N4" s="54" t="s">
        <v>345</v>
      </c>
      <c r="O4" s="6"/>
      <c r="P4" s="18"/>
      <c r="Q4" s="18"/>
      <c r="R4" s="18"/>
      <c r="S4" s="18"/>
      <c r="T4" s="18"/>
      <c r="U4" s="18"/>
      <c r="V4" s="18"/>
      <c r="W4" s="18"/>
      <c r="X4" s="18"/>
      <c r="Y4" s="18"/>
      <c r="Z4" s="18"/>
      <c r="AA4" s="18"/>
    </row>
    <row r="5" ht="12.75" customHeight="1">
      <c r="A5" s="18"/>
      <c r="B5" s="18"/>
      <c r="C5" s="18"/>
      <c r="D5" s="18"/>
      <c r="E5" s="18"/>
      <c r="F5" s="18"/>
      <c r="G5" s="18"/>
      <c r="H5" s="67" t="s">
        <v>30</v>
      </c>
      <c r="I5" s="67" t="s">
        <v>31</v>
      </c>
      <c r="J5" s="67" t="s">
        <v>32</v>
      </c>
      <c r="K5" s="67" t="s">
        <v>33</v>
      </c>
      <c r="L5" s="18"/>
      <c r="M5" s="18"/>
      <c r="N5" s="54" t="s">
        <v>64</v>
      </c>
      <c r="O5" s="6"/>
      <c r="P5" s="18"/>
      <c r="Q5" s="18"/>
      <c r="R5" s="18"/>
      <c r="S5" s="18"/>
      <c r="T5" s="18"/>
      <c r="U5" s="18"/>
      <c r="V5" s="18"/>
      <c r="W5" s="18"/>
      <c r="X5" s="18"/>
      <c r="Y5" s="18"/>
      <c r="Z5" s="18"/>
      <c r="AA5" s="18"/>
    </row>
    <row r="6" ht="12.75" customHeight="1">
      <c r="A6" s="18"/>
      <c r="B6" s="18"/>
      <c r="C6" s="18"/>
      <c r="D6" s="18"/>
      <c r="E6" s="18"/>
      <c r="F6" s="18"/>
      <c r="G6" s="18"/>
      <c r="H6" s="211" t="str">
        <f t="shared" ref="H6:K6" si="1">IF(MAX(X10:X48)=0,"",MAX(X10:X48))</f>
        <v/>
      </c>
      <c r="I6" s="211" t="str">
        <f t="shared" si="1"/>
        <v/>
      </c>
      <c r="J6" s="211" t="str">
        <f t="shared" si="1"/>
        <v/>
      </c>
      <c r="K6" s="25" t="str">
        <f t="shared" si="1"/>
        <v/>
      </c>
      <c r="L6" s="18"/>
      <c r="M6" s="18"/>
      <c r="N6" s="54" t="s">
        <v>77</v>
      </c>
      <c r="O6" s="6"/>
      <c r="P6" s="18"/>
      <c r="Q6" s="18"/>
      <c r="R6" s="18"/>
      <c r="S6" s="18"/>
      <c r="T6" s="18"/>
      <c r="U6" s="18"/>
      <c r="V6" s="18"/>
      <c r="W6" s="18"/>
      <c r="X6" s="18"/>
      <c r="Y6" s="18"/>
      <c r="Z6" s="18"/>
      <c r="AA6" s="18"/>
    </row>
    <row r="7" ht="4.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row>
    <row r="8" ht="12.75" customHeight="1">
      <c r="A8" s="18"/>
      <c r="B8" s="18"/>
      <c r="C8" s="18"/>
      <c r="D8" s="18"/>
      <c r="E8" s="18"/>
      <c r="F8" s="18"/>
      <c r="G8" s="18"/>
      <c r="H8" s="18"/>
      <c r="I8" s="18"/>
      <c r="J8" s="18"/>
      <c r="K8" s="18"/>
      <c r="L8" s="18"/>
      <c r="M8" s="18"/>
      <c r="N8" s="18"/>
      <c r="O8" s="18"/>
      <c r="P8" s="18"/>
      <c r="Q8" s="18"/>
      <c r="R8" s="18"/>
      <c r="S8" s="18"/>
      <c r="T8" s="18"/>
      <c r="U8" s="18"/>
      <c r="V8" s="18"/>
      <c r="W8" s="18"/>
      <c r="X8" s="192" t="s">
        <v>30</v>
      </c>
      <c r="Y8" s="192" t="s">
        <v>31</v>
      </c>
      <c r="Z8" s="192" t="s">
        <v>32</v>
      </c>
      <c r="AA8" s="192" t="s">
        <v>33</v>
      </c>
    </row>
    <row r="9" ht="12.75" customHeight="1">
      <c r="A9" s="18"/>
      <c r="B9" s="18"/>
      <c r="C9" s="18"/>
      <c r="D9" s="18"/>
      <c r="E9" s="18"/>
      <c r="F9" s="18"/>
      <c r="G9" s="18"/>
      <c r="H9" s="18"/>
      <c r="I9" s="18"/>
      <c r="J9" s="18"/>
      <c r="K9" s="18"/>
      <c r="L9" s="18"/>
      <c r="M9" s="18"/>
      <c r="N9" s="18"/>
      <c r="O9" s="18"/>
      <c r="P9" s="18"/>
      <c r="Q9" s="18"/>
      <c r="R9" s="18"/>
      <c r="S9" s="18"/>
      <c r="T9" s="18"/>
      <c r="U9" s="18"/>
      <c r="V9" s="283" t="s">
        <v>312</v>
      </c>
      <c r="W9" s="192" t="s">
        <v>313</v>
      </c>
      <c r="X9" s="192" t="s">
        <v>28</v>
      </c>
      <c r="Y9" s="192" t="s">
        <v>28</v>
      </c>
      <c r="Z9" s="192" t="s">
        <v>28</v>
      </c>
      <c r="AA9" s="192" t="s">
        <v>28</v>
      </c>
    </row>
    <row r="10" ht="12.75" customHeight="1">
      <c r="A10" s="18"/>
      <c r="B10" s="18"/>
      <c r="C10" s="18"/>
      <c r="D10" s="18"/>
      <c r="E10" s="18"/>
      <c r="F10" s="18"/>
      <c r="G10" s="18"/>
      <c r="H10" s="18"/>
      <c r="I10" s="18"/>
      <c r="J10" s="18"/>
      <c r="K10" s="18"/>
      <c r="L10" s="18"/>
      <c r="M10" s="18"/>
      <c r="N10" s="18"/>
      <c r="O10" s="18"/>
      <c r="P10" s="18"/>
      <c r="Q10" s="18"/>
      <c r="R10" s="18"/>
      <c r="S10" s="18"/>
      <c r="T10" s="18"/>
      <c r="U10" s="18"/>
      <c r="V10" s="273">
        <v>1.0</v>
      </c>
      <c r="W10" s="146">
        <v>1.0</v>
      </c>
      <c r="X10" s="146" t="str">
        <f>'351 PL'!F12</f>
        <v/>
      </c>
      <c r="Y10" s="146" t="str">
        <f>'351 PL'!F15</f>
        <v/>
      </c>
      <c r="Z10" s="36" t="str">
        <f>'351 PL'!F18</f>
        <v/>
      </c>
      <c r="AA10" s="274" t="str">
        <f>'351 PL'!F21</f>
        <v/>
      </c>
    </row>
    <row r="11" ht="12.75" customHeight="1">
      <c r="A11" s="18"/>
      <c r="B11" s="18"/>
      <c r="C11" s="18"/>
      <c r="D11" s="18"/>
      <c r="E11" s="18"/>
      <c r="F11" s="18"/>
      <c r="G11" s="18"/>
      <c r="H11" s="18"/>
      <c r="I11" s="18"/>
      <c r="J11" s="18"/>
      <c r="K11" s="18"/>
      <c r="L11" s="18"/>
      <c r="M11" s="18"/>
      <c r="N11" s="18"/>
      <c r="O11" s="18"/>
      <c r="P11" s="18"/>
      <c r="Q11" s="18"/>
      <c r="R11" s="18"/>
      <c r="S11" s="18"/>
      <c r="T11" s="18"/>
      <c r="U11" s="18"/>
      <c r="V11" s="189"/>
      <c r="W11" s="150">
        <v>2.0</v>
      </c>
      <c r="X11" s="150" t="str">
        <f>'351 PL'!L12</f>
        <v/>
      </c>
      <c r="Y11" s="150" t="str">
        <f>'351 PL'!L15</f>
        <v/>
      </c>
      <c r="Z11" s="151" t="str">
        <f>'351 PL'!L18</f>
        <v/>
      </c>
      <c r="AA11" s="147" t="str">
        <f>'351 PL'!L21</f>
        <v/>
      </c>
    </row>
    <row r="12" ht="12.75" customHeight="1">
      <c r="A12" s="18"/>
      <c r="B12" s="18"/>
      <c r="C12" s="18"/>
      <c r="D12" s="18"/>
      <c r="E12" s="18"/>
      <c r="F12" s="18"/>
      <c r="G12" s="18"/>
      <c r="H12" s="18"/>
      <c r="I12" s="18"/>
      <c r="J12" s="18"/>
      <c r="K12" s="18"/>
      <c r="L12" s="18"/>
      <c r="M12" s="18"/>
      <c r="N12" s="18"/>
      <c r="O12" s="18"/>
      <c r="P12" s="18"/>
      <c r="Q12" s="18"/>
      <c r="R12" s="18"/>
      <c r="S12" s="18"/>
      <c r="T12" s="18"/>
      <c r="U12" s="18"/>
      <c r="V12" s="195"/>
      <c r="W12" s="153">
        <v>3.0</v>
      </c>
      <c r="X12" s="153" t="str">
        <f>'351 PL'!S12</f>
        <v/>
      </c>
      <c r="Y12" s="153" t="str">
        <f>'351 PL'!S15</f>
        <v/>
      </c>
      <c r="Z12" s="154" t="str">
        <f>'351 PL'!S18</f>
        <v/>
      </c>
      <c r="AA12" s="155" t="str">
        <f>'351 PL'!S21</f>
        <v/>
      </c>
    </row>
    <row r="13" ht="12.75" customHeight="1">
      <c r="A13" s="18"/>
      <c r="B13" s="18"/>
      <c r="C13" s="18"/>
      <c r="D13" s="18"/>
      <c r="E13" s="18"/>
      <c r="F13" s="18"/>
      <c r="G13" s="18"/>
      <c r="H13" s="18"/>
      <c r="I13" s="18"/>
      <c r="J13" s="18"/>
      <c r="K13" s="18"/>
      <c r="L13" s="18"/>
      <c r="M13" s="18"/>
      <c r="N13" s="18"/>
      <c r="O13" s="18"/>
      <c r="P13" s="18"/>
      <c r="Q13" s="18"/>
      <c r="R13" s="18"/>
      <c r="S13" s="18"/>
      <c r="T13" s="18"/>
      <c r="U13" s="18"/>
      <c r="V13" s="284">
        <v>2.0</v>
      </c>
      <c r="W13" s="106">
        <v>5.0</v>
      </c>
      <c r="X13" s="106" t="str">
        <f>'351 PL'!F28</f>
        <v/>
      </c>
      <c r="Y13" s="106" t="str">
        <f>'351 PL'!F31</f>
        <v/>
      </c>
      <c r="Z13" s="37" t="str">
        <f>'351 PL'!F34</f>
        <v/>
      </c>
      <c r="AA13" s="109" t="str">
        <f>'351 PL'!F37</f>
        <v/>
      </c>
    </row>
    <row r="14" ht="12.75" customHeight="1">
      <c r="A14" s="18"/>
      <c r="B14" s="18"/>
      <c r="C14" s="18"/>
      <c r="D14" s="18"/>
      <c r="E14" s="18"/>
      <c r="F14" s="18"/>
      <c r="G14" s="18"/>
      <c r="H14" s="18"/>
      <c r="I14" s="18"/>
      <c r="J14" s="18"/>
      <c r="K14" s="18"/>
      <c r="L14" s="18"/>
      <c r="M14" s="18"/>
      <c r="N14" s="18"/>
      <c r="O14" s="18"/>
      <c r="P14" s="18"/>
      <c r="Q14" s="18"/>
      <c r="R14" s="18"/>
      <c r="S14" s="18"/>
      <c r="T14" s="18"/>
      <c r="U14" s="18"/>
      <c r="V14" s="189"/>
      <c r="W14" s="114">
        <v>6.0</v>
      </c>
      <c r="X14" s="114" t="str">
        <f>'351 PL'!L28</f>
        <v/>
      </c>
      <c r="Y14" s="114" t="str">
        <f>'351 PL'!L31</f>
        <v/>
      </c>
      <c r="Z14" s="118" t="str">
        <f>'351 PL'!L34</f>
        <v/>
      </c>
      <c r="AA14" s="116" t="str">
        <f>'351 PL'!L37</f>
        <v/>
      </c>
    </row>
    <row r="15" ht="12.75" customHeight="1">
      <c r="A15" s="18"/>
      <c r="B15" s="18"/>
      <c r="C15" s="18"/>
      <c r="D15" s="18"/>
      <c r="E15" s="18"/>
      <c r="F15" s="18"/>
      <c r="G15" s="18"/>
      <c r="H15" s="18"/>
      <c r="I15" s="18"/>
      <c r="J15" s="18"/>
      <c r="K15" s="18"/>
      <c r="L15" s="18"/>
      <c r="M15" s="18"/>
      <c r="N15" s="18"/>
      <c r="O15" s="18"/>
      <c r="P15" s="18"/>
      <c r="Q15" s="18"/>
      <c r="R15" s="18"/>
      <c r="S15" s="18"/>
      <c r="T15" s="18"/>
      <c r="U15" s="18"/>
      <c r="V15" s="195"/>
      <c r="W15" s="123">
        <v>7.0</v>
      </c>
      <c r="X15" s="123" t="str">
        <f>'351 PL'!S28</f>
        <v/>
      </c>
      <c r="Y15" s="123" t="str">
        <f>'351 PL'!S31</f>
        <v/>
      </c>
      <c r="Z15" s="129" t="str">
        <f>'351 PL'!S34</f>
        <v/>
      </c>
      <c r="AA15" s="127" t="str">
        <f>'351 PL'!S37</f>
        <v/>
      </c>
    </row>
    <row r="16" ht="12.75" customHeight="1">
      <c r="A16" s="18"/>
      <c r="B16" s="18"/>
      <c r="C16" s="18"/>
      <c r="D16" s="18"/>
      <c r="E16" s="18"/>
      <c r="F16" s="18"/>
      <c r="G16" s="18"/>
      <c r="H16" s="18"/>
      <c r="I16" s="18"/>
      <c r="J16" s="18"/>
      <c r="K16" s="18"/>
      <c r="L16" s="18"/>
      <c r="M16" s="18"/>
      <c r="N16" s="18"/>
      <c r="O16" s="18"/>
      <c r="P16" s="18"/>
      <c r="Q16" s="18"/>
      <c r="R16" s="18"/>
      <c r="S16" s="18"/>
      <c r="T16" s="18"/>
      <c r="U16" s="18"/>
      <c r="V16" s="273">
        <v>3.0</v>
      </c>
      <c r="W16" s="146">
        <v>9.0</v>
      </c>
      <c r="X16" s="146" t="str">
        <f>'351 PL'!F44</f>
        <v/>
      </c>
      <c r="Y16" s="146" t="str">
        <f>'351 PL'!F47</f>
        <v/>
      </c>
      <c r="Z16" s="36" t="str">
        <f>'351 PL'!F50</f>
        <v/>
      </c>
      <c r="AA16" s="274" t="str">
        <f>'351 PL'!F53</f>
        <v/>
      </c>
    </row>
    <row r="17" ht="12.75" customHeight="1">
      <c r="A17" s="18"/>
      <c r="B17" s="18"/>
      <c r="C17" s="18"/>
      <c r="D17" s="18"/>
      <c r="E17" s="18"/>
      <c r="F17" s="18"/>
      <c r="G17" s="18"/>
      <c r="H17" s="18"/>
      <c r="I17" s="18"/>
      <c r="J17" s="18"/>
      <c r="K17" s="18"/>
      <c r="L17" s="18"/>
      <c r="M17" s="18"/>
      <c r="N17" s="18"/>
      <c r="O17" s="18"/>
      <c r="P17" s="18"/>
      <c r="Q17" s="18"/>
      <c r="R17" s="18"/>
      <c r="S17" s="18"/>
      <c r="T17" s="18"/>
      <c r="U17" s="18"/>
      <c r="V17" s="189"/>
      <c r="W17" s="150">
        <v>10.0</v>
      </c>
      <c r="X17" s="150" t="str">
        <f>'351 PL'!L44</f>
        <v/>
      </c>
      <c r="Y17" s="150" t="str">
        <f>'351 PL'!L47</f>
        <v/>
      </c>
      <c r="Z17" s="151" t="str">
        <f>'351 PL'!L50</f>
        <v/>
      </c>
      <c r="AA17" s="147" t="str">
        <f>'351 PL'!L53</f>
        <v/>
      </c>
    </row>
    <row r="18" ht="12.75" customHeight="1">
      <c r="A18" s="18"/>
      <c r="B18" s="18"/>
      <c r="C18" s="18"/>
      <c r="D18" s="18"/>
      <c r="E18" s="18"/>
      <c r="F18" s="18"/>
      <c r="G18" s="18"/>
      <c r="H18" s="18"/>
      <c r="I18" s="18"/>
      <c r="J18" s="18"/>
      <c r="K18" s="18"/>
      <c r="L18" s="18"/>
      <c r="M18" s="18"/>
      <c r="N18" s="18"/>
      <c r="O18" s="18"/>
      <c r="P18" s="18"/>
      <c r="Q18" s="18"/>
      <c r="R18" s="18"/>
      <c r="S18" s="18"/>
      <c r="T18" s="18"/>
      <c r="U18" s="18"/>
      <c r="V18" s="195"/>
      <c r="W18" s="150">
        <v>11.0</v>
      </c>
      <c r="X18" s="150" t="str">
        <f>'351 PL'!S44</f>
        <v/>
      </c>
      <c r="Y18" s="150" t="str">
        <f>'351 PL'!S47</f>
        <v/>
      </c>
      <c r="Z18" s="151" t="str">
        <f>'351 PL'!S50</f>
        <v/>
      </c>
      <c r="AA18" s="147" t="str">
        <f>'351 PL'!S53</f>
        <v/>
      </c>
    </row>
    <row r="19" ht="12.75" customHeight="1">
      <c r="A19" s="18"/>
      <c r="B19" s="18"/>
      <c r="C19" s="18"/>
      <c r="D19" s="18"/>
      <c r="E19" s="18"/>
      <c r="F19" s="18"/>
      <c r="G19" s="18"/>
      <c r="H19" s="18"/>
      <c r="I19" s="18"/>
      <c r="J19" s="18"/>
      <c r="K19" s="18"/>
      <c r="L19" s="18"/>
      <c r="M19" s="18"/>
      <c r="N19" s="18"/>
      <c r="O19" s="18"/>
      <c r="P19" s="18"/>
      <c r="Q19" s="18"/>
      <c r="R19" s="18"/>
      <c r="S19" s="18"/>
      <c r="T19" s="18"/>
      <c r="U19" s="18"/>
      <c r="V19" s="284">
        <v>4.0</v>
      </c>
      <c r="W19" s="106">
        <v>13.0</v>
      </c>
      <c r="X19" s="106" t="str">
        <f>'351 PL'!F60</f>
        <v/>
      </c>
      <c r="Y19" s="106" t="str">
        <f>'351 PL'!F63</f>
        <v/>
      </c>
      <c r="Z19" s="37" t="str">
        <f>'351 PL'!F66</f>
        <v/>
      </c>
      <c r="AA19" s="109" t="str">
        <f>'351 PL'!F69</f>
        <v/>
      </c>
    </row>
    <row r="20" ht="12.75" customHeight="1">
      <c r="A20" s="18"/>
      <c r="B20" s="18"/>
      <c r="C20" s="18"/>
      <c r="D20" s="18"/>
      <c r="E20" s="18"/>
      <c r="F20" s="18"/>
      <c r="G20" s="18"/>
      <c r="H20" s="18"/>
      <c r="I20" s="18"/>
      <c r="J20" s="18"/>
      <c r="K20" s="18"/>
      <c r="L20" s="18"/>
      <c r="M20" s="18"/>
      <c r="N20" s="18"/>
      <c r="O20" s="18"/>
      <c r="P20" s="18"/>
      <c r="Q20" s="18"/>
      <c r="R20" s="18"/>
      <c r="S20" s="18"/>
      <c r="T20" s="18"/>
      <c r="U20" s="18"/>
      <c r="V20" s="189"/>
      <c r="W20" s="114">
        <v>14.0</v>
      </c>
      <c r="X20" s="114" t="str">
        <f>'351 PL'!L60</f>
        <v/>
      </c>
      <c r="Y20" s="114" t="str">
        <f>'351 PL'!L63</f>
        <v/>
      </c>
      <c r="Z20" s="118" t="str">
        <f>'351 PL'!L66</f>
        <v/>
      </c>
      <c r="AA20" s="116" t="str">
        <f>'351 PL'!L69</f>
        <v/>
      </c>
    </row>
    <row r="21" ht="12.75" customHeight="1">
      <c r="A21" s="18"/>
      <c r="B21" s="18"/>
      <c r="C21" s="18"/>
      <c r="D21" s="18"/>
      <c r="E21" s="18"/>
      <c r="F21" s="18"/>
      <c r="G21" s="18"/>
      <c r="H21" s="18"/>
      <c r="I21" s="18"/>
      <c r="J21" s="18"/>
      <c r="K21" s="18"/>
      <c r="L21" s="18"/>
      <c r="M21" s="18"/>
      <c r="N21" s="18"/>
      <c r="O21" s="18"/>
      <c r="P21" s="18"/>
      <c r="Q21" s="18"/>
      <c r="R21" s="18"/>
      <c r="S21" s="18"/>
      <c r="T21" s="18"/>
      <c r="U21" s="18"/>
      <c r="V21" s="195"/>
      <c r="W21" s="123">
        <v>15.0</v>
      </c>
      <c r="X21" s="123" t="str">
        <f>'351 PL'!S60</f>
        <v/>
      </c>
      <c r="Y21" s="123" t="str">
        <f>'351 PL'!S63</f>
        <v/>
      </c>
      <c r="Z21" s="129" t="str">
        <f>'351 PL'!S66</f>
        <v/>
      </c>
      <c r="AA21" s="127" t="str">
        <f>'351 PL'!S69</f>
        <v/>
      </c>
    </row>
    <row r="22" ht="12.75" customHeight="1">
      <c r="A22" s="18"/>
      <c r="B22" s="18"/>
      <c r="C22" s="18"/>
      <c r="D22" s="18"/>
      <c r="E22" s="18"/>
      <c r="F22" s="18"/>
      <c r="G22" s="18"/>
      <c r="H22" s="18"/>
      <c r="I22" s="18"/>
      <c r="J22" s="18"/>
      <c r="K22" s="18"/>
      <c r="L22" s="18"/>
      <c r="M22" s="18"/>
      <c r="N22" s="18"/>
      <c r="O22" s="18"/>
      <c r="P22" s="18"/>
      <c r="Q22" s="18"/>
      <c r="R22" s="18"/>
      <c r="S22" s="18"/>
      <c r="T22" s="18"/>
      <c r="U22" s="18"/>
      <c r="V22" s="273">
        <v>5.0</v>
      </c>
      <c r="W22" s="146">
        <v>17.0</v>
      </c>
      <c r="X22" s="146" t="str">
        <f>'351 PL'!F76</f>
        <v/>
      </c>
      <c r="Y22" s="146" t="str">
        <f>'351 PL'!F79</f>
        <v/>
      </c>
      <c r="Z22" s="36" t="str">
        <f>'351 PL'!F82</f>
        <v/>
      </c>
      <c r="AA22" s="274" t="str">
        <f>'351 PL'!F85</f>
        <v/>
      </c>
    </row>
    <row r="23" ht="12.75" customHeight="1">
      <c r="A23" s="18"/>
      <c r="B23" s="18"/>
      <c r="C23" s="18"/>
      <c r="D23" s="18"/>
      <c r="E23" s="18"/>
      <c r="F23" s="18"/>
      <c r="G23" s="18"/>
      <c r="H23" s="18"/>
      <c r="I23" s="18"/>
      <c r="J23" s="18"/>
      <c r="K23" s="18"/>
      <c r="L23" s="18"/>
      <c r="M23" s="18"/>
      <c r="N23" s="18"/>
      <c r="O23" s="18"/>
      <c r="P23" s="18"/>
      <c r="Q23" s="18"/>
      <c r="R23" s="18"/>
      <c r="S23" s="18"/>
      <c r="T23" s="18"/>
      <c r="U23" s="18"/>
      <c r="V23" s="189"/>
      <c r="W23" s="150">
        <v>18.0</v>
      </c>
      <c r="X23" s="150" t="str">
        <f>'351 PL'!L76</f>
        <v/>
      </c>
      <c r="Y23" s="150" t="str">
        <f>'351 PL'!L79</f>
        <v/>
      </c>
      <c r="Z23" s="151" t="str">
        <f>'351 PL'!L82</f>
        <v/>
      </c>
      <c r="AA23" s="147" t="str">
        <f>'351 PL'!L85</f>
        <v/>
      </c>
    </row>
    <row r="24" ht="12.75" customHeight="1">
      <c r="A24" s="18"/>
      <c r="B24" s="18"/>
      <c r="C24" s="18"/>
      <c r="D24" s="18"/>
      <c r="E24" s="18"/>
      <c r="F24" s="18"/>
      <c r="G24" s="18"/>
      <c r="H24" s="18"/>
      <c r="I24" s="18"/>
      <c r="J24" s="18"/>
      <c r="K24" s="18"/>
      <c r="L24" s="18"/>
      <c r="M24" s="18"/>
      <c r="N24" s="18"/>
      <c r="O24" s="18"/>
      <c r="P24" s="18"/>
      <c r="Q24" s="18"/>
      <c r="R24" s="18"/>
      <c r="S24" s="18"/>
      <c r="T24" s="18"/>
      <c r="U24" s="18"/>
      <c r="V24" s="195"/>
      <c r="W24" s="153">
        <v>19.0</v>
      </c>
      <c r="X24" s="153" t="str">
        <f>'351 PL'!S76</f>
        <v/>
      </c>
      <c r="Y24" s="153" t="str">
        <f>'351 PL'!S79</f>
        <v/>
      </c>
      <c r="Z24" s="154" t="str">
        <f>'351 PL'!S82</f>
        <v/>
      </c>
      <c r="AA24" s="155" t="str">
        <f>'351 PL'!S85</f>
        <v/>
      </c>
    </row>
    <row r="25" ht="12.75" customHeight="1">
      <c r="A25" s="18"/>
      <c r="B25" s="18"/>
      <c r="C25" s="18"/>
      <c r="D25" s="18"/>
      <c r="E25" s="18"/>
      <c r="F25" s="18"/>
      <c r="G25" s="18"/>
      <c r="H25" s="18"/>
      <c r="I25" s="18"/>
      <c r="J25" s="18"/>
      <c r="K25" s="18"/>
      <c r="L25" s="18"/>
      <c r="M25" s="18"/>
      <c r="N25" s="18"/>
      <c r="O25" s="18"/>
      <c r="P25" s="18"/>
      <c r="Q25" s="18"/>
      <c r="R25" s="18"/>
      <c r="S25" s="18"/>
      <c r="T25" s="18"/>
      <c r="U25" s="18"/>
      <c r="V25" s="284">
        <v>6.0</v>
      </c>
      <c r="W25" s="106">
        <v>21.0</v>
      </c>
      <c r="X25" s="106" t="str">
        <f>'351 PL'!F92</f>
        <v/>
      </c>
      <c r="Y25" s="106" t="str">
        <f>'351 PL'!F95</f>
        <v/>
      </c>
      <c r="Z25" s="37" t="str">
        <f>'351 PL'!F98</f>
        <v/>
      </c>
      <c r="AA25" s="109" t="str">
        <f>'351 PL'!F101</f>
        <v/>
      </c>
    </row>
    <row r="26" ht="12.75" customHeight="1">
      <c r="A26" s="18"/>
      <c r="B26" s="18"/>
      <c r="C26" s="18"/>
      <c r="D26" s="18"/>
      <c r="E26" s="18"/>
      <c r="F26" s="18"/>
      <c r="G26" s="18"/>
      <c r="H26" s="18"/>
      <c r="I26" s="18"/>
      <c r="J26" s="18"/>
      <c r="K26" s="18"/>
      <c r="L26" s="18"/>
      <c r="M26" s="18"/>
      <c r="N26" s="18"/>
      <c r="O26" s="18"/>
      <c r="P26" s="18"/>
      <c r="Q26" s="18"/>
      <c r="R26" s="18"/>
      <c r="S26" s="18"/>
      <c r="T26" s="18"/>
      <c r="U26" s="18"/>
      <c r="V26" s="189"/>
      <c r="W26" s="114">
        <v>22.0</v>
      </c>
      <c r="X26" s="114" t="str">
        <f>'351 PL'!L92</f>
        <v/>
      </c>
      <c r="Y26" s="114" t="str">
        <f>'351 PL'!L95</f>
        <v/>
      </c>
      <c r="Z26" s="118" t="str">
        <f>'351 PL'!L98</f>
        <v/>
      </c>
      <c r="AA26" s="116" t="str">
        <f>'351 PL'!L101</f>
        <v/>
      </c>
    </row>
    <row r="27" ht="12.75" customHeight="1">
      <c r="A27" s="18"/>
      <c r="B27" s="18"/>
      <c r="C27" s="18"/>
      <c r="D27" s="18"/>
      <c r="E27" s="18"/>
      <c r="F27" s="18"/>
      <c r="G27" s="18"/>
      <c r="H27" s="18"/>
      <c r="I27" s="18"/>
      <c r="J27" s="18"/>
      <c r="K27" s="18"/>
      <c r="L27" s="18"/>
      <c r="M27" s="18"/>
      <c r="N27" s="18"/>
      <c r="O27" s="18"/>
      <c r="P27" s="18"/>
      <c r="Q27" s="18"/>
      <c r="R27" s="18"/>
      <c r="S27" s="18"/>
      <c r="T27" s="18"/>
      <c r="U27" s="18"/>
      <c r="V27" s="195"/>
      <c r="W27" s="123">
        <v>23.0</v>
      </c>
      <c r="X27" s="123" t="str">
        <f>'351 PL'!S92</f>
        <v/>
      </c>
      <c r="Y27" s="123" t="str">
        <f>'351 PL'!S95</f>
        <v/>
      </c>
      <c r="Z27" s="129" t="str">
        <f>'351 PL'!S98</f>
        <v/>
      </c>
      <c r="AA27" s="127" t="str">
        <f>'351 PL'!S101</f>
        <v/>
      </c>
    </row>
    <row r="28" ht="12.75" customHeight="1">
      <c r="A28" s="18"/>
      <c r="B28" s="18"/>
      <c r="C28" s="18"/>
      <c r="D28" s="18"/>
      <c r="E28" s="18"/>
      <c r="F28" s="18"/>
      <c r="G28" s="18"/>
      <c r="H28" s="18"/>
      <c r="I28" s="18"/>
      <c r="J28" s="18"/>
      <c r="K28" s="18"/>
      <c r="L28" s="18"/>
      <c r="M28" s="18"/>
      <c r="N28" s="18"/>
      <c r="O28" s="18"/>
      <c r="P28" s="18"/>
      <c r="Q28" s="18"/>
      <c r="R28" s="18"/>
      <c r="S28" s="18"/>
      <c r="T28" s="18"/>
      <c r="U28" s="18"/>
      <c r="V28" s="273">
        <v>7.0</v>
      </c>
      <c r="W28" s="146">
        <v>25.0</v>
      </c>
      <c r="X28" s="146" t="str">
        <f>'351 PL'!F108</f>
        <v/>
      </c>
      <c r="Y28" s="146" t="str">
        <f>'351 PL'!F111</f>
        <v/>
      </c>
      <c r="Z28" s="36" t="str">
        <f>'351 PL'!F114</f>
        <v/>
      </c>
      <c r="AA28" s="274" t="str">
        <f>'351 PL'!F117</f>
        <v/>
      </c>
    </row>
    <row r="29" ht="12.75" customHeight="1">
      <c r="A29" s="18"/>
      <c r="B29" s="18"/>
      <c r="C29" s="18"/>
      <c r="D29" s="18"/>
      <c r="E29" s="18"/>
      <c r="F29" s="18"/>
      <c r="G29" s="18"/>
      <c r="H29" s="18"/>
      <c r="I29" s="18"/>
      <c r="J29" s="18"/>
      <c r="K29" s="18"/>
      <c r="L29" s="18"/>
      <c r="M29" s="18"/>
      <c r="N29" s="18"/>
      <c r="O29" s="18"/>
      <c r="P29" s="18"/>
      <c r="Q29" s="18"/>
      <c r="R29" s="18"/>
      <c r="S29" s="18"/>
      <c r="T29" s="18"/>
      <c r="U29" s="18"/>
      <c r="V29" s="189"/>
      <c r="W29" s="150">
        <v>26.0</v>
      </c>
      <c r="X29" s="150" t="str">
        <f>'351 PL'!L108</f>
        <v/>
      </c>
      <c r="Y29" s="150" t="str">
        <f>'351 PL'!L111</f>
        <v/>
      </c>
      <c r="Z29" s="151" t="str">
        <f>'351 PL'!L114</f>
        <v/>
      </c>
      <c r="AA29" s="147" t="str">
        <f>'351 PL'!L117</f>
        <v/>
      </c>
    </row>
    <row r="30" ht="12.0" customHeight="1">
      <c r="A30" s="18"/>
      <c r="B30" s="18"/>
      <c r="C30" s="18"/>
      <c r="D30" s="18"/>
      <c r="E30" s="18"/>
      <c r="F30" s="18"/>
      <c r="G30" s="18"/>
      <c r="H30" s="18"/>
      <c r="I30" s="18"/>
      <c r="J30" s="18"/>
      <c r="K30" s="18"/>
      <c r="L30" s="18"/>
      <c r="M30" s="18"/>
      <c r="N30" s="18"/>
      <c r="O30" s="18"/>
      <c r="P30" s="18"/>
      <c r="Q30" s="18"/>
      <c r="R30" s="18"/>
      <c r="S30" s="18"/>
      <c r="T30" s="18"/>
      <c r="U30" s="18"/>
      <c r="V30" s="195"/>
      <c r="W30" s="153">
        <v>27.0</v>
      </c>
      <c r="X30" s="153" t="str">
        <f>'351 PL'!S108</f>
        <v/>
      </c>
      <c r="Y30" s="153" t="str">
        <f>'351 PL'!S111</f>
        <v/>
      </c>
      <c r="Z30" s="154" t="str">
        <f>'351 PL'!S114</f>
        <v/>
      </c>
      <c r="AA30" s="155" t="str">
        <f>'351 PL'!S117</f>
        <v/>
      </c>
    </row>
    <row r="31" ht="12.75" customHeight="1">
      <c r="A31" s="18"/>
      <c r="B31" s="18"/>
      <c r="C31" s="18"/>
      <c r="D31" s="18"/>
      <c r="E31" s="18"/>
      <c r="F31" s="18"/>
      <c r="G31" s="18"/>
      <c r="H31" s="18"/>
      <c r="I31" s="18"/>
      <c r="J31" s="18"/>
      <c r="K31" s="18"/>
      <c r="L31" s="18"/>
      <c r="M31" s="18"/>
      <c r="N31" s="18"/>
      <c r="O31" s="18"/>
      <c r="P31" s="18"/>
      <c r="Q31" s="18"/>
      <c r="R31" s="18"/>
      <c r="S31" s="18"/>
      <c r="T31" s="18"/>
      <c r="U31" s="18"/>
      <c r="V31" s="284">
        <v>8.0</v>
      </c>
      <c r="W31" s="106">
        <v>29.0</v>
      </c>
      <c r="X31" s="106" t="str">
        <f>'351 PL'!F124</f>
        <v/>
      </c>
      <c r="Y31" s="106" t="str">
        <f>'351 PL'!F127</f>
        <v/>
      </c>
      <c r="Z31" s="37" t="str">
        <f>'351 PL'!F130</f>
        <v/>
      </c>
      <c r="AA31" s="109" t="str">
        <f>'351 PL'!F133</f>
        <v/>
      </c>
    </row>
    <row r="32" ht="12.75" customHeight="1">
      <c r="A32" s="18"/>
      <c r="B32" s="18"/>
      <c r="C32" s="18"/>
      <c r="D32" s="18"/>
      <c r="E32" s="18"/>
      <c r="F32" s="18"/>
      <c r="G32" s="18"/>
      <c r="H32" s="18"/>
      <c r="I32" s="18"/>
      <c r="J32" s="18"/>
      <c r="K32" s="18"/>
      <c r="L32" s="18"/>
      <c r="M32" s="18"/>
      <c r="N32" s="18"/>
      <c r="O32" s="18"/>
      <c r="P32" s="18"/>
      <c r="Q32" s="18"/>
      <c r="R32" s="18"/>
      <c r="S32" s="18"/>
      <c r="T32" s="18"/>
      <c r="U32" s="18"/>
      <c r="V32" s="189"/>
      <c r="W32" s="114">
        <v>30.0</v>
      </c>
      <c r="X32" s="114" t="str">
        <f>'351 PL'!L124</f>
        <v/>
      </c>
      <c r="Y32" s="114" t="str">
        <f>'351 PL'!L127</f>
        <v/>
      </c>
      <c r="Z32" s="118" t="str">
        <f>'351 PL'!L130</f>
        <v/>
      </c>
      <c r="AA32" s="116" t="str">
        <f>'351 PL'!L133</f>
        <v/>
      </c>
    </row>
    <row r="33" ht="12.75" customHeight="1">
      <c r="A33" s="18"/>
      <c r="B33" s="18"/>
      <c r="C33" s="18"/>
      <c r="D33" s="18"/>
      <c r="E33" s="18"/>
      <c r="F33" s="18"/>
      <c r="G33" s="18"/>
      <c r="H33" s="18"/>
      <c r="I33" s="18"/>
      <c r="J33" s="18"/>
      <c r="K33" s="18"/>
      <c r="L33" s="18"/>
      <c r="M33" s="18"/>
      <c r="N33" s="18"/>
      <c r="O33" s="18"/>
      <c r="P33" s="18"/>
      <c r="Q33" s="18"/>
      <c r="R33" s="18"/>
      <c r="S33" s="18"/>
      <c r="T33" s="18"/>
      <c r="U33" s="18"/>
      <c r="V33" s="195"/>
      <c r="W33" s="123">
        <v>31.0</v>
      </c>
      <c r="X33" s="123" t="str">
        <f>'351 PL'!S124</f>
        <v/>
      </c>
      <c r="Y33" s="123" t="str">
        <f>'351 PL'!S127</f>
        <v/>
      </c>
      <c r="Z33" s="129" t="str">
        <f>'351 PL'!S130</f>
        <v/>
      </c>
      <c r="AA33" s="127" t="str">
        <f>'351 PL'!S133</f>
        <v/>
      </c>
    </row>
    <row r="34" ht="12.75" customHeight="1">
      <c r="A34" s="18"/>
      <c r="B34" s="18"/>
      <c r="C34" s="18"/>
      <c r="D34" s="18"/>
      <c r="E34" s="18"/>
      <c r="F34" s="18"/>
      <c r="G34" s="18"/>
      <c r="H34" s="18"/>
      <c r="I34" s="18"/>
      <c r="J34" s="18"/>
      <c r="K34" s="18"/>
      <c r="L34" s="18"/>
      <c r="M34" s="18"/>
      <c r="N34" s="18"/>
      <c r="O34" s="18"/>
      <c r="P34" s="18"/>
      <c r="Q34" s="18"/>
      <c r="R34" s="18"/>
      <c r="S34" s="18"/>
      <c r="T34" s="18"/>
      <c r="U34" s="18"/>
      <c r="V34" s="273">
        <v>9.0</v>
      </c>
      <c r="W34" s="146">
        <v>33.0</v>
      </c>
      <c r="X34" s="146" t="str">
        <f>'351 PL'!F140</f>
        <v/>
      </c>
      <c r="Y34" s="146" t="str">
        <f>'351 PL'!F143</f>
        <v/>
      </c>
      <c r="Z34" s="36" t="str">
        <f>'351 PL'!F146</f>
        <v/>
      </c>
      <c r="AA34" s="274" t="str">
        <f>'351 PL'!F149</f>
        <v/>
      </c>
    </row>
    <row r="35" ht="12.75" customHeight="1">
      <c r="A35" s="18"/>
      <c r="B35" s="18"/>
      <c r="C35" s="18"/>
      <c r="D35" s="18"/>
      <c r="E35" s="18"/>
      <c r="F35" s="18"/>
      <c r="G35" s="18"/>
      <c r="H35" s="18"/>
      <c r="I35" s="18"/>
      <c r="J35" s="18"/>
      <c r="K35" s="18"/>
      <c r="L35" s="18"/>
      <c r="M35" s="18"/>
      <c r="N35" s="18"/>
      <c r="O35" s="18"/>
      <c r="P35" s="18"/>
      <c r="Q35" s="18"/>
      <c r="R35" s="18"/>
      <c r="S35" s="18"/>
      <c r="T35" s="18"/>
      <c r="U35" s="18"/>
      <c r="V35" s="189"/>
      <c r="W35" s="150">
        <v>34.0</v>
      </c>
      <c r="X35" s="150" t="str">
        <f>'351 PL'!L140</f>
        <v/>
      </c>
      <c r="Y35" s="150" t="str">
        <f>'351 PL'!L143</f>
        <v/>
      </c>
      <c r="Z35" s="151" t="str">
        <f>'351 PL'!L146</f>
        <v/>
      </c>
      <c r="AA35" s="147" t="str">
        <f>'351 PL'!L149</f>
        <v/>
      </c>
    </row>
    <row r="36" ht="12.75" customHeight="1">
      <c r="A36" s="18"/>
      <c r="B36" s="18"/>
      <c r="C36" s="18"/>
      <c r="D36" s="18"/>
      <c r="E36" s="18"/>
      <c r="F36" s="18"/>
      <c r="G36" s="18"/>
      <c r="H36" s="18"/>
      <c r="I36" s="18"/>
      <c r="J36" s="18"/>
      <c r="K36" s="18"/>
      <c r="L36" s="18"/>
      <c r="M36" s="18"/>
      <c r="N36" s="18"/>
      <c r="O36" s="18"/>
      <c r="P36" s="18"/>
      <c r="Q36" s="18"/>
      <c r="R36" s="18"/>
      <c r="S36" s="18"/>
      <c r="T36" s="18"/>
      <c r="U36" s="18"/>
      <c r="V36" s="195"/>
      <c r="W36" s="153">
        <v>35.0</v>
      </c>
      <c r="X36" s="153" t="str">
        <f>'351 PL'!S140</f>
        <v/>
      </c>
      <c r="Y36" s="153" t="str">
        <f>'351 PL'!S143</f>
        <v/>
      </c>
      <c r="Z36" s="154" t="str">
        <f>'351 PL'!S146</f>
        <v/>
      </c>
      <c r="AA36" s="155" t="str">
        <f>'351 PL'!S149</f>
        <v/>
      </c>
    </row>
    <row r="37" ht="15.75" customHeight="1">
      <c r="A37" s="18"/>
      <c r="B37" s="18"/>
      <c r="C37" s="18"/>
      <c r="D37" s="18"/>
      <c r="E37" s="18"/>
      <c r="F37" s="18"/>
      <c r="G37" s="18"/>
      <c r="H37" s="18"/>
      <c r="I37" s="18"/>
      <c r="J37" s="18"/>
      <c r="K37" s="18"/>
      <c r="L37" s="18"/>
      <c r="M37" s="18"/>
      <c r="N37" s="18"/>
      <c r="O37" s="18"/>
      <c r="P37" s="18"/>
      <c r="Q37" s="18"/>
      <c r="R37" s="18"/>
      <c r="S37" s="18"/>
      <c r="T37" s="18"/>
      <c r="U37" s="18"/>
      <c r="V37" s="284">
        <v>10.0</v>
      </c>
      <c r="W37" s="106">
        <v>37.0</v>
      </c>
      <c r="X37" s="106" t="str">
        <f>'351 PL'!F156</f>
        <v/>
      </c>
      <c r="Y37" s="106" t="str">
        <f>'351 PL'!F159</f>
        <v/>
      </c>
      <c r="Z37" s="37" t="str">
        <f>'351 PL'!F162</f>
        <v/>
      </c>
      <c r="AA37" s="109" t="str">
        <f>'351 PL'!F165</f>
        <v/>
      </c>
    </row>
    <row r="38" ht="12.75" customHeight="1">
      <c r="A38" s="18"/>
      <c r="B38" s="18"/>
      <c r="C38" s="18"/>
      <c r="D38" s="18"/>
      <c r="E38" s="18"/>
      <c r="F38" s="18"/>
      <c r="G38" s="18"/>
      <c r="H38" s="18"/>
      <c r="I38" s="18"/>
      <c r="J38" s="18"/>
      <c r="K38" s="18"/>
      <c r="L38" s="18"/>
      <c r="M38" s="18"/>
      <c r="N38" s="18"/>
      <c r="O38" s="18"/>
      <c r="P38" s="18"/>
      <c r="Q38" s="18"/>
      <c r="R38" s="18"/>
      <c r="S38" s="18"/>
      <c r="T38" s="18"/>
      <c r="U38" s="18"/>
      <c r="V38" s="189"/>
      <c r="W38" s="114">
        <v>38.0</v>
      </c>
      <c r="X38" s="114" t="str">
        <f>'351 PL'!L156</f>
        <v/>
      </c>
      <c r="Y38" s="114" t="str">
        <f>'351 PL'!L159</f>
        <v/>
      </c>
      <c r="Z38" s="118" t="str">
        <f>'351 PL'!L162</f>
        <v/>
      </c>
      <c r="AA38" s="116" t="str">
        <f>'351 PL'!L165</f>
        <v/>
      </c>
    </row>
    <row r="39" ht="12.75" customHeight="1">
      <c r="A39" s="18"/>
      <c r="B39" s="18"/>
      <c r="C39" s="18"/>
      <c r="D39" s="18"/>
      <c r="E39" s="18"/>
      <c r="F39" s="18"/>
      <c r="G39" s="18"/>
      <c r="H39" s="18"/>
      <c r="I39" s="18"/>
      <c r="J39" s="18"/>
      <c r="K39" s="18"/>
      <c r="L39" s="18"/>
      <c r="M39" s="18"/>
      <c r="N39" s="18"/>
      <c r="O39" s="18"/>
      <c r="P39" s="18"/>
      <c r="Q39" s="18"/>
      <c r="R39" s="18"/>
      <c r="S39" s="18"/>
      <c r="T39" s="18"/>
      <c r="U39" s="18"/>
      <c r="V39" s="195"/>
      <c r="W39" s="123">
        <v>39.0</v>
      </c>
      <c r="X39" s="123" t="str">
        <f>'351 PL'!S156</f>
        <v/>
      </c>
      <c r="Y39" s="123" t="str">
        <f>'351 PL'!S159</f>
        <v/>
      </c>
      <c r="Z39" s="129" t="str">
        <f>'351 PL'!S162</f>
        <v/>
      </c>
      <c r="AA39" s="127" t="str">
        <f>'351 PL'!S165</f>
        <v/>
      </c>
    </row>
    <row r="40" ht="15.75" customHeight="1">
      <c r="A40" s="18"/>
      <c r="B40" s="18"/>
      <c r="C40" s="18"/>
      <c r="D40" s="18"/>
      <c r="E40" s="18"/>
      <c r="F40" s="18"/>
      <c r="G40" s="18"/>
      <c r="H40" s="18"/>
      <c r="I40" s="18"/>
      <c r="J40" s="18"/>
      <c r="K40" s="18"/>
      <c r="L40" s="18"/>
      <c r="M40" s="18"/>
      <c r="N40" s="18"/>
      <c r="O40" s="18"/>
      <c r="P40" s="18"/>
      <c r="Q40" s="18"/>
      <c r="R40" s="18"/>
      <c r="S40" s="18"/>
      <c r="T40" s="18"/>
      <c r="U40" s="18"/>
      <c r="V40" s="273">
        <v>11.0</v>
      </c>
      <c r="W40" s="146">
        <v>41.0</v>
      </c>
      <c r="X40" s="146" t="str">
        <f>'351 PL'!F172</f>
        <v/>
      </c>
      <c r="Y40" s="146" t="str">
        <f>'351 PL'!F175</f>
        <v/>
      </c>
      <c r="Z40" s="36" t="str">
        <f>'351 PL'!F178</f>
        <v/>
      </c>
      <c r="AA40" s="274" t="str">
        <f>'351 PL'!F181</f>
        <v/>
      </c>
    </row>
    <row r="41" ht="12.75" customHeight="1">
      <c r="A41" s="18"/>
      <c r="B41" s="18"/>
      <c r="C41" s="18"/>
      <c r="D41" s="18"/>
      <c r="E41" s="18"/>
      <c r="F41" s="18"/>
      <c r="G41" s="18"/>
      <c r="H41" s="18"/>
      <c r="I41" s="18"/>
      <c r="J41" s="18"/>
      <c r="K41" s="18"/>
      <c r="L41" s="18"/>
      <c r="M41" s="18"/>
      <c r="N41" s="18"/>
      <c r="O41" s="18"/>
      <c r="P41" s="18"/>
      <c r="Q41" s="18"/>
      <c r="R41" s="18"/>
      <c r="S41" s="18"/>
      <c r="T41" s="18"/>
      <c r="U41" s="18"/>
      <c r="V41" s="189"/>
      <c r="W41" s="150">
        <v>42.0</v>
      </c>
      <c r="X41" s="150" t="str">
        <f>'351 PL'!L172</f>
        <v/>
      </c>
      <c r="Y41" s="150" t="str">
        <f>'351 PL'!L175</f>
        <v/>
      </c>
      <c r="Z41" s="151" t="str">
        <f>'351 PL'!L178</f>
        <v/>
      </c>
      <c r="AA41" s="147" t="str">
        <f>'351 PL'!L181</f>
        <v/>
      </c>
    </row>
    <row r="42" ht="12.75" customHeight="1">
      <c r="A42" s="18"/>
      <c r="B42" s="18"/>
      <c r="C42" s="18"/>
      <c r="D42" s="18"/>
      <c r="E42" s="18"/>
      <c r="F42" s="18"/>
      <c r="G42" s="18"/>
      <c r="H42" s="18"/>
      <c r="I42" s="18"/>
      <c r="J42" s="18"/>
      <c r="K42" s="18"/>
      <c r="L42" s="18"/>
      <c r="M42" s="18"/>
      <c r="N42" s="18"/>
      <c r="O42" s="18"/>
      <c r="P42" s="18"/>
      <c r="Q42" s="18"/>
      <c r="R42" s="18"/>
      <c r="S42" s="18"/>
      <c r="T42" s="18"/>
      <c r="U42" s="18"/>
      <c r="V42" s="195"/>
      <c r="W42" s="153">
        <v>43.0</v>
      </c>
      <c r="X42" s="153" t="str">
        <f>'351 PL'!S172</f>
        <v/>
      </c>
      <c r="Y42" s="153" t="str">
        <f>'351 PL'!S175</f>
        <v/>
      </c>
      <c r="Z42" s="154" t="str">
        <f>'351 PL'!S178</f>
        <v/>
      </c>
      <c r="AA42" s="155" t="str">
        <f>'351 PL'!S181</f>
        <v/>
      </c>
    </row>
    <row r="43" ht="15.75" customHeight="1">
      <c r="A43" s="18"/>
      <c r="B43" s="18"/>
      <c r="C43" s="18"/>
      <c r="D43" s="18"/>
      <c r="E43" s="18"/>
      <c r="F43" s="18"/>
      <c r="G43" s="18"/>
      <c r="H43" s="18"/>
      <c r="I43" s="18"/>
      <c r="J43" s="18"/>
      <c r="K43" s="18"/>
      <c r="L43" s="18"/>
      <c r="M43" s="18"/>
      <c r="N43" s="18"/>
      <c r="O43" s="18"/>
      <c r="P43" s="18"/>
      <c r="Q43" s="18"/>
      <c r="R43" s="18"/>
      <c r="S43" s="18"/>
      <c r="T43" s="18"/>
      <c r="U43" s="18"/>
      <c r="V43" s="284">
        <v>12.0</v>
      </c>
      <c r="W43" s="106">
        <v>45.0</v>
      </c>
      <c r="X43" s="106" t="str">
        <f>'351 PL'!F188</f>
        <v/>
      </c>
      <c r="Y43" s="106" t="str">
        <f>'351 PL'!F191</f>
        <v/>
      </c>
      <c r="Z43" s="37" t="str">
        <f>'351 PL'!F194</f>
        <v/>
      </c>
      <c r="AA43" s="109" t="str">
        <f>'351 PL'!F197</f>
        <v/>
      </c>
    </row>
    <row r="44" ht="12.75" customHeight="1">
      <c r="A44" s="18"/>
      <c r="B44" s="18"/>
      <c r="C44" s="18"/>
      <c r="D44" s="18"/>
      <c r="E44" s="18"/>
      <c r="F44" s="18"/>
      <c r="G44" s="18"/>
      <c r="H44" s="18"/>
      <c r="I44" s="18"/>
      <c r="J44" s="18"/>
      <c r="K44" s="18"/>
      <c r="L44" s="18"/>
      <c r="M44" s="18"/>
      <c r="N44" s="18"/>
      <c r="O44" s="18"/>
      <c r="P44" s="18"/>
      <c r="Q44" s="18"/>
      <c r="R44" s="18"/>
      <c r="S44" s="18"/>
      <c r="T44" s="18"/>
      <c r="U44" s="18"/>
      <c r="V44" s="189"/>
      <c r="W44" s="114">
        <v>46.0</v>
      </c>
      <c r="X44" s="114" t="str">
        <f>'351 PL'!L188</f>
        <v/>
      </c>
      <c r="Y44" s="114" t="str">
        <f>'351 PL'!L191</f>
        <v/>
      </c>
      <c r="Z44" s="118" t="str">
        <f>'351 PL'!L194</f>
        <v/>
      </c>
      <c r="AA44" s="116" t="str">
        <f>'351 PL'!L197</f>
        <v/>
      </c>
    </row>
    <row r="45" ht="12.75" customHeight="1">
      <c r="A45" s="18"/>
      <c r="B45" s="18"/>
      <c r="C45" s="18"/>
      <c r="D45" s="18"/>
      <c r="E45" s="18"/>
      <c r="F45" s="18"/>
      <c r="G45" s="18"/>
      <c r="H45" s="18"/>
      <c r="I45" s="18"/>
      <c r="J45" s="18"/>
      <c r="K45" s="18"/>
      <c r="L45" s="18"/>
      <c r="M45" s="18"/>
      <c r="N45" s="18"/>
      <c r="O45" s="18"/>
      <c r="P45" s="18"/>
      <c r="Q45" s="18"/>
      <c r="R45" s="18"/>
      <c r="S45" s="18"/>
      <c r="T45" s="18"/>
      <c r="U45" s="18"/>
      <c r="V45" s="195"/>
      <c r="W45" s="123">
        <v>47.0</v>
      </c>
      <c r="X45" s="123" t="str">
        <f>'351 PL'!S188</f>
        <v/>
      </c>
      <c r="Y45" s="123" t="str">
        <f>'351 PL'!S191</f>
        <v/>
      </c>
      <c r="Z45" s="129" t="str">
        <f>'351 PL'!S194</f>
        <v/>
      </c>
      <c r="AA45" s="127" t="str">
        <f>'351 PL'!S197</f>
        <v/>
      </c>
    </row>
    <row r="46" ht="15.75" customHeight="1">
      <c r="A46" s="18"/>
      <c r="B46" s="18"/>
      <c r="C46" s="18"/>
      <c r="D46" s="18"/>
      <c r="E46" s="18"/>
      <c r="F46" s="18"/>
      <c r="G46" s="18"/>
      <c r="H46" s="18"/>
      <c r="I46" s="18"/>
      <c r="J46" s="18"/>
      <c r="K46" s="18"/>
      <c r="L46" s="18"/>
      <c r="M46" s="18"/>
      <c r="N46" s="18"/>
      <c r="O46" s="18"/>
      <c r="P46" s="18"/>
      <c r="Q46" s="18"/>
      <c r="R46" s="18"/>
      <c r="S46" s="18"/>
      <c r="T46" s="18"/>
      <c r="U46" s="18"/>
      <c r="V46" s="273">
        <v>13.0</v>
      </c>
      <c r="W46" s="146">
        <v>49.0</v>
      </c>
      <c r="X46" s="146" t="str">
        <f>'351 PL'!F204</f>
        <v/>
      </c>
      <c r="Y46" s="146" t="str">
        <f>'351 PL'!F207</f>
        <v/>
      </c>
      <c r="Z46" s="36" t="str">
        <f>'351 PL'!F210</f>
        <v/>
      </c>
      <c r="AA46" s="274" t="str">
        <f>'351 PL'!F213</f>
        <v/>
      </c>
    </row>
    <row r="47" ht="12.75" customHeight="1">
      <c r="A47" s="18"/>
      <c r="B47" s="18"/>
      <c r="C47" s="18"/>
      <c r="D47" s="18"/>
      <c r="E47" s="18"/>
      <c r="F47" s="18"/>
      <c r="G47" s="18"/>
      <c r="H47" s="18"/>
      <c r="I47" s="18"/>
      <c r="J47" s="18"/>
      <c r="K47" s="18"/>
      <c r="L47" s="18"/>
      <c r="M47" s="18"/>
      <c r="N47" s="18"/>
      <c r="O47" s="18"/>
      <c r="P47" s="18"/>
      <c r="Q47" s="18"/>
      <c r="R47" s="18"/>
      <c r="S47" s="18"/>
      <c r="T47" s="18"/>
      <c r="U47" s="18"/>
      <c r="V47" s="189"/>
      <c r="W47" s="150">
        <v>50.0</v>
      </c>
      <c r="X47" s="150" t="str">
        <f>'351 PL'!L204</f>
        <v/>
      </c>
      <c r="Y47" s="150" t="str">
        <f>'351 PL'!L207</f>
        <v/>
      </c>
      <c r="Z47" s="151" t="str">
        <f>'351 PL'!L210</f>
        <v/>
      </c>
      <c r="AA47" s="147" t="str">
        <f>'351 PL'!L213</f>
        <v/>
      </c>
    </row>
    <row r="48" ht="12.75" customHeight="1">
      <c r="A48" s="18"/>
      <c r="B48" s="18"/>
      <c r="C48" s="18"/>
      <c r="D48" s="18"/>
      <c r="E48" s="18"/>
      <c r="F48" s="18"/>
      <c r="G48" s="18"/>
      <c r="H48" s="18"/>
      <c r="I48" s="18"/>
      <c r="J48" s="18"/>
      <c r="K48" s="18"/>
      <c r="L48" s="18"/>
      <c r="M48" s="18"/>
      <c r="N48" s="18"/>
      <c r="O48" s="18"/>
      <c r="P48" s="18"/>
      <c r="Q48" s="18"/>
      <c r="R48" s="18"/>
      <c r="S48" s="18"/>
      <c r="T48" s="18"/>
      <c r="U48" s="18"/>
      <c r="V48" s="195"/>
      <c r="W48" s="153">
        <v>51.0</v>
      </c>
      <c r="X48" s="153" t="str">
        <f>'351 PL'!S204</f>
        <v/>
      </c>
      <c r="Y48" s="153" t="str">
        <f>'351 PL'!S207</f>
        <v/>
      </c>
      <c r="Z48" s="154" t="str">
        <f>'351 PL'!S210</f>
        <v/>
      </c>
      <c r="AA48" s="155" t="str">
        <f>'351 PL'!S213</f>
        <v/>
      </c>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mergeCells count="18">
    <mergeCell ref="A2:T2"/>
    <mergeCell ref="H4:K4"/>
    <mergeCell ref="N4:O4"/>
    <mergeCell ref="N5:O5"/>
    <mergeCell ref="N6:O6"/>
    <mergeCell ref="V10:V12"/>
    <mergeCell ref="V13:V15"/>
    <mergeCell ref="V37:V39"/>
    <mergeCell ref="V40:V42"/>
    <mergeCell ref="V43:V45"/>
    <mergeCell ref="V46:V48"/>
    <mergeCell ref="V16:V18"/>
    <mergeCell ref="V19:V21"/>
    <mergeCell ref="V22:V24"/>
    <mergeCell ref="V25:V27"/>
    <mergeCell ref="V28:V30"/>
    <mergeCell ref="V31:V33"/>
    <mergeCell ref="V34:V3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1" width="7.75"/>
    <col customWidth="1" min="12" max="12" width="4.38"/>
    <col customWidth="1" min="13" max="13" width="3.75"/>
  </cols>
  <sheetData>
    <row r="1" ht="26.25" customHeight="1">
      <c r="A1" s="3"/>
      <c r="B1" s="3"/>
      <c r="C1" s="3"/>
      <c r="D1" s="267" t="s">
        <v>346</v>
      </c>
      <c r="E1" s="3"/>
      <c r="F1" s="3"/>
      <c r="G1" s="3"/>
      <c r="H1" s="3"/>
      <c r="I1" s="3"/>
      <c r="J1" s="3" t="s">
        <v>347</v>
      </c>
      <c r="K1" s="3"/>
      <c r="L1" s="3"/>
      <c r="M1" s="3"/>
    </row>
    <row r="2" ht="18.0" customHeight="1">
      <c r="A2" s="31" t="s">
        <v>348</v>
      </c>
      <c r="B2" s="285" t="s">
        <v>349</v>
      </c>
      <c r="C2" s="41"/>
      <c r="D2" s="41"/>
      <c r="E2" s="41"/>
      <c r="F2" s="41"/>
      <c r="G2" s="41"/>
      <c r="H2" s="41"/>
      <c r="I2" s="41"/>
      <c r="J2" s="41"/>
      <c r="K2" s="41"/>
      <c r="L2" s="41"/>
      <c r="M2" s="42"/>
    </row>
    <row r="3" ht="36.0" customHeight="1">
      <c r="A3" s="31" t="s">
        <v>350</v>
      </c>
      <c r="B3" s="40" t="s">
        <v>351</v>
      </c>
      <c r="C3" s="41"/>
      <c r="D3" s="41"/>
      <c r="E3" s="41"/>
      <c r="F3" s="41"/>
      <c r="G3" s="41"/>
      <c r="H3" s="41"/>
      <c r="I3" s="41"/>
      <c r="J3" s="41"/>
      <c r="K3" s="41"/>
      <c r="L3" s="41"/>
      <c r="M3" s="42"/>
    </row>
    <row r="4" ht="51.75" customHeight="1">
      <c r="A4" s="31" t="s">
        <v>352</v>
      </c>
      <c r="B4" s="40" t="s">
        <v>353</v>
      </c>
      <c r="C4" s="41"/>
      <c r="D4" s="41"/>
      <c r="E4" s="41"/>
      <c r="F4" s="41"/>
      <c r="G4" s="41"/>
      <c r="H4" s="41"/>
      <c r="I4" s="41"/>
      <c r="J4" s="41"/>
      <c r="K4" s="41"/>
      <c r="L4" s="41"/>
      <c r="M4" s="42"/>
    </row>
    <row r="5" ht="121.5" customHeight="1">
      <c r="A5" s="31" t="s">
        <v>354</v>
      </c>
      <c r="B5" s="40" t="s">
        <v>355</v>
      </c>
      <c r="C5" s="41"/>
      <c r="D5" s="41"/>
      <c r="E5" s="41"/>
      <c r="F5" s="41"/>
      <c r="G5" s="41"/>
      <c r="H5" s="41"/>
      <c r="I5" s="41"/>
      <c r="J5" s="41"/>
      <c r="K5" s="41"/>
      <c r="L5" s="41"/>
      <c r="M5" s="42"/>
    </row>
    <row r="6" ht="43.5" customHeight="1">
      <c r="A6" s="31" t="s">
        <v>356</v>
      </c>
      <c r="B6" s="40" t="s">
        <v>357</v>
      </c>
      <c r="C6" s="41"/>
      <c r="D6" s="41"/>
      <c r="E6" s="41"/>
      <c r="F6" s="41"/>
      <c r="G6" s="41"/>
      <c r="H6" s="41"/>
      <c r="I6" s="41"/>
      <c r="J6" s="41"/>
      <c r="K6" s="41"/>
      <c r="L6" s="41"/>
      <c r="M6" s="42"/>
    </row>
    <row r="7" ht="12.75" customHeight="1">
      <c r="A7" s="197" t="s">
        <v>1</v>
      </c>
      <c r="B7" s="286" t="s">
        <v>358</v>
      </c>
      <c r="C7" s="287"/>
      <c r="D7" s="287"/>
      <c r="E7" s="287"/>
      <c r="F7" s="287"/>
      <c r="G7" s="287"/>
      <c r="H7" s="287"/>
      <c r="I7" s="287"/>
      <c r="J7" s="287"/>
      <c r="K7" s="287"/>
      <c r="L7" s="287"/>
      <c r="M7" s="288"/>
    </row>
    <row r="8" ht="12.75" customHeight="1">
      <c r="A8" s="189"/>
      <c r="B8" s="289" t="s">
        <v>359</v>
      </c>
      <c r="C8" s="7"/>
      <c r="D8" s="7"/>
      <c r="E8" s="7"/>
      <c r="F8" s="7"/>
      <c r="G8" s="7"/>
      <c r="H8" s="7"/>
      <c r="I8" s="7"/>
      <c r="J8" s="7"/>
      <c r="K8" s="7"/>
      <c r="L8" s="7"/>
      <c r="M8" s="290"/>
    </row>
    <row r="9" ht="12.75" customHeight="1">
      <c r="A9" s="189"/>
      <c r="B9" s="289" t="s">
        <v>360</v>
      </c>
      <c r="C9" s="7"/>
      <c r="D9" s="7"/>
      <c r="E9" s="7"/>
      <c r="F9" s="7"/>
      <c r="G9" s="7"/>
      <c r="H9" s="7"/>
      <c r="I9" s="7"/>
      <c r="J9" s="7"/>
      <c r="K9" s="7"/>
      <c r="L9" s="7"/>
      <c r="M9" s="290"/>
    </row>
    <row r="10" ht="25.5" customHeight="1">
      <c r="A10" s="195"/>
      <c r="B10" s="291" t="s">
        <v>361</v>
      </c>
      <c r="C10" s="50"/>
      <c r="D10" s="50"/>
      <c r="E10" s="50"/>
      <c r="F10" s="50"/>
      <c r="G10" s="50"/>
      <c r="H10" s="50"/>
      <c r="I10" s="50"/>
      <c r="J10" s="50"/>
      <c r="K10" s="50"/>
      <c r="L10" s="50"/>
      <c r="M10" s="292"/>
    </row>
    <row r="11" ht="12.75" customHeight="1">
      <c r="A11" s="7"/>
      <c r="B11" s="7"/>
      <c r="C11" s="7"/>
      <c r="D11" s="7"/>
      <c r="E11" s="7"/>
      <c r="F11" s="7"/>
      <c r="G11" s="7"/>
      <c r="H11" s="7"/>
      <c r="I11" s="7"/>
      <c r="J11" s="7"/>
      <c r="K11" s="7"/>
      <c r="L11" s="7"/>
      <c r="M11" s="7"/>
    </row>
    <row r="12" ht="12.75" customHeight="1">
      <c r="A12" s="7"/>
      <c r="B12" s="7"/>
      <c r="C12" s="7"/>
      <c r="D12" s="7"/>
      <c r="E12" s="7"/>
      <c r="F12" s="7"/>
      <c r="G12" s="7"/>
      <c r="H12" s="7"/>
      <c r="I12" s="7"/>
      <c r="J12" s="7"/>
      <c r="K12" s="7"/>
      <c r="L12" s="7"/>
      <c r="M12" s="7"/>
    </row>
    <row r="13" ht="12.75" customHeight="1">
      <c r="A13" s="7"/>
      <c r="B13" s="7"/>
      <c r="C13" s="7"/>
      <c r="D13" s="7"/>
      <c r="E13" s="7"/>
      <c r="F13" s="7"/>
      <c r="G13" s="7"/>
      <c r="H13" s="7"/>
      <c r="I13" s="7"/>
      <c r="J13" s="7"/>
      <c r="K13" s="7"/>
      <c r="L13" s="7"/>
      <c r="M13" s="7"/>
    </row>
    <row r="14" ht="12.75" customHeight="1">
      <c r="A14" s="7"/>
      <c r="B14" s="7"/>
      <c r="C14" s="7"/>
      <c r="D14" s="7"/>
      <c r="E14" s="7"/>
      <c r="F14" s="7"/>
      <c r="G14" s="7"/>
      <c r="H14" s="7"/>
      <c r="I14" s="7"/>
      <c r="J14" s="7"/>
      <c r="K14" s="7"/>
      <c r="L14" s="7"/>
      <c r="M14" s="7"/>
    </row>
    <row r="15" ht="12.75" customHeight="1">
      <c r="A15" s="7"/>
      <c r="B15" s="7"/>
      <c r="C15" s="7"/>
      <c r="D15" s="7"/>
      <c r="E15" s="7"/>
      <c r="F15" s="7"/>
      <c r="G15" s="7"/>
      <c r="H15" s="7"/>
      <c r="I15" s="7"/>
      <c r="J15" s="7"/>
      <c r="K15" s="7"/>
      <c r="L15" s="7"/>
      <c r="M15" s="7"/>
    </row>
    <row r="16" ht="12.75" customHeight="1">
      <c r="A16" s="7"/>
      <c r="B16" s="7"/>
      <c r="C16" s="7"/>
      <c r="D16" s="7"/>
      <c r="E16" s="7"/>
      <c r="F16" s="7"/>
      <c r="G16" s="7"/>
      <c r="H16" s="7"/>
      <c r="I16" s="7"/>
      <c r="J16" s="7"/>
      <c r="K16" s="7"/>
      <c r="L16" s="7"/>
      <c r="M16" s="7"/>
    </row>
    <row r="17" ht="12.75" customHeight="1">
      <c r="A17" s="7"/>
      <c r="B17" s="7"/>
      <c r="C17" s="7"/>
      <c r="D17" s="7"/>
      <c r="E17" s="7"/>
      <c r="F17" s="7"/>
      <c r="G17" s="7"/>
      <c r="H17" s="7"/>
      <c r="I17" s="7"/>
      <c r="J17" s="7"/>
      <c r="K17" s="7"/>
      <c r="L17" s="7"/>
      <c r="M17" s="7"/>
    </row>
    <row r="18" ht="12.75" customHeight="1">
      <c r="A18" s="7"/>
      <c r="B18" s="7"/>
      <c r="C18" s="7"/>
      <c r="D18" s="7"/>
      <c r="E18" s="7"/>
      <c r="F18" s="7"/>
      <c r="G18" s="7"/>
      <c r="H18" s="7"/>
      <c r="I18" s="7"/>
      <c r="J18" s="7"/>
      <c r="K18" s="7"/>
      <c r="L18" s="7"/>
      <c r="M18" s="7"/>
    </row>
    <row r="19" ht="12.75" customHeight="1">
      <c r="A19" s="7"/>
      <c r="B19" s="7"/>
      <c r="C19" s="7"/>
      <c r="D19" s="7"/>
      <c r="E19" s="7"/>
      <c r="F19" s="7"/>
      <c r="G19" s="7"/>
      <c r="H19" s="7"/>
      <c r="I19" s="7"/>
      <c r="J19" s="7"/>
      <c r="K19" s="7"/>
      <c r="L19" s="7"/>
      <c r="M19" s="7"/>
    </row>
    <row r="20" ht="12.75" customHeight="1">
      <c r="A20" s="7"/>
      <c r="B20" s="7"/>
      <c r="C20" s="7"/>
      <c r="D20" s="7"/>
      <c r="E20" s="7"/>
      <c r="F20" s="7"/>
      <c r="G20" s="7"/>
      <c r="H20" s="7"/>
      <c r="I20" s="7"/>
      <c r="J20" s="7"/>
      <c r="K20" s="7"/>
      <c r="L20" s="7"/>
      <c r="M20" s="7"/>
    </row>
    <row r="21" ht="12.75" customHeight="1">
      <c r="A21" s="7"/>
      <c r="B21" s="7"/>
      <c r="C21" s="7"/>
      <c r="D21" s="7"/>
      <c r="E21" s="7"/>
      <c r="F21" s="7"/>
      <c r="G21" s="7"/>
      <c r="H21" s="7"/>
      <c r="I21" s="7"/>
      <c r="J21" s="7"/>
      <c r="K21" s="7"/>
      <c r="L21" s="7"/>
      <c r="M21" s="7"/>
    </row>
    <row r="22">
      <c r="A22" s="18"/>
      <c r="B22" s="18"/>
      <c r="C22" s="18"/>
      <c r="D22" s="18"/>
      <c r="E22" s="18"/>
      <c r="F22" s="18"/>
      <c r="G22" s="18"/>
      <c r="H22" s="18"/>
      <c r="I22" s="18"/>
      <c r="J22" s="18"/>
      <c r="K22" s="18"/>
      <c r="L22" s="18"/>
      <c r="M22" s="18"/>
    </row>
    <row r="23">
      <c r="A23" s="18"/>
      <c r="B23" s="18"/>
      <c r="C23" s="18"/>
      <c r="D23" s="18"/>
      <c r="E23" s="18"/>
      <c r="F23" s="18"/>
      <c r="G23" s="18"/>
      <c r="H23" s="18"/>
      <c r="I23" s="18"/>
      <c r="J23" s="18"/>
      <c r="K23" s="18"/>
      <c r="L23" s="18"/>
      <c r="M23" s="18"/>
    </row>
    <row r="24">
      <c r="A24" s="19"/>
      <c r="B24" s="19"/>
      <c r="C24" s="19"/>
      <c r="D24" s="19"/>
      <c r="E24" s="19"/>
      <c r="F24" s="19"/>
      <c r="G24" s="19"/>
      <c r="H24" s="19"/>
      <c r="I24" s="19"/>
      <c r="J24" s="19"/>
      <c r="K24" s="19"/>
      <c r="L24" s="19"/>
      <c r="M24" s="19"/>
    </row>
    <row r="25">
      <c r="A25" s="19"/>
      <c r="B25" s="19"/>
      <c r="C25" s="19"/>
      <c r="D25" s="19"/>
      <c r="E25" s="19"/>
      <c r="F25" s="19"/>
      <c r="G25" s="19"/>
      <c r="H25" s="19"/>
      <c r="I25" s="19"/>
      <c r="J25" s="19"/>
      <c r="K25" s="19"/>
      <c r="L25" s="19"/>
      <c r="M25" s="19"/>
    </row>
    <row r="26">
      <c r="A26" s="19"/>
      <c r="B26" s="19"/>
      <c r="C26" s="19"/>
      <c r="D26" s="19"/>
      <c r="E26" s="19"/>
      <c r="F26" s="19"/>
      <c r="G26" s="19"/>
      <c r="H26" s="19"/>
      <c r="I26" s="19"/>
      <c r="J26" s="19"/>
      <c r="K26" s="19"/>
      <c r="L26" s="19"/>
      <c r="M26" s="19"/>
    </row>
    <row r="27">
      <c r="A27" s="19"/>
      <c r="B27" s="19"/>
      <c r="C27" s="19"/>
      <c r="D27" s="19"/>
      <c r="E27" s="19"/>
      <c r="F27" s="19"/>
      <c r="G27" s="19"/>
      <c r="H27" s="19"/>
      <c r="I27" s="19"/>
      <c r="J27" s="19"/>
      <c r="K27" s="19"/>
      <c r="L27" s="19"/>
      <c r="M27" s="19"/>
    </row>
    <row r="28">
      <c r="A28" s="19"/>
      <c r="B28" s="19"/>
      <c r="C28" s="19"/>
      <c r="D28" s="19"/>
      <c r="E28" s="19"/>
      <c r="F28" s="19"/>
      <c r="G28" s="19"/>
      <c r="H28" s="19"/>
      <c r="I28" s="19"/>
      <c r="J28" s="19"/>
      <c r="K28" s="19"/>
      <c r="L28" s="19"/>
      <c r="M28" s="19"/>
    </row>
    <row r="29">
      <c r="A29" s="19"/>
      <c r="B29" s="19"/>
      <c r="C29" s="19"/>
      <c r="D29" s="19"/>
      <c r="E29" s="19"/>
      <c r="F29" s="19"/>
      <c r="G29" s="19"/>
      <c r="H29" s="19"/>
      <c r="I29" s="19"/>
      <c r="J29" s="19"/>
      <c r="K29" s="19"/>
      <c r="L29" s="19"/>
      <c r="M29" s="19"/>
    </row>
    <row r="30">
      <c r="A30" s="19"/>
      <c r="B30" s="19"/>
      <c r="C30" s="19"/>
      <c r="D30" s="19"/>
      <c r="E30" s="19"/>
      <c r="F30" s="19"/>
      <c r="G30" s="19"/>
      <c r="H30" s="19"/>
      <c r="I30" s="19"/>
      <c r="J30" s="19"/>
      <c r="K30" s="19"/>
      <c r="L30" s="19"/>
      <c r="M30" s="19"/>
    </row>
    <row r="31">
      <c r="A31" s="19"/>
      <c r="B31" s="19"/>
      <c r="C31" s="19"/>
      <c r="D31" s="19"/>
      <c r="E31" s="19"/>
      <c r="F31" s="19"/>
      <c r="G31" s="19"/>
      <c r="H31" s="19"/>
      <c r="I31" s="19"/>
      <c r="J31" s="19"/>
      <c r="K31" s="19"/>
      <c r="L31" s="19"/>
      <c r="M31" s="19"/>
    </row>
    <row r="32">
      <c r="A32" s="19"/>
      <c r="B32" s="19"/>
      <c r="C32" s="19"/>
      <c r="D32" s="19"/>
      <c r="E32" s="19"/>
      <c r="F32" s="19"/>
      <c r="G32" s="19"/>
      <c r="H32" s="19"/>
      <c r="I32" s="19"/>
      <c r="J32" s="19"/>
      <c r="K32" s="19"/>
      <c r="L32" s="19"/>
      <c r="M32" s="19"/>
    </row>
    <row r="33">
      <c r="A33" s="19"/>
      <c r="B33" s="19"/>
      <c r="C33" s="19"/>
      <c r="D33" s="19"/>
      <c r="E33" s="19"/>
      <c r="F33" s="19"/>
      <c r="G33" s="19"/>
      <c r="H33" s="19"/>
      <c r="I33" s="19"/>
      <c r="J33" s="19"/>
      <c r="K33" s="19"/>
      <c r="L33" s="19"/>
      <c r="M33" s="19"/>
    </row>
    <row r="34">
      <c r="A34" s="19"/>
      <c r="B34" s="19"/>
      <c r="C34" s="19"/>
      <c r="D34" s="19"/>
      <c r="E34" s="19"/>
      <c r="F34" s="19"/>
      <c r="G34" s="19"/>
      <c r="H34" s="19"/>
      <c r="I34" s="19"/>
      <c r="J34" s="19"/>
      <c r="K34" s="19"/>
      <c r="L34" s="19"/>
      <c r="M34" s="19"/>
    </row>
    <row r="35">
      <c r="A35" s="19"/>
      <c r="B35" s="19"/>
      <c r="C35" s="19"/>
      <c r="D35" s="19"/>
      <c r="E35" s="19"/>
      <c r="F35" s="19"/>
      <c r="G35" s="19"/>
      <c r="H35" s="19"/>
      <c r="I35" s="19"/>
      <c r="J35" s="19"/>
      <c r="K35" s="19"/>
      <c r="L35" s="19"/>
      <c r="M35" s="19"/>
    </row>
    <row r="36">
      <c r="A36" s="19"/>
      <c r="B36" s="19"/>
      <c r="C36" s="19"/>
      <c r="D36" s="19"/>
      <c r="E36" s="19"/>
      <c r="F36" s="19"/>
      <c r="G36" s="19"/>
      <c r="H36" s="19"/>
      <c r="I36" s="19"/>
      <c r="J36" s="19"/>
      <c r="K36" s="19"/>
      <c r="L36" s="19"/>
      <c r="M36" s="19"/>
    </row>
    <row r="37">
      <c r="A37" s="19"/>
      <c r="B37" s="19"/>
      <c r="C37" s="19"/>
      <c r="D37" s="19"/>
      <c r="E37" s="19"/>
      <c r="F37" s="19"/>
      <c r="G37" s="19"/>
      <c r="H37" s="19"/>
      <c r="I37" s="19"/>
      <c r="J37" s="19"/>
      <c r="K37" s="19"/>
      <c r="L37" s="19"/>
      <c r="M37" s="19"/>
    </row>
    <row r="38">
      <c r="A38" s="19"/>
      <c r="B38" s="19"/>
      <c r="C38" s="19"/>
      <c r="D38" s="19"/>
      <c r="E38" s="19"/>
      <c r="F38" s="19"/>
      <c r="G38" s="19"/>
      <c r="H38" s="19"/>
      <c r="I38" s="19"/>
      <c r="J38" s="19"/>
      <c r="K38" s="19"/>
      <c r="L38" s="19"/>
      <c r="M38" s="19"/>
    </row>
    <row r="39">
      <c r="A39" s="19"/>
      <c r="B39" s="19"/>
      <c r="C39" s="19"/>
      <c r="D39" s="19"/>
      <c r="E39" s="19"/>
      <c r="F39" s="19"/>
      <c r="G39" s="19"/>
      <c r="H39" s="19"/>
      <c r="I39" s="19"/>
      <c r="J39" s="19"/>
      <c r="K39" s="19"/>
      <c r="L39" s="19"/>
      <c r="M39" s="19"/>
    </row>
    <row r="40">
      <c r="A40" s="19"/>
      <c r="B40" s="19"/>
      <c r="C40" s="19"/>
      <c r="D40" s="19"/>
      <c r="E40" s="19"/>
      <c r="F40" s="19"/>
      <c r="G40" s="19"/>
      <c r="H40" s="19"/>
      <c r="I40" s="19"/>
      <c r="J40" s="19"/>
      <c r="K40" s="19"/>
      <c r="L40" s="19"/>
      <c r="M40" s="19"/>
    </row>
    <row r="41">
      <c r="A41" s="19"/>
      <c r="B41" s="19"/>
      <c r="C41" s="19"/>
      <c r="D41" s="19"/>
      <c r="E41" s="19"/>
      <c r="F41" s="19"/>
      <c r="G41" s="19"/>
      <c r="H41" s="19"/>
      <c r="I41" s="19"/>
      <c r="J41" s="19"/>
      <c r="K41" s="19"/>
      <c r="L41" s="19"/>
      <c r="M41" s="19"/>
    </row>
    <row r="42">
      <c r="A42" s="19"/>
      <c r="B42" s="19"/>
      <c r="C42" s="19"/>
      <c r="D42" s="19"/>
      <c r="E42" s="19"/>
      <c r="F42" s="19"/>
      <c r="G42" s="19"/>
      <c r="H42" s="19"/>
      <c r="I42" s="19"/>
      <c r="J42" s="19"/>
      <c r="K42" s="19"/>
      <c r="L42" s="19"/>
      <c r="M42" s="19"/>
    </row>
    <row r="43">
      <c r="A43" s="19"/>
      <c r="B43" s="19"/>
      <c r="C43" s="19"/>
      <c r="D43" s="19"/>
      <c r="E43" s="19"/>
      <c r="F43" s="19"/>
      <c r="G43" s="19"/>
      <c r="H43" s="19"/>
      <c r="I43" s="19"/>
      <c r="J43" s="19"/>
      <c r="K43" s="19"/>
      <c r="L43" s="19"/>
      <c r="M43" s="19"/>
    </row>
    <row r="44">
      <c r="A44" s="19"/>
      <c r="B44" s="19"/>
      <c r="C44" s="19"/>
      <c r="D44" s="19"/>
      <c r="E44" s="19"/>
      <c r="F44" s="19"/>
      <c r="G44" s="19"/>
      <c r="H44" s="19"/>
      <c r="I44" s="19"/>
      <c r="J44" s="19"/>
      <c r="K44" s="19"/>
      <c r="L44" s="19"/>
      <c r="M44" s="19"/>
    </row>
    <row r="45">
      <c r="A45" s="19"/>
      <c r="B45" s="19"/>
      <c r="C45" s="19"/>
      <c r="D45" s="19"/>
      <c r="E45" s="19"/>
      <c r="F45" s="19"/>
      <c r="G45" s="19"/>
      <c r="H45" s="19"/>
      <c r="I45" s="19"/>
      <c r="J45" s="19"/>
      <c r="K45" s="19"/>
      <c r="L45" s="19"/>
      <c r="M45" s="19"/>
    </row>
    <row r="46">
      <c r="A46" s="19"/>
      <c r="B46" s="19"/>
      <c r="C46" s="19"/>
      <c r="D46" s="19"/>
      <c r="E46" s="19"/>
      <c r="F46" s="19"/>
      <c r="G46" s="19"/>
      <c r="H46" s="19"/>
      <c r="I46" s="19"/>
      <c r="J46" s="19"/>
      <c r="K46" s="19"/>
      <c r="L46" s="19"/>
      <c r="M46" s="19"/>
    </row>
    <row r="47">
      <c r="A47" s="19"/>
      <c r="B47" s="19"/>
      <c r="C47" s="19"/>
      <c r="D47" s="19"/>
      <c r="E47" s="19"/>
      <c r="F47" s="19"/>
      <c r="G47" s="19"/>
      <c r="H47" s="19"/>
      <c r="I47" s="19"/>
      <c r="J47" s="19"/>
      <c r="K47" s="19"/>
      <c r="L47" s="19"/>
      <c r="M47" s="19"/>
    </row>
    <row r="48">
      <c r="A48" s="19"/>
      <c r="B48" s="19"/>
      <c r="C48" s="19"/>
      <c r="D48" s="19"/>
      <c r="E48" s="19"/>
      <c r="F48" s="19"/>
      <c r="G48" s="19"/>
      <c r="H48" s="19"/>
      <c r="I48" s="19"/>
      <c r="J48" s="19"/>
      <c r="K48" s="19"/>
      <c r="L48" s="19"/>
      <c r="M48" s="19"/>
    </row>
    <row r="49">
      <c r="A49" s="19"/>
      <c r="B49" s="19"/>
      <c r="C49" s="19"/>
      <c r="D49" s="19"/>
      <c r="E49" s="19"/>
      <c r="F49" s="19"/>
      <c r="G49" s="19"/>
      <c r="H49" s="19"/>
      <c r="I49" s="19"/>
      <c r="J49" s="19"/>
      <c r="K49" s="19"/>
      <c r="L49" s="19"/>
      <c r="M49" s="19"/>
    </row>
    <row r="50">
      <c r="A50" s="19"/>
      <c r="B50" s="19"/>
      <c r="C50" s="19"/>
      <c r="D50" s="19"/>
      <c r="E50" s="19"/>
      <c r="F50" s="19"/>
      <c r="G50" s="19"/>
      <c r="H50" s="19"/>
      <c r="I50" s="19"/>
      <c r="J50" s="19"/>
      <c r="K50" s="19"/>
      <c r="L50" s="19"/>
      <c r="M50" s="19"/>
    </row>
    <row r="51">
      <c r="A51" s="19"/>
      <c r="B51" s="19"/>
      <c r="C51" s="19"/>
      <c r="D51" s="19"/>
      <c r="E51" s="19"/>
      <c r="F51" s="19"/>
      <c r="G51" s="19"/>
      <c r="H51" s="19"/>
      <c r="I51" s="19"/>
      <c r="J51" s="19"/>
      <c r="K51" s="19"/>
      <c r="L51" s="19"/>
      <c r="M51" s="19"/>
    </row>
    <row r="52">
      <c r="A52" s="19"/>
      <c r="B52" s="19"/>
      <c r="C52" s="19"/>
      <c r="D52" s="19"/>
      <c r="E52" s="19"/>
      <c r="F52" s="19"/>
      <c r="G52" s="19"/>
      <c r="H52" s="19"/>
      <c r="I52" s="19"/>
      <c r="J52" s="19"/>
      <c r="K52" s="19"/>
      <c r="L52" s="19"/>
      <c r="M52" s="19"/>
    </row>
    <row r="53">
      <c r="A53" s="19"/>
      <c r="B53" s="19"/>
      <c r="C53" s="19"/>
      <c r="D53" s="19"/>
      <c r="E53" s="19"/>
      <c r="F53" s="19"/>
      <c r="G53" s="19"/>
      <c r="H53" s="19"/>
      <c r="I53" s="19"/>
      <c r="J53" s="19"/>
      <c r="K53" s="19"/>
      <c r="L53" s="19"/>
      <c r="M53" s="19"/>
    </row>
    <row r="54">
      <c r="A54" s="19"/>
      <c r="B54" s="19"/>
      <c r="C54" s="19"/>
      <c r="D54" s="19"/>
      <c r="E54" s="19"/>
      <c r="F54" s="19"/>
      <c r="G54" s="19"/>
      <c r="H54" s="19"/>
      <c r="I54" s="19"/>
      <c r="J54" s="19"/>
      <c r="K54" s="19"/>
      <c r="L54" s="19"/>
      <c r="M54" s="19"/>
    </row>
    <row r="55">
      <c r="A55" s="19"/>
      <c r="B55" s="19"/>
      <c r="C55" s="19"/>
      <c r="D55" s="19"/>
      <c r="E55" s="19"/>
      <c r="F55" s="19"/>
      <c r="G55" s="19"/>
      <c r="H55" s="19"/>
      <c r="I55" s="19"/>
      <c r="J55" s="19"/>
      <c r="K55" s="19"/>
      <c r="L55" s="19"/>
      <c r="M55" s="19"/>
    </row>
    <row r="56">
      <c r="A56" s="19"/>
      <c r="B56" s="19"/>
      <c r="C56" s="19"/>
      <c r="D56" s="19"/>
      <c r="E56" s="19"/>
      <c r="F56" s="19"/>
      <c r="G56" s="19"/>
      <c r="H56" s="19"/>
      <c r="I56" s="19"/>
      <c r="J56" s="19"/>
      <c r="K56" s="19"/>
      <c r="L56" s="19"/>
      <c r="M56" s="19"/>
    </row>
    <row r="57">
      <c r="A57" s="19"/>
      <c r="B57" s="19"/>
      <c r="C57" s="19"/>
      <c r="D57" s="19"/>
      <c r="E57" s="19"/>
      <c r="F57" s="19"/>
      <c r="G57" s="19"/>
      <c r="H57" s="19"/>
      <c r="I57" s="19"/>
      <c r="J57" s="19"/>
      <c r="K57" s="19"/>
      <c r="L57" s="19"/>
      <c r="M57" s="19"/>
    </row>
    <row r="58">
      <c r="A58" s="19"/>
      <c r="B58" s="19"/>
      <c r="C58" s="19"/>
      <c r="D58" s="19"/>
      <c r="E58" s="19"/>
      <c r="F58" s="19"/>
      <c r="G58" s="19"/>
      <c r="H58" s="19"/>
      <c r="I58" s="19"/>
      <c r="J58" s="19"/>
      <c r="K58" s="19"/>
      <c r="L58" s="19"/>
      <c r="M58" s="19"/>
    </row>
    <row r="59">
      <c r="A59" s="19"/>
      <c r="B59" s="19"/>
      <c r="C59" s="19"/>
      <c r="D59" s="19"/>
      <c r="E59" s="19"/>
      <c r="F59" s="19"/>
      <c r="G59" s="19"/>
      <c r="H59" s="19"/>
      <c r="I59" s="19"/>
      <c r="J59" s="19"/>
      <c r="K59" s="19"/>
      <c r="L59" s="19"/>
      <c r="M59" s="19"/>
    </row>
    <row r="60">
      <c r="A60" s="19"/>
      <c r="B60" s="19"/>
      <c r="C60" s="19"/>
      <c r="D60" s="19"/>
      <c r="E60" s="19"/>
      <c r="F60" s="19"/>
      <c r="G60" s="19"/>
      <c r="H60" s="19"/>
      <c r="I60" s="19"/>
      <c r="J60" s="19"/>
      <c r="K60" s="19"/>
      <c r="L60" s="19"/>
      <c r="M60" s="19"/>
    </row>
    <row r="61">
      <c r="A61" s="19"/>
      <c r="B61" s="19"/>
      <c r="C61" s="19"/>
      <c r="D61" s="19"/>
      <c r="E61" s="19"/>
      <c r="F61" s="19"/>
      <c r="G61" s="19"/>
      <c r="H61" s="19"/>
      <c r="I61" s="19"/>
      <c r="J61" s="19"/>
      <c r="K61" s="19"/>
      <c r="L61" s="19"/>
      <c r="M61" s="19"/>
    </row>
    <row r="62">
      <c r="A62" s="19"/>
      <c r="B62" s="19"/>
      <c r="C62" s="19"/>
      <c r="D62" s="19"/>
      <c r="E62" s="19"/>
      <c r="F62" s="19"/>
      <c r="G62" s="19"/>
      <c r="H62" s="19"/>
      <c r="I62" s="19"/>
      <c r="J62" s="19"/>
      <c r="K62" s="19"/>
      <c r="L62" s="19"/>
      <c r="M62" s="19"/>
    </row>
    <row r="63">
      <c r="A63" s="19"/>
      <c r="B63" s="19"/>
      <c r="C63" s="19"/>
      <c r="D63" s="19"/>
      <c r="E63" s="19"/>
      <c r="F63" s="19"/>
      <c r="G63" s="19"/>
      <c r="H63" s="19"/>
      <c r="I63" s="19"/>
      <c r="J63" s="19"/>
      <c r="K63" s="19"/>
      <c r="L63" s="19"/>
      <c r="M63" s="19"/>
    </row>
    <row r="64">
      <c r="A64" s="19"/>
      <c r="B64" s="19"/>
      <c r="C64" s="19"/>
      <c r="D64" s="19"/>
      <c r="E64" s="19"/>
      <c r="F64" s="19"/>
      <c r="G64" s="19"/>
      <c r="H64" s="19"/>
      <c r="I64" s="19"/>
      <c r="J64" s="19"/>
      <c r="K64" s="19"/>
      <c r="L64" s="19"/>
      <c r="M64" s="19"/>
    </row>
    <row r="65">
      <c r="A65" s="19"/>
      <c r="B65" s="19"/>
      <c r="C65" s="19"/>
      <c r="D65" s="19"/>
      <c r="E65" s="19"/>
      <c r="F65" s="19"/>
      <c r="G65" s="19"/>
      <c r="H65" s="19"/>
      <c r="I65" s="19"/>
      <c r="J65" s="19"/>
      <c r="K65" s="19"/>
      <c r="L65" s="19"/>
      <c r="M65" s="19"/>
    </row>
    <row r="66">
      <c r="A66" s="19"/>
      <c r="B66" s="19"/>
      <c r="C66" s="19"/>
      <c r="D66" s="19"/>
      <c r="E66" s="19"/>
      <c r="F66" s="19"/>
      <c r="G66" s="19"/>
      <c r="H66" s="19"/>
      <c r="I66" s="19"/>
      <c r="J66" s="19"/>
      <c r="K66" s="19"/>
      <c r="L66" s="19"/>
      <c r="M66" s="19"/>
    </row>
    <row r="67">
      <c r="A67" s="19"/>
      <c r="B67" s="19"/>
      <c r="C67" s="19"/>
      <c r="D67" s="19"/>
      <c r="E67" s="19"/>
      <c r="F67" s="19"/>
      <c r="G67" s="19"/>
      <c r="H67" s="19"/>
      <c r="I67" s="19"/>
      <c r="J67" s="19"/>
      <c r="K67" s="19"/>
      <c r="L67" s="19"/>
      <c r="M67" s="19"/>
    </row>
    <row r="68">
      <c r="A68" s="19"/>
      <c r="B68" s="19"/>
      <c r="C68" s="19"/>
      <c r="D68" s="19"/>
      <c r="E68" s="19"/>
      <c r="F68" s="19"/>
      <c r="G68" s="19"/>
      <c r="H68" s="19"/>
      <c r="I68" s="19"/>
      <c r="J68" s="19"/>
      <c r="K68" s="19"/>
      <c r="L68" s="19"/>
      <c r="M68" s="19"/>
    </row>
    <row r="69">
      <c r="A69" s="19"/>
      <c r="B69" s="19"/>
      <c r="C69" s="19"/>
      <c r="D69" s="19"/>
      <c r="E69" s="19"/>
      <c r="F69" s="19"/>
      <c r="G69" s="19"/>
      <c r="H69" s="19"/>
      <c r="I69" s="19"/>
      <c r="J69" s="19"/>
      <c r="K69" s="19"/>
      <c r="L69" s="19"/>
      <c r="M69" s="19"/>
    </row>
    <row r="70">
      <c r="A70" s="19"/>
      <c r="B70" s="19"/>
      <c r="C70" s="19"/>
      <c r="D70" s="19"/>
      <c r="E70" s="19"/>
      <c r="F70" s="19"/>
      <c r="G70" s="19"/>
      <c r="H70" s="19"/>
      <c r="I70" s="19"/>
      <c r="J70" s="19"/>
      <c r="K70" s="19"/>
      <c r="L70" s="19"/>
      <c r="M70" s="19"/>
    </row>
    <row r="71">
      <c r="A71" s="19"/>
      <c r="B71" s="19"/>
      <c r="C71" s="19"/>
      <c r="D71" s="19"/>
      <c r="E71" s="19"/>
      <c r="F71" s="19"/>
      <c r="G71" s="19"/>
      <c r="H71" s="19"/>
      <c r="I71" s="19"/>
      <c r="J71" s="19"/>
      <c r="K71" s="19"/>
      <c r="L71" s="19"/>
      <c r="M71" s="19"/>
    </row>
    <row r="72">
      <c r="A72" s="19"/>
      <c r="B72" s="19"/>
      <c r="C72" s="19"/>
      <c r="D72" s="19"/>
      <c r="E72" s="19"/>
      <c r="F72" s="19"/>
      <c r="G72" s="19"/>
      <c r="H72" s="19"/>
      <c r="I72" s="19"/>
      <c r="J72" s="19"/>
      <c r="K72" s="19"/>
      <c r="L72" s="19"/>
      <c r="M72" s="19"/>
    </row>
    <row r="73">
      <c r="A73" s="19"/>
      <c r="B73" s="19"/>
      <c r="C73" s="19"/>
      <c r="D73" s="19"/>
      <c r="E73" s="19"/>
      <c r="F73" s="19"/>
      <c r="G73" s="19"/>
      <c r="H73" s="19"/>
      <c r="I73" s="19"/>
      <c r="J73" s="19"/>
      <c r="K73" s="19"/>
      <c r="L73" s="19"/>
      <c r="M73" s="19"/>
    </row>
    <row r="74">
      <c r="A74" s="19"/>
      <c r="B74" s="19"/>
      <c r="C74" s="19"/>
      <c r="D74" s="19"/>
      <c r="E74" s="19"/>
      <c r="F74" s="19"/>
      <c r="G74" s="19"/>
      <c r="H74" s="19"/>
      <c r="I74" s="19"/>
      <c r="J74" s="19"/>
      <c r="K74" s="19"/>
      <c r="L74" s="19"/>
      <c r="M74" s="19"/>
    </row>
    <row r="75">
      <c r="A75" s="19"/>
      <c r="B75" s="19"/>
      <c r="C75" s="19"/>
      <c r="D75" s="19"/>
      <c r="E75" s="19"/>
      <c r="F75" s="19"/>
      <c r="G75" s="19"/>
      <c r="H75" s="19"/>
      <c r="I75" s="19"/>
      <c r="J75" s="19"/>
      <c r="K75" s="19"/>
      <c r="L75" s="19"/>
      <c r="M75" s="19"/>
    </row>
    <row r="76">
      <c r="A76" s="19"/>
      <c r="B76" s="19"/>
      <c r="C76" s="19"/>
      <c r="D76" s="19"/>
      <c r="E76" s="19"/>
      <c r="F76" s="19"/>
      <c r="G76" s="19"/>
      <c r="H76" s="19"/>
      <c r="I76" s="19"/>
      <c r="J76" s="19"/>
      <c r="K76" s="19"/>
      <c r="L76" s="19"/>
      <c r="M76" s="19"/>
    </row>
    <row r="77">
      <c r="A77" s="19"/>
      <c r="B77" s="19"/>
      <c r="C77" s="19"/>
      <c r="D77" s="19"/>
      <c r="E77" s="19"/>
      <c r="F77" s="19"/>
      <c r="G77" s="19"/>
      <c r="H77" s="19"/>
      <c r="I77" s="19"/>
      <c r="J77" s="19"/>
      <c r="K77" s="19"/>
      <c r="L77" s="19"/>
      <c r="M77" s="19"/>
    </row>
    <row r="78">
      <c r="A78" s="19"/>
      <c r="B78" s="19"/>
      <c r="C78" s="19"/>
      <c r="D78" s="19"/>
      <c r="E78" s="19"/>
      <c r="F78" s="19"/>
      <c r="G78" s="19"/>
      <c r="H78" s="19"/>
      <c r="I78" s="19"/>
      <c r="J78" s="19"/>
      <c r="K78" s="19"/>
      <c r="L78" s="19"/>
      <c r="M78" s="19"/>
    </row>
    <row r="79">
      <c r="A79" s="19"/>
      <c r="B79" s="19"/>
      <c r="C79" s="19"/>
      <c r="D79" s="19"/>
      <c r="E79" s="19"/>
      <c r="F79" s="19"/>
      <c r="G79" s="19"/>
      <c r="H79" s="19"/>
      <c r="I79" s="19"/>
      <c r="J79" s="19"/>
      <c r="K79" s="19"/>
      <c r="L79" s="19"/>
      <c r="M79" s="19"/>
    </row>
    <row r="80">
      <c r="A80" s="19"/>
      <c r="B80" s="19"/>
      <c r="C80" s="19"/>
      <c r="D80" s="19"/>
      <c r="E80" s="19"/>
      <c r="F80" s="19"/>
      <c r="G80" s="19"/>
      <c r="H80" s="19"/>
      <c r="I80" s="19"/>
      <c r="J80" s="19"/>
      <c r="K80" s="19"/>
      <c r="L80" s="19"/>
      <c r="M80" s="19"/>
    </row>
    <row r="81">
      <c r="A81" s="19"/>
      <c r="B81" s="19"/>
      <c r="C81" s="19"/>
      <c r="D81" s="19"/>
      <c r="E81" s="19"/>
      <c r="F81" s="19"/>
      <c r="G81" s="19"/>
      <c r="H81" s="19"/>
      <c r="I81" s="19"/>
      <c r="J81" s="19"/>
      <c r="K81" s="19"/>
      <c r="L81" s="19"/>
      <c r="M81" s="19"/>
    </row>
    <row r="82">
      <c r="A82" s="19"/>
      <c r="B82" s="19"/>
      <c r="C82" s="19"/>
      <c r="D82" s="19"/>
      <c r="E82" s="19"/>
      <c r="F82" s="19"/>
      <c r="G82" s="19"/>
      <c r="H82" s="19"/>
      <c r="I82" s="19"/>
      <c r="J82" s="19"/>
      <c r="K82" s="19"/>
      <c r="L82" s="19"/>
      <c r="M82" s="19"/>
    </row>
    <row r="83">
      <c r="A83" s="19"/>
      <c r="B83" s="19"/>
      <c r="C83" s="19"/>
      <c r="D83" s="19"/>
      <c r="E83" s="19"/>
      <c r="F83" s="19"/>
      <c r="G83" s="19"/>
      <c r="H83" s="19"/>
      <c r="I83" s="19"/>
      <c r="J83" s="19"/>
      <c r="K83" s="19"/>
      <c r="L83" s="19"/>
      <c r="M83" s="19"/>
    </row>
    <row r="84">
      <c r="A84" s="19"/>
      <c r="B84" s="19"/>
      <c r="C84" s="19"/>
      <c r="D84" s="19"/>
      <c r="E84" s="19"/>
      <c r="F84" s="19"/>
      <c r="G84" s="19"/>
      <c r="H84" s="19"/>
      <c r="I84" s="19"/>
      <c r="J84" s="19"/>
      <c r="K84" s="19"/>
      <c r="L84" s="19"/>
      <c r="M84" s="19"/>
    </row>
    <row r="85">
      <c r="A85" s="19"/>
      <c r="B85" s="19"/>
      <c r="C85" s="19"/>
      <c r="D85" s="19"/>
      <c r="E85" s="19"/>
      <c r="F85" s="19"/>
      <c r="G85" s="19"/>
      <c r="H85" s="19"/>
      <c r="I85" s="19"/>
      <c r="J85" s="19"/>
      <c r="K85" s="19"/>
      <c r="L85" s="19"/>
      <c r="M85" s="19"/>
    </row>
    <row r="86">
      <c r="A86" s="19"/>
      <c r="B86" s="19"/>
      <c r="C86" s="19"/>
      <c r="D86" s="19"/>
      <c r="E86" s="19"/>
      <c r="F86" s="19"/>
      <c r="G86" s="19"/>
      <c r="H86" s="19"/>
      <c r="I86" s="19"/>
      <c r="J86" s="19"/>
      <c r="K86" s="19"/>
      <c r="L86" s="19"/>
      <c r="M86" s="19"/>
    </row>
    <row r="87">
      <c r="A87" s="19"/>
      <c r="B87" s="19"/>
      <c r="C87" s="19"/>
      <c r="D87" s="19"/>
      <c r="E87" s="19"/>
      <c r="F87" s="19"/>
      <c r="G87" s="19"/>
      <c r="H87" s="19"/>
      <c r="I87" s="19"/>
      <c r="J87" s="19"/>
      <c r="K87" s="19"/>
      <c r="L87" s="19"/>
      <c r="M87" s="19"/>
    </row>
    <row r="88">
      <c r="A88" s="19"/>
      <c r="B88" s="19"/>
      <c r="C88" s="19"/>
      <c r="D88" s="19"/>
      <c r="E88" s="19"/>
      <c r="F88" s="19"/>
      <c r="G88" s="19"/>
      <c r="H88" s="19"/>
      <c r="I88" s="19"/>
      <c r="J88" s="19"/>
      <c r="K88" s="19"/>
      <c r="L88" s="19"/>
      <c r="M88" s="19"/>
    </row>
    <row r="89">
      <c r="A89" s="19"/>
      <c r="B89" s="19"/>
      <c r="C89" s="19"/>
      <c r="D89" s="19"/>
      <c r="E89" s="19"/>
      <c r="F89" s="19"/>
      <c r="G89" s="19"/>
      <c r="H89" s="19"/>
      <c r="I89" s="19"/>
      <c r="J89" s="19"/>
      <c r="K89" s="19"/>
      <c r="L89" s="19"/>
      <c r="M89" s="19"/>
    </row>
    <row r="90">
      <c r="A90" s="19"/>
      <c r="B90" s="19"/>
      <c r="C90" s="19"/>
      <c r="D90" s="19"/>
      <c r="E90" s="19"/>
      <c r="F90" s="19"/>
      <c r="G90" s="19"/>
      <c r="H90" s="19"/>
      <c r="I90" s="19"/>
      <c r="J90" s="19"/>
      <c r="K90" s="19"/>
      <c r="L90" s="19"/>
      <c r="M90" s="19"/>
    </row>
    <row r="91">
      <c r="A91" s="19"/>
      <c r="B91" s="19"/>
      <c r="C91" s="19"/>
      <c r="D91" s="19"/>
      <c r="E91" s="19"/>
      <c r="F91" s="19"/>
      <c r="G91" s="19"/>
      <c r="H91" s="19"/>
      <c r="I91" s="19"/>
      <c r="J91" s="19"/>
      <c r="K91" s="19"/>
      <c r="L91" s="19"/>
      <c r="M91" s="19"/>
    </row>
    <row r="92">
      <c r="A92" s="19"/>
      <c r="B92" s="19"/>
      <c r="C92" s="19"/>
      <c r="D92" s="19"/>
      <c r="E92" s="19"/>
      <c r="F92" s="19"/>
      <c r="G92" s="19"/>
      <c r="H92" s="19"/>
      <c r="I92" s="19"/>
      <c r="J92" s="19"/>
      <c r="K92" s="19"/>
      <c r="L92" s="19"/>
      <c r="M92" s="19"/>
    </row>
    <row r="93">
      <c r="A93" s="19"/>
      <c r="B93" s="19"/>
      <c r="C93" s="19"/>
      <c r="D93" s="19"/>
      <c r="E93" s="19"/>
      <c r="F93" s="19"/>
      <c r="G93" s="19"/>
      <c r="H93" s="19"/>
      <c r="I93" s="19"/>
      <c r="J93" s="19"/>
      <c r="K93" s="19"/>
      <c r="L93" s="19"/>
      <c r="M93" s="19"/>
    </row>
    <row r="94">
      <c r="A94" s="19"/>
      <c r="B94" s="19"/>
      <c r="C94" s="19"/>
      <c r="D94" s="19"/>
      <c r="E94" s="19"/>
      <c r="F94" s="19"/>
      <c r="G94" s="19"/>
      <c r="H94" s="19"/>
      <c r="I94" s="19"/>
      <c r="J94" s="19"/>
      <c r="K94" s="19"/>
      <c r="L94" s="19"/>
      <c r="M94" s="19"/>
    </row>
    <row r="95">
      <c r="A95" s="19"/>
      <c r="B95" s="19"/>
      <c r="C95" s="19"/>
      <c r="D95" s="19"/>
      <c r="E95" s="19"/>
      <c r="F95" s="19"/>
      <c r="G95" s="19"/>
      <c r="H95" s="19"/>
      <c r="I95" s="19"/>
      <c r="J95" s="19"/>
      <c r="K95" s="19"/>
      <c r="L95" s="19"/>
      <c r="M95" s="19"/>
    </row>
    <row r="96">
      <c r="A96" s="19"/>
      <c r="B96" s="19"/>
      <c r="C96" s="19"/>
      <c r="D96" s="19"/>
      <c r="E96" s="19"/>
      <c r="F96" s="19"/>
      <c r="G96" s="19"/>
      <c r="H96" s="19"/>
      <c r="I96" s="19"/>
      <c r="J96" s="19"/>
      <c r="K96" s="19"/>
      <c r="L96" s="19"/>
      <c r="M96" s="19"/>
    </row>
    <row r="97">
      <c r="A97" s="19"/>
      <c r="B97" s="19"/>
      <c r="C97" s="19"/>
      <c r="D97" s="19"/>
      <c r="E97" s="19"/>
      <c r="F97" s="19"/>
      <c r="G97" s="19"/>
      <c r="H97" s="19"/>
      <c r="I97" s="19"/>
      <c r="J97" s="19"/>
      <c r="K97" s="19"/>
      <c r="L97" s="19"/>
      <c r="M97" s="19"/>
    </row>
    <row r="98">
      <c r="A98" s="19"/>
      <c r="B98" s="19"/>
      <c r="C98" s="19"/>
      <c r="D98" s="19"/>
      <c r="E98" s="19"/>
      <c r="F98" s="19"/>
      <c r="G98" s="19"/>
      <c r="H98" s="19"/>
      <c r="I98" s="19"/>
      <c r="J98" s="19"/>
      <c r="K98" s="19"/>
      <c r="L98" s="19"/>
      <c r="M98" s="19"/>
    </row>
    <row r="99">
      <c r="A99" s="19"/>
      <c r="B99" s="19"/>
      <c r="C99" s="19"/>
      <c r="D99" s="19"/>
      <c r="E99" s="19"/>
      <c r="F99" s="19"/>
      <c r="G99" s="19"/>
      <c r="H99" s="19"/>
      <c r="I99" s="19"/>
      <c r="J99" s="19"/>
      <c r="K99" s="19"/>
      <c r="L99" s="19"/>
      <c r="M99" s="19"/>
    </row>
    <row r="100">
      <c r="A100" s="19"/>
      <c r="B100" s="19"/>
      <c r="C100" s="19"/>
      <c r="D100" s="19"/>
      <c r="E100" s="19"/>
      <c r="F100" s="19"/>
      <c r="G100" s="19"/>
      <c r="H100" s="19"/>
      <c r="I100" s="19"/>
      <c r="J100" s="19"/>
      <c r="K100" s="19"/>
      <c r="L100" s="19"/>
      <c r="M100" s="19"/>
    </row>
    <row r="101">
      <c r="A101" s="19"/>
      <c r="B101" s="19"/>
      <c r="C101" s="19"/>
      <c r="D101" s="19"/>
      <c r="E101" s="19"/>
      <c r="F101" s="19"/>
      <c r="G101" s="19"/>
      <c r="H101" s="19"/>
      <c r="I101" s="19"/>
      <c r="J101" s="19"/>
      <c r="K101" s="19"/>
      <c r="L101" s="19"/>
      <c r="M101" s="19"/>
    </row>
    <row r="102">
      <c r="A102" s="19"/>
      <c r="B102" s="19"/>
      <c r="C102" s="19"/>
      <c r="D102" s="19"/>
      <c r="E102" s="19"/>
      <c r="F102" s="19"/>
      <c r="G102" s="19"/>
      <c r="H102" s="19"/>
      <c r="I102" s="19"/>
      <c r="J102" s="19"/>
      <c r="K102" s="19"/>
      <c r="L102" s="19"/>
      <c r="M102" s="19"/>
    </row>
    <row r="103">
      <c r="A103" s="19"/>
      <c r="B103" s="19"/>
      <c r="C103" s="19"/>
      <c r="D103" s="19"/>
      <c r="E103" s="19"/>
      <c r="F103" s="19"/>
      <c r="G103" s="19"/>
      <c r="H103" s="19"/>
      <c r="I103" s="19"/>
      <c r="J103" s="19"/>
      <c r="K103" s="19"/>
      <c r="L103" s="19"/>
      <c r="M103" s="19"/>
    </row>
    <row r="104">
      <c r="A104" s="19"/>
      <c r="B104" s="19"/>
      <c r="C104" s="19"/>
      <c r="D104" s="19"/>
      <c r="E104" s="19"/>
      <c r="F104" s="19"/>
      <c r="G104" s="19"/>
      <c r="H104" s="19"/>
      <c r="I104" s="19"/>
      <c r="J104" s="19"/>
      <c r="K104" s="19"/>
      <c r="L104" s="19"/>
      <c r="M104" s="19"/>
    </row>
    <row r="105">
      <c r="A105" s="19"/>
      <c r="B105" s="19"/>
      <c r="C105" s="19"/>
      <c r="D105" s="19"/>
      <c r="E105" s="19"/>
      <c r="F105" s="19"/>
      <c r="G105" s="19"/>
      <c r="H105" s="19"/>
      <c r="I105" s="19"/>
      <c r="J105" s="19"/>
      <c r="K105" s="19"/>
      <c r="L105" s="19"/>
      <c r="M105" s="19"/>
    </row>
    <row r="106">
      <c r="A106" s="19"/>
      <c r="B106" s="19"/>
      <c r="C106" s="19"/>
      <c r="D106" s="19"/>
      <c r="E106" s="19"/>
      <c r="F106" s="19"/>
      <c r="G106" s="19"/>
      <c r="H106" s="19"/>
      <c r="I106" s="19"/>
      <c r="J106" s="19"/>
      <c r="K106" s="19"/>
      <c r="L106" s="19"/>
      <c r="M106" s="19"/>
    </row>
    <row r="107">
      <c r="A107" s="19"/>
      <c r="B107" s="19"/>
      <c r="C107" s="19"/>
      <c r="D107" s="19"/>
      <c r="E107" s="19"/>
      <c r="F107" s="19"/>
      <c r="G107" s="19"/>
      <c r="H107" s="19"/>
      <c r="I107" s="19"/>
      <c r="J107" s="19"/>
      <c r="K107" s="19"/>
      <c r="L107" s="19"/>
      <c r="M107" s="19"/>
    </row>
    <row r="108">
      <c r="A108" s="19"/>
      <c r="B108" s="19"/>
      <c r="C108" s="19"/>
      <c r="D108" s="19"/>
      <c r="E108" s="19"/>
      <c r="F108" s="19"/>
      <c r="G108" s="19"/>
      <c r="H108" s="19"/>
      <c r="I108" s="19"/>
      <c r="J108" s="19"/>
      <c r="K108" s="19"/>
      <c r="L108" s="19"/>
      <c r="M108" s="19"/>
    </row>
    <row r="109">
      <c r="A109" s="19"/>
      <c r="B109" s="19"/>
      <c r="C109" s="19"/>
      <c r="D109" s="19"/>
      <c r="E109" s="19"/>
      <c r="F109" s="19"/>
      <c r="G109" s="19"/>
      <c r="H109" s="19"/>
      <c r="I109" s="19"/>
      <c r="J109" s="19"/>
      <c r="K109" s="19"/>
      <c r="L109" s="19"/>
      <c r="M109" s="19"/>
    </row>
    <row r="110">
      <c r="A110" s="19"/>
      <c r="B110" s="19"/>
      <c r="C110" s="19"/>
      <c r="D110" s="19"/>
      <c r="E110" s="19"/>
      <c r="F110" s="19"/>
      <c r="G110" s="19"/>
      <c r="H110" s="19"/>
      <c r="I110" s="19"/>
      <c r="J110" s="19"/>
      <c r="K110" s="19"/>
      <c r="L110" s="19"/>
      <c r="M110" s="19"/>
    </row>
    <row r="111">
      <c r="A111" s="19"/>
      <c r="B111" s="19"/>
      <c r="C111" s="19"/>
      <c r="D111" s="19"/>
      <c r="E111" s="19"/>
      <c r="F111" s="19"/>
      <c r="G111" s="19"/>
      <c r="H111" s="19"/>
      <c r="I111" s="19"/>
      <c r="J111" s="19"/>
      <c r="K111" s="19"/>
      <c r="L111" s="19"/>
      <c r="M111" s="19"/>
    </row>
    <row r="112">
      <c r="A112" s="19"/>
      <c r="B112" s="19"/>
      <c r="C112" s="19"/>
      <c r="D112" s="19"/>
      <c r="E112" s="19"/>
      <c r="F112" s="19"/>
      <c r="G112" s="19"/>
      <c r="H112" s="19"/>
      <c r="I112" s="19"/>
      <c r="J112" s="19"/>
      <c r="K112" s="19"/>
      <c r="L112" s="19"/>
      <c r="M112" s="19"/>
    </row>
    <row r="113">
      <c r="A113" s="19"/>
      <c r="B113" s="19"/>
      <c r="C113" s="19"/>
      <c r="D113" s="19"/>
      <c r="E113" s="19"/>
      <c r="F113" s="19"/>
      <c r="G113" s="19"/>
      <c r="H113" s="19"/>
      <c r="I113" s="19"/>
      <c r="J113" s="19"/>
      <c r="K113" s="19"/>
      <c r="L113" s="19"/>
      <c r="M113" s="19"/>
    </row>
    <row r="114">
      <c r="A114" s="19"/>
      <c r="B114" s="19"/>
      <c r="C114" s="19"/>
      <c r="D114" s="19"/>
      <c r="E114" s="19"/>
      <c r="F114" s="19"/>
      <c r="G114" s="19"/>
      <c r="H114" s="19"/>
      <c r="I114" s="19"/>
      <c r="J114" s="19"/>
      <c r="K114" s="19"/>
      <c r="L114" s="19"/>
      <c r="M114" s="19"/>
    </row>
    <row r="115">
      <c r="A115" s="19"/>
      <c r="B115" s="19"/>
      <c r="C115" s="19"/>
      <c r="D115" s="19"/>
      <c r="E115" s="19"/>
      <c r="F115" s="19"/>
      <c r="G115" s="19"/>
      <c r="H115" s="19"/>
      <c r="I115" s="19"/>
      <c r="J115" s="19"/>
      <c r="K115" s="19"/>
      <c r="L115" s="19"/>
      <c r="M115" s="19"/>
    </row>
    <row r="116">
      <c r="A116" s="19"/>
      <c r="B116" s="19"/>
      <c r="C116" s="19"/>
      <c r="D116" s="19"/>
      <c r="E116" s="19"/>
      <c r="F116" s="19"/>
      <c r="G116" s="19"/>
      <c r="H116" s="19"/>
      <c r="I116" s="19"/>
      <c r="J116" s="19"/>
      <c r="K116" s="19"/>
      <c r="L116" s="19"/>
      <c r="M116" s="19"/>
    </row>
    <row r="117">
      <c r="A117" s="19"/>
      <c r="B117" s="19"/>
      <c r="C117" s="19"/>
      <c r="D117" s="19"/>
      <c r="E117" s="19"/>
      <c r="F117" s="19"/>
      <c r="G117" s="19"/>
      <c r="H117" s="19"/>
      <c r="I117" s="19"/>
      <c r="J117" s="19"/>
      <c r="K117" s="19"/>
      <c r="L117" s="19"/>
      <c r="M117" s="19"/>
    </row>
    <row r="118">
      <c r="A118" s="19"/>
      <c r="B118" s="19"/>
      <c r="C118" s="19"/>
      <c r="D118" s="19"/>
      <c r="E118" s="19"/>
      <c r="F118" s="19"/>
      <c r="G118" s="19"/>
      <c r="H118" s="19"/>
      <c r="I118" s="19"/>
      <c r="J118" s="19"/>
      <c r="K118" s="19"/>
      <c r="L118" s="19"/>
      <c r="M118" s="19"/>
    </row>
    <row r="119">
      <c r="A119" s="19"/>
      <c r="B119" s="19"/>
      <c r="C119" s="19"/>
      <c r="D119" s="19"/>
      <c r="E119" s="19"/>
      <c r="F119" s="19"/>
      <c r="G119" s="19"/>
      <c r="H119" s="19"/>
      <c r="I119" s="19"/>
      <c r="J119" s="19"/>
      <c r="K119" s="19"/>
      <c r="L119" s="19"/>
      <c r="M119" s="19"/>
    </row>
    <row r="120">
      <c r="A120" s="19"/>
      <c r="B120" s="19"/>
      <c r="C120" s="19"/>
      <c r="D120" s="19"/>
      <c r="E120" s="19"/>
      <c r="F120" s="19"/>
      <c r="G120" s="19"/>
      <c r="H120" s="19"/>
      <c r="I120" s="19"/>
      <c r="J120" s="19"/>
      <c r="K120" s="19"/>
      <c r="L120" s="19"/>
      <c r="M120" s="19"/>
    </row>
    <row r="121">
      <c r="A121" s="19"/>
      <c r="B121" s="19"/>
      <c r="C121" s="19"/>
      <c r="D121" s="19"/>
      <c r="E121" s="19"/>
      <c r="F121" s="19"/>
      <c r="G121" s="19"/>
      <c r="H121" s="19"/>
      <c r="I121" s="19"/>
      <c r="J121" s="19"/>
      <c r="K121" s="19"/>
      <c r="L121" s="19"/>
      <c r="M121" s="19"/>
    </row>
    <row r="122">
      <c r="A122" s="19"/>
      <c r="B122" s="19"/>
      <c r="C122" s="19"/>
      <c r="D122" s="19"/>
      <c r="E122" s="19"/>
      <c r="F122" s="19"/>
      <c r="G122" s="19"/>
      <c r="H122" s="19"/>
      <c r="I122" s="19"/>
      <c r="J122" s="19"/>
      <c r="K122" s="19"/>
      <c r="L122" s="19"/>
      <c r="M122" s="19"/>
    </row>
    <row r="123">
      <c r="A123" s="19"/>
      <c r="B123" s="19"/>
      <c r="C123" s="19"/>
      <c r="D123" s="19"/>
      <c r="E123" s="19"/>
      <c r="F123" s="19"/>
      <c r="G123" s="19"/>
      <c r="H123" s="19"/>
      <c r="I123" s="19"/>
      <c r="J123" s="19"/>
      <c r="K123" s="19"/>
      <c r="L123" s="19"/>
      <c r="M123" s="19"/>
    </row>
    <row r="124">
      <c r="A124" s="19"/>
      <c r="B124" s="19"/>
      <c r="C124" s="19"/>
      <c r="D124" s="19"/>
      <c r="E124" s="19"/>
      <c r="F124" s="19"/>
      <c r="G124" s="19"/>
      <c r="H124" s="19"/>
      <c r="I124" s="19"/>
      <c r="J124" s="19"/>
      <c r="K124" s="19"/>
      <c r="L124" s="19"/>
      <c r="M124" s="19"/>
    </row>
    <row r="125">
      <c r="A125" s="19"/>
      <c r="B125" s="19"/>
      <c r="C125" s="19"/>
      <c r="D125" s="19"/>
      <c r="E125" s="19"/>
      <c r="F125" s="19"/>
      <c r="G125" s="19"/>
      <c r="H125" s="19"/>
      <c r="I125" s="19"/>
      <c r="J125" s="19"/>
      <c r="K125" s="19"/>
      <c r="L125" s="19"/>
      <c r="M125" s="19"/>
    </row>
    <row r="126">
      <c r="A126" s="19"/>
      <c r="B126" s="19"/>
      <c r="C126" s="19"/>
      <c r="D126" s="19"/>
      <c r="E126" s="19"/>
      <c r="F126" s="19"/>
      <c r="G126" s="19"/>
      <c r="H126" s="19"/>
      <c r="I126" s="19"/>
      <c r="J126" s="19"/>
      <c r="K126" s="19"/>
      <c r="L126" s="19"/>
      <c r="M126" s="19"/>
    </row>
    <row r="127">
      <c r="A127" s="19"/>
      <c r="B127" s="19"/>
      <c r="C127" s="19"/>
      <c r="D127" s="19"/>
      <c r="E127" s="19"/>
      <c r="F127" s="19"/>
      <c r="G127" s="19"/>
      <c r="H127" s="19"/>
      <c r="I127" s="19"/>
      <c r="J127" s="19"/>
      <c r="K127" s="19"/>
      <c r="L127" s="19"/>
      <c r="M127" s="19"/>
    </row>
    <row r="128">
      <c r="A128" s="19"/>
      <c r="B128" s="19"/>
      <c r="C128" s="19"/>
      <c r="D128" s="19"/>
      <c r="E128" s="19"/>
      <c r="F128" s="19"/>
      <c r="G128" s="19"/>
      <c r="H128" s="19"/>
      <c r="I128" s="19"/>
      <c r="J128" s="19"/>
      <c r="K128" s="19"/>
      <c r="L128" s="19"/>
      <c r="M128" s="19"/>
    </row>
    <row r="129">
      <c r="A129" s="19"/>
      <c r="B129" s="19"/>
      <c r="C129" s="19"/>
      <c r="D129" s="19"/>
      <c r="E129" s="19"/>
      <c r="F129" s="19"/>
      <c r="G129" s="19"/>
      <c r="H129" s="19"/>
      <c r="I129" s="19"/>
      <c r="J129" s="19"/>
      <c r="K129" s="19"/>
      <c r="L129" s="19"/>
      <c r="M129" s="19"/>
    </row>
    <row r="130">
      <c r="A130" s="19"/>
      <c r="B130" s="19"/>
      <c r="C130" s="19"/>
      <c r="D130" s="19"/>
      <c r="E130" s="19"/>
      <c r="F130" s="19"/>
      <c r="G130" s="19"/>
      <c r="H130" s="19"/>
      <c r="I130" s="19"/>
      <c r="J130" s="19"/>
      <c r="K130" s="19"/>
      <c r="L130" s="19"/>
      <c r="M130" s="19"/>
    </row>
    <row r="131">
      <c r="A131" s="19"/>
      <c r="B131" s="19"/>
      <c r="C131" s="19"/>
      <c r="D131" s="19"/>
      <c r="E131" s="19"/>
      <c r="F131" s="19"/>
      <c r="G131" s="19"/>
      <c r="H131" s="19"/>
      <c r="I131" s="19"/>
      <c r="J131" s="19"/>
      <c r="K131" s="19"/>
      <c r="L131" s="19"/>
      <c r="M131" s="19"/>
    </row>
    <row r="132">
      <c r="A132" s="19"/>
      <c r="B132" s="19"/>
      <c r="C132" s="19"/>
      <c r="D132" s="19"/>
      <c r="E132" s="19"/>
      <c r="F132" s="19"/>
      <c r="G132" s="19"/>
      <c r="H132" s="19"/>
      <c r="I132" s="19"/>
      <c r="J132" s="19"/>
      <c r="K132" s="19"/>
      <c r="L132" s="19"/>
      <c r="M132" s="19"/>
    </row>
    <row r="133">
      <c r="A133" s="19"/>
      <c r="B133" s="19"/>
      <c r="C133" s="19"/>
      <c r="D133" s="19"/>
      <c r="E133" s="19"/>
      <c r="F133" s="19"/>
      <c r="G133" s="19"/>
      <c r="H133" s="19"/>
      <c r="I133" s="19"/>
      <c r="J133" s="19"/>
      <c r="K133" s="19"/>
      <c r="L133" s="19"/>
      <c r="M133" s="19"/>
    </row>
    <row r="134">
      <c r="A134" s="19"/>
      <c r="B134" s="19"/>
      <c r="C134" s="19"/>
      <c r="D134" s="19"/>
      <c r="E134" s="19"/>
      <c r="F134" s="19"/>
      <c r="G134" s="19"/>
      <c r="H134" s="19"/>
      <c r="I134" s="19"/>
      <c r="J134" s="19"/>
      <c r="K134" s="19"/>
      <c r="L134" s="19"/>
      <c r="M134" s="19"/>
    </row>
    <row r="135">
      <c r="A135" s="19"/>
      <c r="B135" s="19"/>
      <c r="C135" s="19"/>
      <c r="D135" s="19"/>
      <c r="E135" s="19"/>
      <c r="F135" s="19"/>
      <c r="G135" s="19"/>
      <c r="H135" s="19"/>
      <c r="I135" s="19"/>
      <c r="J135" s="19"/>
      <c r="K135" s="19"/>
      <c r="L135" s="19"/>
      <c r="M135" s="19"/>
    </row>
    <row r="136">
      <c r="A136" s="19"/>
      <c r="B136" s="19"/>
      <c r="C136" s="19"/>
      <c r="D136" s="19"/>
      <c r="E136" s="19"/>
      <c r="F136" s="19"/>
      <c r="G136" s="19"/>
      <c r="H136" s="19"/>
      <c r="I136" s="19"/>
      <c r="J136" s="19"/>
      <c r="K136" s="19"/>
      <c r="L136" s="19"/>
      <c r="M136" s="19"/>
    </row>
    <row r="137">
      <c r="A137" s="19"/>
      <c r="B137" s="19"/>
      <c r="C137" s="19"/>
      <c r="D137" s="19"/>
      <c r="E137" s="19"/>
      <c r="F137" s="19"/>
      <c r="G137" s="19"/>
      <c r="H137" s="19"/>
      <c r="I137" s="19"/>
      <c r="J137" s="19"/>
      <c r="K137" s="19"/>
      <c r="L137" s="19"/>
      <c r="M137" s="19"/>
    </row>
    <row r="138">
      <c r="A138" s="19"/>
      <c r="B138" s="19"/>
      <c r="C138" s="19"/>
      <c r="D138" s="19"/>
      <c r="E138" s="19"/>
      <c r="F138" s="19"/>
      <c r="G138" s="19"/>
      <c r="H138" s="19"/>
      <c r="I138" s="19"/>
      <c r="J138" s="19"/>
      <c r="K138" s="19"/>
      <c r="L138" s="19"/>
      <c r="M138" s="19"/>
    </row>
    <row r="139">
      <c r="A139" s="19"/>
      <c r="B139" s="19"/>
      <c r="C139" s="19"/>
      <c r="D139" s="19"/>
      <c r="E139" s="19"/>
      <c r="F139" s="19"/>
      <c r="G139" s="19"/>
      <c r="H139" s="19"/>
      <c r="I139" s="19"/>
      <c r="J139" s="19"/>
      <c r="K139" s="19"/>
      <c r="L139" s="19"/>
      <c r="M139" s="19"/>
    </row>
    <row r="140">
      <c r="A140" s="19"/>
      <c r="B140" s="19"/>
      <c r="C140" s="19"/>
      <c r="D140" s="19"/>
      <c r="E140" s="19"/>
      <c r="F140" s="19"/>
      <c r="G140" s="19"/>
      <c r="H140" s="19"/>
      <c r="I140" s="19"/>
      <c r="J140" s="19"/>
      <c r="K140" s="19"/>
      <c r="L140" s="19"/>
      <c r="M140" s="19"/>
    </row>
    <row r="141">
      <c r="A141" s="19"/>
      <c r="B141" s="19"/>
      <c r="C141" s="19"/>
      <c r="D141" s="19"/>
      <c r="E141" s="19"/>
      <c r="F141" s="19"/>
      <c r="G141" s="19"/>
      <c r="H141" s="19"/>
      <c r="I141" s="19"/>
      <c r="J141" s="19"/>
      <c r="K141" s="19"/>
      <c r="L141" s="19"/>
      <c r="M141" s="19"/>
    </row>
    <row r="142">
      <c r="A142" s="19"/>
      <c r="B142" s="19"/>
      <c r="C142" s="19"/>
      <c r="D142" s="19"/>
      <c r="E142" s="19"/>
      <c r="F142" s="19"/>
      <c r="G142" s="19"/>
      <c r="H142" s="19"/>
      <c r="I142" s="19"/>
      <c r="J142" s="19"/>
      <c r="K142" s="19"/>
      <c r="L142" s="19"/>
      <c r="M142" s="19"/>
    </row>
    <row r="143">
      <c r="A143" s="19"/>
      <c r="B143" s="19"/>
      <c r="C143" s="19"/>
      <c r="D143" s="19"/>
      <c r="E143" s="19"/>
      <c r="F143" s="19"/>
      <c r="G143" s="19"/>
      <c r="H143" s="19"/>
      <c r="I143" s="19"/>
      <c r="J143" s="19"/>
      <c r="K143" s="19"/>
      <c r="L143" s="19"/>
      <c r="M143" s="19"/>
    </row>
    <row r="144">
      <c r="A144" s="19"/>
      <c r="B144" s="19"/>
      <c r="C144" s="19"/>
      <c r="D144" s="19"/>
      <c r="E144" s="19"/>
      <c r="F144" s="19"/>
      <c r="G144" s="19"/>
      <c r="H144" s="19"/>
      <c r="I144" s="19"/>
      <c r="J144" s="19"/>
      <c r="K144" s="19"/>
      <c r="L144" s="19"/>
      <c r="M144" s="19"/>
    </row>
    <row r="145">
      <c r="A145" s="19"/>
      <c r="B145" s="19"/>
      <c r="C145" s="19"/>
      <c r="D145" s="19"/>
      <c r="E145" s="19"/>
      <c r="F145" s="19"/>
      <c r="G145" s="19"/>
      <c r="H145" s="19"/>
      <c r="I145" s="19"/>
      <c r="J145" s="19"/>
      <c r="K145" s="19"/>
      <c r="L145" s="19"/>
      <c r="M145" s="19"/>
    </row>
    <row r="146">
      <c r="A146" s="19"/>
      <c r="B146" s="19"/>
      <c r="C146" s="19"/>
      <c r="D146" s="19"/>
      <c r="E146" s="19"/>
      <c r="F146" s="19"/>
      <c r="G146" s="19"/>
      <c r="H146" s="19"/>
      <c r="I146" s="19"/>
      <c r="J146" s="19"/>
      <c r="K146" s="19"/>
      <c r="L146" s="19"/>
      <c r="M146" s="19"/>
    </row>
    <row r="147">
      <c r="A147" s="19"/>
      <c r="B147" s="19"/>
      <c r="C147" s="19"/>
      <c r="D147" s="19"/>
      <c r="E147" s="19"/>
      <c r="F147" s="19"/>
      <c r="G147" s="19"/>
      <c r="H147" s="19"/>
      <c r="I147" s="19"/>
      <c r="J147" s="19"/>
      <c r="K147" s="19"/>
      <c r="L147" s="19"/>
      <c r="M147" s="19"/>
    </row>
    <row r="148">
      <c r="A148" s="19"/>
      <c r="B148" s="19"/>
      <c r="C148" s="19"/>
      <c r="D148" s="19"/>
      <c r="E148" s="19"/>
      <c r="F148" s="19"/>
      <c r="G148" s="19"/>
      <c r="H148" s="19"/>
      <c r="I148" s="19"/>
      <c r="J148" s="19"/>
      <c r="K148" s="19"/>
      <c r="L148" s="19"/>
      <c r="M148" s="19"/>
    </row>
    <row r="149">
      <c r="A149" s="19"/>
      <c r="B149" s="19"/>
      <c r="C149" s="19"/>
      <c r="D149" s="19"/>
      <c r="E149" s="19"/>
      <c r="F149" s="19"/>
      <c r="G149" s="19"/>
      <c r="H149" s="19"/>
      <c r="I149" s="19"/>
      <c r="J149" s="19"/>
      <c r="K149" s="19"/>
      <c r="L149" s="19"/>
      <c r="M149" s="19"/>
    </row>
    <row r="150">
      <c r="A150" s="19"/>
      <c r="B150" s="19"/>
      <c r="C150" s="19"/>
      <c r="D150" s="19"/>
      <c r="E150" s="19"/>
      <c r="F150" s="19"/>
      <c r="G150" s="19"/>
      <c r="H150" s="19"/>
      <c r="I150" s="19"/>
      <c r="J150" s="19"/>
      <c r="K150" s="19"/>
      <c r="L150" s="19"/>
      <c r="M150" s="19"/>
    </row>
    <row r="151">
      <c r="A151" s="19"/>
      <c r="B151" s="19"/>
      <c r="C151" s="19"/>
      <c r="D151" s="19"/>
      <c r="E151" s="19"/>
      <c r="F151" s="19"/>
      <c r="G151" s="19"/>
      <c r="H151" s="19"/>
      <c r="I151" s="19"/>
      <c r="J151" s="19"/>
      <c r="K151" s="19"/>
      <c r="L151" s="19"/>
      <c r="M151" s="19"/>
    </row>
    <row r="152">
      <c r="A152" s="19"/>
      <c r="B152" s="19"/>
      <c r="C152" s="19"/>
      <c r="D152" s="19"/>
      <c r="E152" s="19"/>
      <c r="F152" s="19"/>
      <c r="G152" s="19"/>
      <c r="H152" s="19"/>
      <c r="I152" s="19"/>
      <c r="J152" s="19"/>
      <c r="K152" s="19"/>
      <c r="L152" s="19"/>
      <c r="M152" s="19"/>
    </row>
    <row r="153">
      <c r="A153" s="19"/>
      <c r="B153" s="19"/>
      <c r="C153" s="19"/>
      <c r="D153" s="19"/>
      <c r="E153" s="19"/>
      <c r="F153" s="19"/>
      <c r="G153" s="19"/>
      <c r="H153" s="19"/>
      <c r="I153" s="19"/>
      <c r="J153" s="19"/>
      <c r="K153" s="19"/>
      <c r="L153" s="19"/>
      <c r="M153" s="19"/>
    </row>
    <row r="154">
      <c r="A154" s="19"/>
      <c r="B154" s="19"/>
      <c r="C154" s="19"/>
      <c r="D154" s="19"/>
      <c r="E154" s="19"/>
      <c r="F154" s="19"/>
      <c r="G154" s="19"/>
      <c r="H154" s="19"/>
      <c r="I154" s="19"/>
      <c r="J154" s="19"/>
      <c r="K154" s="19"/>
      <c r="L154" s="19"/>
      <c r="M154" s="19"/>
    </row>
    <row r="155">
      <c r="A155" s="19"/>
      <c r="B155" s="19"/>
      <c r="C155" s="19"/>
      <c r="D155" s="19"/>
      <c r="E155" s="19"/>
      <c r="F155" s="19"/>
      <c r="G155" s="19"/>
      <c r="H155" s="19"/>
      <c r="I155" s="19"/>
      <c r="J155" s="19"/>
      <c r="K155" s="19"/>
      <c r="L155" s="19"/>
      <c r="M155" s="19"/>
    </row>
    <row r="156">
      <c r="A156" s="19"/>
      <c r="B156" s="19"/>
      <c r="C156" s="19"/>
      <c r="D156" s="19"/>
      <c r="E156" s="19"/>
      <c r="F156" s="19"/>
      <c r="G156" s="19"/>
      <c r="H156" s="19"/>
      <c r="I156" s="19"/>
      <c r="J156" s="19"/>
      <c r="K156" s="19"/>
      <c r="L156" s="19"/>
      <c r="M156" s="19"/>
    </row>
    <row r="157">
      <c r="A157" s="19"/>
      <c r="B157" s="19"/>
      <c r="C157" s="19"/>
      <c r="D157" s="19"/>
      <c r="E157" s="19"/>
      <c r="F157" s="19"/>
      <c r="G157" s="19"/>
      <c r="H157" s="19"/>
      <c r="I157" s="19"/>
      <c r="J157" s="19"/>
      <c r="K157" s="19"/>
      <c r="L157" s="19"/>
      <c r="M157" s="19"/>
    </row>
    <row r="158">
      <c r="A158" s="19"/>
      <c r="B158" s="19"/>
      <c r="C158" s="19"/>
      <c r="D158" s="19"/>
      <c r="E158" s="19"/>
      <c r="F158" s="19"/>
      <c r="G158" s="19"/>
      <c r="H158" s="19"/>
      <c r="I158" s="19"/>
      <c r="J158" s="19"/>
      <c r="K158" s="19"/>
      <c r="L158" s="19"/>
      <c r="M158" s="19"/>
    </row>
    <row r="159">
      <c r="A159" s="19"/>
      <c r="B159" s="19"/>
      <c r="C159" s="19"/>
      <c r="D159" s="19"/>
      <c r="E159" s="19"/>
      <c r="F159" s="19"/>
      <c r="G159" s="19"/>
      <c r="H159" s="19"/>
      <c r="I159" s="19"/>
      <c r="J159" s="19"/>
      <c r="K159" s="19"/>
      <c r="L159" s="19"/>
      <c r="M159" s="19"/>
    </row>
    <row r="160">
      <c r="A160" s="19"/>
      <c r="B160" s="19"/>
      <c r="C160" s="19"/>
      <c r="D160" s="19"/>
      <c r="E160" s="19"/>
      <c r="F160" s="19"/>
      <c r="G160" s="19"/>
      <c r="H160" s="19"/>
      <c r="I160" s="19"/>
      <c r="J160" s="19"/>
      <c r="K160" s="19"/>
      <c r="L160" s="19"/>
      <c r="M160" s="19"/>
    </row>
    <row r="161">
      <c r="A161" s="19"/>
      <c r="B161" s="19"/>
      <c r="C161" s="19"/>
      <c r="D161" s="19"/>
      <c r="E161" s="19"/>
      <c r="F161" s="19"/>
      <c r="G161" s="19"/>
      <c r="H161" s="19"/>
      <c r="I161" s="19"/>
      <c r="J161" s="19"/>
      <c r="K161" s="19"/>
      <c r="L161" s="19"/>
      <c r="M161" s="19"/>
    </row>
    <row r="162">
      <c r="A162" s="19"/>
      <c r="B162" s="19"/>
      <c r="C162" s="19"/>
      <c r="D162" s="19"/>
      <c r="E162" s="19"/>
      <c r="F162" s="19"/>
      <c r="G162" s="19"/>
      <c r="H162" s="19"/>
      <c r="I162" s="19"/>
      <c r="J162" s="19"/>
      <c r="K162" s="19"/>
      <c r="L162" s="19"/>
      <c r="M162" s="19"/>
    </row>
    <row r="163">
      <c r="A163" s="19"/>
      <c r="B163" s="19"/>
      <c r="C163" s="19"/>
      <c r="D163" s="19"/>
      <c r="E163" s="19"/>
      <c r="F163" s="19"/>
      <c r="G163" s="19"/>
      <c r="H163" s="19"/>
      <c r="I163" s="19"/>
      <c r="J163" s="19"/>
      <c r="K163" s="19"/>
      <c r="L163" s="19"/>
      <c r="M163" s="19"/>
    </row>
    <row r="164">
      <c r="A164" s="19"/>
      <c r="B164" s="19"/>
      <c r="C164" s="19"/>
      <c r="D164" s="19"/>
      <c r="E164" s="19"/>
      <c r="F164" s="19"/>
      <c r="G164" s="19"/>
      <c r="H164" s="19"/>
      <c r="I164" s="19"/>
      <c r="J164" s="19"/>
      <c r="K164" s="19"/>
      <c r="L164" s="19"/>
      <c r="M164" s="19"/>
    </row>
    <row r="165">
      <c r="A165" s="19"/>
      <c r="B165" s="19"/>
      <c r="C165" s="19"/>
      <c r="D165" s="19"/>
      <c r="E165" s="19"/>
      <c r="F165" s="19"/>
      <c r="G165" s="19"/>
      <c r="H165" s="19"/>
      <c r="I165" s="19"/>
      <c r="J165" s="19"/>
      <c r="K165" s="19"/>
      <c r="L165" s="19"/>
      <c r="M165" s="19"/>
    </row>
    <row r="166">
      <c r="A166" s="19"/>
      <c r="B166" s="19"/>
      <c r="C166" s="19"/>
      <c r="D166" s="19"/>
      <c r="E166" s="19"/>
      <c r="F166" s="19"/>
      <c r="G166" s="19"/>
      <c r="H166" s="19"/>
      <c r="I166" s="19"/>
      <c r="J166" s="19"/>
      <c r="K166" s="19"/>
      <c r="L166" s="19"/>
      <c r="M166" s="19"/>
    </row>
    <row r="167">
      <c r="A167" s="19"/>
      <c r="B167" s="19"/>
      <c r="C167" s="19"/>
      <c r="D167" s="19"/>
      <c r="E167" s="19"/>
      <c r="F167" s="19"/>
      <c r="G167" s="19"/>
      <c r="H167" s="19"/>
      <c r="I167" s="19"/>
      <c r="J167" s="19"/>
      <c r="K167" s="19"/>
      <c r="L167" s="19"/>
      <c r="M167" s="19"/>
    </row>
    <row r="168">
      <c r="A168" s="19"/>
      <c r="B168" s="19"/>
      <c r="C168" s="19"/>
      <c r="D168" s="19"/>
      <c r="E168" s="19"/>
      <c r="F168" s="19"/>
      <c r="G168" s="19"/>
      <c r="H168" s="19"/>
      <c r="I168" s="19"/>
      <c r="J168" s="19"/>
      <c r="K168" s="19"/>
      <c r="L168" s="19"/>
      <c r="M168" s="19"/>
    </row>
    <row r="169">
      <c r="A169" s="19"/>
      <c r="B169" s="19"/>
      <c r="C169" s="19"/>
      <c r="D169" s="19"/>
      <c r="E169" s="19"/>
      <c r="F169" s="19"/>
      <c r="G169" s="19"/>
      <c r="H169" s="19"/>
      <c r="I169" s="19"/>
      <c r="J169" s="19"/>
      <c r="K169" s="19"/>
      <c r="L169" s="19"/>
      <c r="M169" s="19"/>
    </row>
    <row r="170">
      <c r="A170" s="19"/>
      <c r="B170" s="19"/>
      <c r="C170" s="19"/>
      <c r="D170" s="19"/>
      <c r="E170" s="19"/>
      <c r="F170" s="19"/>
      <c r="G170" s="19"/>
      <c r="H170" s="19"/>
      <c r="I170" s="19"/>
      <c r="J170" s="19"/>
      <c r="K170" s="19"/>
      <c r="L170" s="19"/>
      <c r="M170" s="19"/>
    </row>
    <row r="171">
      <c r="A171" s="19"/>
      <c r="B171" s="19"/>
      <c r="C171" s="19"/>
      <c r="D171" s="19"/>
      <c r="E171" s="19"/>
      <c r="F171" s="19"/>
      <c r="G171" s="19"/>
      <c r="H171" s="19"/>
      <c r="I171" s="19"/>
      <c r="J171" s="19"/>
      <c r="K171" s="19"/>
      <c r="L171" s="19"/>
      <c r="M171" s="19"/>
    </row>
    <row r="172">
      <c r="A172" s="19"/>
      <c r="B172" s="19"/>
      <c r="C172" s="19"/>
      <c r="D172" s="19"/>
      <c r="E172" s="19"/>
      <c r="F172" s="19"/>
      <c r="G172" s="19"/>
      <c r="H172" s="19"/>
      <c r="I172" s="19"/>
      <c r="J172" s="19"/>
      <c r="K172" s="19"/>
      <c r="L172" s="19"/>
      <c r="M172" s="19"/>
    </row>
    <row r="173">
      <c r="A173" s="19"/>
      <c r="B173" s="19"/>
      <c r="C173" s="19"/>
      <c r="D173" s="19"/>
      <c r="E173" s="19"/>
      <c r="F173" s="19"/>
      <c r="G173" s="19"/>
      <c r="H173" s="19"/>
      <c r="I173" s="19"/>
      <c r="J173" s="19"/>
      <c r="K173" s="19"/>
      <c r="L173" s="19"/>
      <c r="M173" s="19"/>
    </row>
    <row r="174">
      <c r="A174" s="19"/>
      <c r="B174" s="19"/>
      <c r="C174" s="19"/>
      <c r="D174" s="19"/>
      <c r="E174" s="19"/>
      <c r="F174" s="19"/>
      <c r="G174" s="19"/>
      <c r="H174" s="19"/>
      <c r="I174" s="19"/>
      <c r="J174" s="19"/>
      <c r="K174" s="19"/>
      <c r="L174" s="19"/>
      <c r="M174" s="19"/>
    </row>
    <row r="175">
      <c r="A175" s="19"/>
      <c r="B175" s="19"/>
      <c r="C175" s="19"/>
      <c r="D175" s="19"/>
      <c r="E175" s="19"/>
      <c r="F175" s="19"/>
      <c r="G175" s="19"/>
      <c r="H175" s="19"/>
      <c r="I175" s="19"/>
      <c r="J175" s="19"/>
      <c r="K175" s="19"/>
      <c r="L175" s="19"/>
      <c r="M175" s="19"/>
    </row>
    <row r="176">
      <c r="A176" s="19"/>
      <c r="B176" s="19"/>
      <c r="C176" s="19"/>
      <c r="D176" s="19"/>
      <c r="E176" s="19"/>
      <c r="F176" s="19"/>
      <c r="G176" s="19"/>
      <c r="H176" s="19"/>
      <c r="I176" s="19"/>
      <c r="J176" s="19"/>
      <c r="K176" s="19"/>
      <c r="L176" s="19"/>
      <c r="M176" s="19"/>
    </row>
    <row r="177">
      <c r="A177" s="19"/>
      <c r="B177" s="19"/>
      <c r="C177" s="19"/>
      <c r="D177" s="19"/>
      <c r="E177" s="19"/>
      <c r="F177" s="19"/>
      <c r="G177" s="19"/>
      <c r="H177" s="19"/>
      <c r="I177" s="19"/>
      <c r="J177" s="19"/>
      <c r="K177" s="19"/>
      <c r="L177" s="19"/>
      <c r="M177" s="19"/>
    </row>
    <row r="178">
      <c r="A178" s="19"/>
      <c r="B178" s="19"/>
      <c r="C178" s="19"/>
      <c r="D178" s="19"/>
      <c r="E178" s="19"/>
      <c r="F178" s="19"/>
      <c r="G178" s="19"/>
      <c r="H178" s="19"/>
      <c r="I178" s="19"/>
      <c r="J178" s="19"/>
      <c r="K178" s="19"/>
      <c r="L178" s="19"/>
      <c r="M178" s="19"/>
    </row>
    <row r="179">
      <c r="A179" s="19"/>
      <c r="B179" s="19"/>
      <c r="C179" s="19"/>
      <c r="D179" s="19"/>
      <c r="E179" s="19"/>
      <c r="F179" s="19"/>
      <c r="G179" s="19"/>
      <c r="H179" s="19"/>
      <c r="I179" s="19"/>
      <c r="J179" s="19"/>
      <c r="K179" s="19"/>
      <c r="L179" s="19"/>
      <c r="M179" s="19"/>
    </row>
    <row r="180">
      <c r="A180" s="19"/>
      <c r="B180" s="19"/>
      <c r="C180" s="19"/>
      <c r="D180" s="19"/>
      <c r="E180" s="19"/>
      <c r="F180" s="19"/>
      <c r="G180" s="19"/>
      <c r="H180" s="19"/>
      <c r="I180" s="19"/>
      <c r="J180" s="19"/>
      <c r="K180" s="19"/>
      <c r="L180" s="19"/>
      <c r="M180" s="19"/>
    </row>
    <row r="181">
      <c r="A181" s="19"/>
      <c r="B181" s="19"/>
      <c r="C181" s="19"/>
      <c r="D181" s="19"/>
      <c r="E181" s="19"/>
      <c r="F181" s="19"/>
      <c r="G181" s="19"/>
      <c r="H181" s="19"/>
      <c r="I181" s="19"/>
      <c r="J181" s="19"/>
      <c r="K181" s="19"/>
      <c r="L181" s="19"/>
      <c r="M181" s="19"/>
    </row>
    <row r="182">
      <c r="A182" s="19"/>
      <c r="B182" s="19"/>
      <c r="C182" s="19"/>
      <c r="D182" s="19"/>
      <c r="E182" s="19"/>
      <c r="F182" s="19"/>
      <c r="G182" s="19"/>
      <c r="H182" s="19"/>
      <c r="I182" s="19"/>
      <c r="J182" s="19"/>
      <c r="K182" s="19"/>
      <c r="L182" s="19"/>
      <c r="M182" s="19"/>
    </row>
    <row r="183">
      <c r="A183" s="19"/>
      <c r="B183" s="19"/>
      <c r="C183" s="19"/>
      <c r="D183" s="19"/>
      <c r="E183" s="19"/>
      <c r="F183" s="19"/>
      <c r="G183" s="19"/>
      <c r="H183" s="19"/>
      <c r="I183" s="19"/>
      <c r="J183" s="19"/>
      <c r="K183" s="19"/>
      <c r="L183" s="19"/>
      <c r="M183" s="19"/>
    </row>
    <row r="184">
      <c r="A184" s="19"/>
      <c r="B184" s="19"/>
      <c r="C184" s="19"/>
      <c r="D184" s="19"/>
      <c r="E184" s="19"/>
      <c r="F184" s="19"/>
      <c r="G184" s="19"/>
      <c r="H184" s="19"/>
      <c r="I184" s="19"/>
      <c r="J184" s="19"/>
      <c r="K184" s="19"/>
      <c r="L184" s="19"/>
      <c r="M184" s="19"/>
    </row>
    <row r="185">
      <c r="A185" s="19"/>
      <c r="B185" s="19"/>
      <c r="C185" s="19"/>
      <c r="D185" s="19"/>
      <c r="E185" s="19"/>
      <c r="F185" s="19"/>
      <c r="G185" s="19"/>
      <c r="H185" s="19"/>
      <c r="I185" s="19"/>
      <c r="J185" s="19"/>
      <c r="K185" s="19"/>
      <c r="L185" s="19"/>
      <c r="M185" s="19"/>
    </row>
    <row r="186">
      <c r="A186" s="19"/>
      <c r="B186" s="19"/>
      <c r="C186" s="19"/>
      <c r="D186" s="19"/>
      <c r="E186" s="19"/>
      <c r="F186" s="19"/>
      <c r="G186" s="19"/>
      <c r="H186" s="19"/>
      <c r="I186" s="19"/>
      <c r="J186" s="19"/>
      <c r="K186" s="19"/>
      <c r="L186" s="19"/>
      <c r="M186" s="19"/>
    </row>
    <row r="187">
      <c r="A187" s="19"/>
      <c r="B187" s="19"/>
      <c r="C187" s="19"/>
      <c r="D187" s="19"/>
      <c r="E187" s="19"/>
      <c r="F187" s="19"/>
      <c r="G187" s="19"/>
      <c r="H187" s="19"/>
      <c r="I187" s="19"/>
      <c r="J187" s="19"/>
      <c r="K187" s="19"/>
      <c r="L187" s="19"/>
      <c r="M187" s="19"/>
    </row>
    <row r="188">
      <c r="A188" s="19"/>
      <c r="B188" s="19"/>
      <c r="C188" s="19"/>
      <c r="D188" s="19"/>
      <c r="E188" s="19"/>
      <c r="F188" s="19"/>
      <c r="G188" s="19"/>
      <c r="H188" s="19"/>
      <c r="I188" s="19"/>
      <c r="J188" s="19"/>
      <c r="K188" s="19"/>
      <c r="L188" s="19"/>
      <c r="M188" s="19"/>
    </row>
    <row r="189">
      <c r="A189" s="19"/>
      <c r="B189" s="19"/>
      <c r="C189" s="19"/>
      <c r="D189" s="19"/>
      <c r="E189" s="19"/>
      <c r="F189" s="19"/>
      <c r="G189" s="19"/>
      <c r="H189" s="19"/>
      <c r="I189" s="19"/>
      <c r="J189" s="19"/>
      <c r="K189" s="19"/>
      <c r="L189" s="19"/>
      <c r="M189" s="19"/>
    </row>
    <row r="190">
      <c r="A190" s="19"/>
      <c r="B190" s="19"/>
      <c r="C190" s="19"/>
      <c r="D190" s="19"/>
      <c r="E190" s="19"/>
      <c r="F190" s="19"/>
      <c r="G190" s="19"/>
      <c r="H190" s="19"/>
      <c r="I190" s="19"/>
      <c r="J190" s="19"/>
      <c r="K190" s="19"/>
      <c r="L190" s="19"/>
      <c r="M190" s="19"/>
    </row>
    <row r="191">
      <c r="A191" s="19"/>
      <c r="B191" s="19"/>
      <c r="C191" s="19"/>
      <c r="D191" s="19"/>
      <c r="E191" s="19"/>
      <c r="F191" s="19"/>
      <c r="G191" s="19"/>
      <c r="H191" s="19"/>
      <c r="I191" s="19"/>
      <c r="J191" s="19"/>
      <c r="K191" s="19"/>
      <c r="L191" s="19"/>
      <c r="M191" s="19"/>
    </row>
    <row r="192">
      <c r="A192" s="19"/>
      <c r="B192" s="19"/>
      <c r="C192" s="19"/>
      <c r="D192" s="19"/>
      <c r="E192" s="19"/>
      <c r="F192" s="19"/>
      <c r="G192" s="19"/>
      <c r="H192" s="19"/>
      <c r="I192" s="19"/>
      <c r="J192" s="19"/>
      <c r="K192" s="19"/>
      <c r="L192" s="19"/>
      <c r="M192" s="19"/>
    </row>
    <row r="193">
      <c r="A193" s="19"/>
      <c r="B193" s="19"/>
      <c r="C193" s="19"/>
      <c r="D193" s="19"/>
      <c r="E193" s="19"/>
      <c r="F193" s="19"/>
      <c r="G193" s="19"/>
      <c r="H193" s="19"/>
      <c r="I193" s="19"/>
      <c r="J193" s="19"/>
      <c r="K193" s="19"/>
      <c r="L193" s="19"/>
      <c r="M193" s="19"/>
    </row>
    <row r="194">
      <c r="A194" s="19"/>
      <c r="B194" s="19"/>
      <c r="C194" s="19"/>
      <c r="D194" s="19"/>
      <c r="E194" s="19"/>
      <c r="F194" s="19"/>
      <c r="G194" s="19"/>
      <c r="H194" s="19"/>
      <c r="I194" s="19"/>
      <c r="J194" s="19"/>
      <c r="K194" s="19"/>
      <c r="L194" s="19"/>
      <c r="M194" s="19"/>
    </row>
    <row r="195">
      <c r="A195" s="19"/>
      <c r="B195" s="19"/>
      <c r="C195" s="19"/>
      <c r="D195" s="19"/>
      <c r="E195" s="19"/>
      <c r="F195" s="19"/>
      <c r="G195" s="19"/>
      <c r="H195" s="19"/>
      <c r="I195" s="19"/>
      <c r="J195" s="19"/>
      <c r="K195" s="19"/>
      <c r="L195" s="19"/>
      <c r="M195" s="19"/>
    </row>
    <row r="196">
      <c r="A196" s="19"/>
      <c r="B196" s="19"/>
      <c r="C196" s="19"/>
      <c r="D196" s="19"/>
      <c r="E196" s="19"/>
      <c r="F196" s="19"/>
      <c r="G196" s="19"/>
      <c r="H196" s="19"/>
      <c r="I196" s="19"/>
      <c r="J196" s="19"/>
      <c r="K196" s="19"/>
      <c r="L196" s="19"/>
      <c r="M196" s="19"/>
    </row>
    <row r="197">
      <c r="A197" s="19"/>
      <c r="B197" s="19"/>
      <c r="C197" s="19"/>
      <c r="D197" s="19"/>
      <c r="E197" s="19"/>
      <c r="F197" s="19"/>
      <c r="G197" s="19"/>
      <c r="H197" s="19"/>
      <c r="I197" s="19"/>
      <c r="J197" s="19"/>
      <c r="K197" s="19"/>
      <c r="L197" s="19"/>
      <c r="M197" s="19"/>
    </row>
    <row r="198">
      <c r="A198" s="19"/>
      <c r="B198" s="19"/>
      <c r="C198" s="19"/>
      <c r="D198" s="19"/>
      <c r="E198" s="19"/>
      <c r="F198" s="19"/>
      <c r="G198" s="19"/>
      <c r="H198" s="19"/>
      <c r="I198" s="19"/>
      <c r="J198" s="19"/>
      <c r="K198" s="19"/>
      <c r="L198" s="19"/>
      <c r="M198" s="19"/>
    </row>
    <row r="199">
      <c r="A199" s="19"/>
      <c r="B199" s="19"/>
      <c r="C199" s="19"/>
      <c r="D199" s="19"/>
      <c r="E199" s="19"/>
      <c r="F199" s="19"/>
      <c r="G199" s="19"/>
      <c r="H199" s="19"/>
      <c r="I199" s="19"/>
      <c r="J199" s="19"/>
      <c r="K199" s="19"/>
      <c r="L199" s="19"/>
      <c r="M199" s="19"/>
    </row>
    <row r="200">
      <c r="A200" s="19"/>
      <c r="B200" s="19"/>
      <c r="C200" s="19"/>
      <c r="D200" s="19"/>
      <c r="E200" s="19"/>
      <c r="F200" s="19"/>
      <c r="G200" s="19"/>
      <c r="H200" s="19"/>
      <c r="I200" s="19"/>
      <c r="J200" s="19"/>
      <c r="K200" s="19"/>
      <c r="L200" s="19"/>
      <c r="M200" s="19"/>
    </row>
    <row r="201">
      <c r="A201" s="19"/>
      <c r="B201" s="19"/>
      <c r="C201" s="19"/>
      <c r="D201" s="19"/>
      <c r="E201" s="19"/>
      <c r="F201" s="19"/>
      <c r="G201" s="19"/>
      <c r="H201" s="19"/>
      <c r="I201" s="19"/>
      <c r="J201" s="19"/>
      <c r="K201" s="19"/>
      <c r="L201" s="19"/>
      <c r="M201" s="19"/>
    </row>
    <row r="202">
      <c r="A202" s="19"/>
      <c r="B202" s="19"/>
      <c r="C202" s="19"/>
      <c r="D202" s="19"/>
      <c r="E202" s="19"/>
      <c r="F202" s="19"/>
      <c r="G202" s="19"/>
      <c r="H202" s="19"/>
      <c r="I202" s="19"/>
      <c r="J202" s="19"/>
      <c r="K202" s="19"/>
      <c r="L202" s="19"/>
      <c r="M202" s="19"/>
    </row>
    <row r="203">
      <c r="A203" s="19"/>
      <c r="B203" s="19"/>
      <c r="C203" s="19"/>
      <c r="D203" s="19"/>
      <c r="E203" s="19"/>
      <c r="F203" s="19"/>
      <c r="G203" s="19"/>
      <c r="H203" s="19"/>
      <c r="I203" s="19"/>
      <c r="J203" s="19"/>
      <c r="K203" s="19"/>
      <c r="L203" s="19"/>
      <c r="M203" s="19"/>
    </row>
    <row r="204">
      <c r="A204" s="19"/>
      <c r="B204" s="19"/>
      <c r="C204" s="19"/>
      <c r="D204" s="19"/>
      <c r="E204" s="19"/>
      <c r="F204" s="19"/>
      <c r="G204" s="19"/>
      <c r="H204" s="19"/>
      <c r="I204" s="19"/>
      <c r="J204" s="19"/>
      <c r="K204" s="19"/>
      <c r="L204" s="19"/>
      <c r="M204" s="19"/>
    </row>
    <row r="205">
      <c r="A205" s="19"/>
      <c r="B205" s="19"/>
      <c r="C205" s="19"/>
      <c r="D205" s="19"/>
      <c r="E205" s="19"/>
      <c r="F205" s="19"/>
      <c r="G205" s="19"/>
      <c r="H205" s="19"/>
      <c r="I205" s="19"/>
      <c r="J205" s="19"/>
      <c r="K205" s="19"/>
      <c r="L205" s="19"/>
      <c r="M205" s="19"/>
    </row>
    <row r="206">
      <c r="A206" s="19"/>
      <c r="B206" s="19"/>
      <c r="C206" s="19"/>
      <c r="D206" s="19"/>
      <c r="E206" s="19"/>
      <c r="F206" s="19"/>
      <c r="G206" s="19"/>
      <c r="H206" s="19"/>
      <c r="I206" s="19"/>
      <c r="J206" s="19"/>
      <c r="K206" s="19"/>
      <c r="L206" s="19"/>
      <c r="M206" s="19"/>
    </row>
    <row r="207">
      <c r="A207" s="19"/>
      <c r="B207" s="19"/>
      <c r="C207" s="19"/>
      <c r="D207" s="19"/>
      <c r="E207" s="19"/>
      <c r="F207" s="19"/>
      <c r="G207" s="19"/>
      <c r="H207" s="19"/>
      <c r="I207" s="19"/>
      <c r="J207" s="19"/>
      <c r="K207" s="19"/>
      <c r="L207" s="19"/>
      <c r="M207" s="19"/>
    </row>
    <row r="208">
      <c r="A208" s="19"/>
      <c r="B208" s="19"/>
      <c r="C208" s="19"/>
      <c r="D208" s="19"/>
      <c r="E208" s="19"/>
      <c r="F208" s="19"/>
      <c r="G208" s="19"/>
      <c r="H208" s="19"/>
      <c r="I208" s="19"/>
      <c r="J208" s="19"/>
      <c r="K208" s="19"/>
      <c r="L208" s="19"/>
      <c r="M208" s="19"/>
    </row>
    <row r="209">
      <c r="A209" s="19"/>
      <c r="B209" s="19"/>
      <c r="C209" s="19"/>
      <c r="D209" s="19"/>
      <c r="E209" s="19"/>
      <c r="F209" s="19"/>
      <c r="G209" s="19"/>
      <c r="H209" s="19"/>
      <c r="I209" s="19"/>
      <c r="J209" s="19"/>
      <c r="K209" s="19"/>
      <c r="L209" s="19"/>
      <c r="M209" s="19"/>
    </row>
    <row r="210">
      <c r="A210" s="19"/>
      <c r="B210" s="19"/>
      <c r="C210" s="19"/>
      <c r="D210" s="19"/>
      <c r="E210" s="19"/>
      <c r="F210" s="19"/>
      <c r="G210" s="19"/>
      <c r="H210" s="19"/>
      <c r="I210" s="19"/>
      <c r="J210" s="19"/>
      <c r="K210" s="19"/>
      <c r="L210" s="19"/>
      <c r="M210" s="19"/>
    </row>
    <row r="211">
      <c r="A211" s="19"/>
      <c r="B211" s="19"/>
      <c r="C211" s="19"/>
      <c r="D211" s="19"/>
      <c r="E211" s="19"/>
      <c r="F211" s="19"/>
      <c r="G211" s="19"/>
      <c r="H211" s="19"/>
      <c r="I211" s="19"/>
      <c r="J211" s="19"/>
      <c r="K211" s="19"/>
      <c r="L211" s="19"/>
      <c r="M211" s="19"/>
    </row>
    <row r="212">
      <c r="A212" s="19"/>
      <c r="B212" s="19"/>
      <c r="C212" s="19"/>
      <c r="D212" s="19"/>
      <c r="E212" s="19"/>
      <c r="F212" s="19"/>
      <c r="G212" s="19"/>
      <c r="H212" s="19"/>
      <c r="I212" s="19"/>
      <c r="J212" s="19"/>
      <c r="K212" s="19"/>
      <c r="L212" s="19"/>
      <c r="M212" s="19"/>
    </row>
    <row r="213">
      <c r="A213" s="19"/>
      <c r="B213" s="19"/>
      <c r="C213" s="19"/>
      <c r="D213" s="19"/>
      <c r="E213" s="19"/>
      <c r="F213" s="19"/>
      <c r="G213" s="19"/>
      <c r="H213" s="19"/>
      <c r="I213" s="19"/>
      <c r="J213" s="19"/>
      <c r="K213" s="19"/>
      <c r="L213" s="19"/>
      <c r="M213" s="19"/>
    </row>
    <row r="214">
      <c r="A214" s="19"/>
      <c r="B214" s="19"/>
      <c r="C214" s="19"/>
      <c r="D214" s="19"/>
      <c r="E214" s="19"/>
      <c r="F214" s="19"/>
      <c r="G214" s="19"/>
      <c r="H214" s="19"/>
      <c r="I214" s="19"/>
      <c r="J214" s="19"/>
      <c r="K214" s="19"/>
      <c r="L214" s="19"/>
      <c r="M214" s="19"/>
    </row>
    <row r="215">
      <c r="A215" s="19"/>
      <c r="B215" s="19"/>
      <c r="C215" s="19"/>
      <c r="D215" s="19"/>
      <c r="E215" s="19"/>
      <c r="F215" s="19"/>
      <c r="G215" s="19"/>
      <c r="H215" s="19"/>
      <c r="I215" s="19"/>
      <c r="J215" s="19"/>
      <c r="K215" s="19"/>
      <c r="L215" s="19"/>
      <c r="M215" s="19"/>
    </row>
    <row r="216">
      <c r="A216" s="19"/>
      <c r="B216" s="19"/>
      <c r="C216" s="19"/>
      <c r="D216" s="19"/>
      <c r="E216" s="19"/>
      <c r="F216" s="19"/>
      <c r="G216" s="19"/>
      <c r="H216" s="19"/>
      <c r="I216" s="19"/>
      <c r="J216" s="19"/>
      <c r="K216" s="19"/>
      <c r="L216" s="19"/>
      <c r="M216" s="19"/>
    </row>
    <row r="217">
      <c r="A217" s="19"/>
      <c r="B217" s="19"/>
      <c r="C217" s="19"/>
      <c r="D217" s="19"/>
      <c r="E217" s="19"/>
      <c r="F217" s="19"/>
      <c r="G217" s="19"/>
      <c r="H217" s="19"/>
      <c r="I217" s="19"/>
      <c r="J217" s="19"/>
      <c r="K217" s="19"/>
      <c r="L217" s="19"/>
      <c r="M217" s="19"/>
    </row>
    <row r="218">
      <c r="A218" s="19"/>
      <c r="B218" s="19"/>
      <c r="C218" s="19"/>
      <c r="D218" s="19"/>
      <c r="E218" s="19"/>
      <c r="F218" s="19"/>
      <c r="G218" s="19"/>
      <c r="H218" s="19"/>
      <c r="I218" s="19"/>
      <c r="J218" s="19"/>
      <c r="K218" s="19"/>
      <c r="L218" s="19"/>
      <c r="M218" s="19"/>
    </row>
    <row r="219">
      <c r="A219" s="19"/>
      <c r="B219" s="19"/>
      <c r="C219" s="19"/>
      <c r="D219" s="19"/>
      <c r="E219" s="19"/>
      <c r="F219" s="19"/>
      <c r="G219" s="19"/>
      <c r="H219" s="19"/>
      <c r="I219" s="19"/>
      <c r="J219" s="19"/>
      <c r="K219" s="19"/>
      <c r="L219" s="19"/>
      <c r="M219" s="19"/>
    </row>
    <row r="220">
      <c r="A220" s="19"/>
      <c r="B220" s="19"/>
      <c r="C220" s="19"/>
      <c r="D220" s="19"/>
      <c r="E220" s="19"/>
      <c r="F220" s="19"/>
      <c r="G220" s="19"/>
      <c r="H220" s="19"/>
      <c r="I220" s="19"/>
      <c r="J220" s="19"/>
      <c r="K220" s="19"/>
      <c r="L220" s="19"/>
      <c r="M220" s="19"/>
    </row>
    <row r="221">
      <c r="A221" s="19"/>
      <c r="B221" s="19"/>
      <c r="C221" s="19"/>
      <c r="D221" s="19"/>
      <c r="E221" s="19"/>
      <c r="F221" s="19"/>
      <c r="G221" s="19"/>
      <c r="H221" s="19"/>
      <c r="I221" s="19"/>
      <c r="J221" s="19"/>
      <c r="K221" s="19"/>
      <c r="L221" s="19"/>
      <c r="M221" s="19"/>
    </row>
    <row r="222">
      <c r="A222" s="19"/>
      <c r="B222" s="19"/>
      <c r="C222" s="19"/>
      <c r="D222" s="19"/>
      <c r="E222" s="19"/>
      <c r="F222" s="19"/>
      <c r="G222" s="19"/>
      <c r="H222" s="19"/>
      <c r="I222" s="19"/>
      <c r="J222" s="19"/>
      <c r="K222" s="19"/>
      <c r="L222" s="19"/>
      <c r="M222" s="19"/>
    </row>
    <row r="223">
      <c r="A223" s="19"/>
      <c r="B223" s="19"/>
      <c r="C223" s="19"/>
      <c r="D223" s="19"/>
      <c r="E223" s="19"/>
      <c r="F223" s="19"/>
      <c r="G223" s="19"/>
      <c r="H223" s="19"/>
      <c r="I223" s="19"/>
      <c r="J223" s="19"/>
      <c r="K223" s="19"/>
      <c r="L223" s="19"/>
      <c r="M223" s="19"/>
    </row>
    <row r="224">
      <c r="A224" s="19"/>
      <c r="B224" s="19"/>
      <c r="C224" s="19"/>
      <c r="D224" s="19"/>
      <c r="E224" s="19"/>
      <c r="F224" s="19"/>
      <c r="G224" s="19"/>
      <c r="H224" s="19"/>
      <c r="I224" s="19"/>
      <c r="J224" s="19"/>
      <c r="K224" s="19"/>
      <c r="L224" s="19"/>
      <c r="M224" s="19"/>
    </row>
    <row r="225">
      <c r="A225" s="19"/>
      <c r="B225" s="19"/>
      <c r="C225" s="19"/>
      <c r="D225" s="19"/>
      <c r="E225" s="19"/>
      <c r="F225" s="19"/>
      <c r="G225" s="19"/>
      <c r="H225" s="19"/>
      <c r="I225" s="19"/>
      <c r="J225" s="19"/>
      <c r="K225" s="19"/>
      <c r="L225" s="19"/>
      <c r="M225" s="19"/>
    </row>
    <row r="226">
      <c r="A226" s="19"/>
      <c r="B226" s="19"/>
      <c r="C226" s="19"/>
      <c r="D226" s="19"/>
      <c r="E226" s="19"/>
      <c r="F226" s="19"/>
      <c r="G226" s="19"/>
      <c r="H226" s="19"/>
      <c r="I226" s="19"/>
      <c r="J226" s="19"/>
      <c r="K226" s="19"/>
      <c r="L226" s="19"/>
      <c r="M226" s="19"/>
    </row>
    <row r="227">
      <c r="A227" s="19"/>
      <c r="B227" s="19"/>
      <c r="C227" s="19"/>
      <c r="D227" s="19"/>
      <c r="E227" s="19"/>
      <c r="F227" s="19"/>
      <c r="G227" s="19"/>
      <c r="H227" s="19"/>
      <c r="I227" s="19"/>
      <c r="J227" s="19"/>
      <c r="K227" s="19"/>
      <c r="L227" s="19"/>
      <c r="M227" s="19"/>
    </row>
    <row r="228">
      <c r="A228" s="19"/>
      <c r="B228" s="19"/>
      <c r="C228" s="19"/>
      <c r="D228" s="19"/>
      <c r="E228" s="19"/>
      <c r="F228" s="19"/>
      <c r="G228" s="19"/>
      <c r="H228" s="19"/>
      <c r="I228" s="19"/>
      <c r="J228" s="19"/>
      <c r="K228" s="19"/>
      <c r="L228" s="19"/>
      <c r="M228" s="19"/>
    </row>
    <row r="229">
      <c r="A229" s="19"/>
      <c r="B229" s="19"/>
      <c r="C229" s="19"/>
      <c r="D229" s="19"/>
      <c r="E229" s="19"/>
      <c r="F229" s="19"/>
      <c r="G229" s="19"/>
      <c r="H229" s="19"/>
      <c r="I229" s="19"/>
      <c r="J229" s="19"/>
      <c r="K229" s="19"/>
      <c r="L229" s="19"/>
      <c r="M229" s="19"/>
    </row>
    <row r="230">
      <c r="A230" s="19"/>
      <c r="B230" s="19"/>
      <c r="C230" s="19"/>
      <c r="D230" s="19"/>
      <c r="E230" s="19"/>
      <c r="F230" s="19"/>
      <c r="G230" s="19"/>
      <c r="H230" s="19"/>
      <c r="I230" s="19"/>
      <c r="J230" s="19"/>
      <c r="K230" s="19"/>
      <c r="L230" s="19"/>
      <c r="M230" s="19"/>
    </row>
    <row r="231">
      <c r="A231" s="19"/>
      <c r="B231" s="19"/>
      <c r="C231" s="19"/>
      <c r="D231" s="19"/>
      <c r="E231" s="19"/>
      <c r="F231" s="19"/>
      <c r="G231" s="19"/>
      <c r="H231" s="19"/>
      <c r="I231" s="19"/>
      <c r="J231" s="19"/>
      <c r="K231" s="19"/>
      <c r="L231" s="19"/>
      <c r="M231" s="19"/>
    </row>
    <row r="232">
      <c r="A232" s="19"/>
      <c r="B232" s="19"/>
      <c r="C232" s="19"/>
      <c r="D232" s="19"/>
      <c r="E232" s="19"/>
      <c r="F232" s="19"/>
      <c r="G232" s="19"/>
      <c r="H232" s="19"/>
      <c r="I232" s="19"/>
      <c r="J232" s="19"/>
      <c r="K232" s="19"/>
      <c r="L232" s="19"/>
      <c r="M232" s="19"/>
    </row>
    <row r="233">
      <c r="A233" s="19"/>
      <c r="B233" s="19"/>
      <c r="C233" s="19"/>
      <c r="D233" s="19"/>
      <c r="E233" s="19"/>
      <c r="F233" s="19"/>
      <c r="G233" s="19"/>
      <c r="H233" s="19"/>
      <c r="I233" s="19"/>
      <c r="J233" s="19"/>
      <c r="K233" s="19"/>
      <c r="L233" s="19"/>
      <c r="M233" s="19"/>
    </row>
    <row r="234">
      <c r="A234" s="19"/>
      <c r="B234" s="19"/>
      <c r="C234" s="19"/>
      <c r="D234" s="19"/>
      <c r="E234" s="19"/>
      <c r="F234" s="19"/>
      <c r="G234" s="19"/>
      <c r="H234" s="19"/>
      <c r="I234" s="19"/>
      <c r="J234" s="19"/>
      <c r="K234" s="19"/>
      <c r="L234" s="19"/>
      <c r="M234" s="19"/>
    </row>
    <row r="235">
      <c r="A235" s="19"/>
      <c r="B235" s="19"/>
      <c r="C235" s="19"/>
      <c r="D235" s="19"/>
      <c r="E235" s="19"/>
      <c r="F235" s="19"/>
      <c r="G235" s="19"/>
      <c r="H235" s="19"/>
      <c r="I235" s="19"/>
      <c r="J235" s="19"/>
      <c r="K235" s="19"/>
      <c r="L235" s="19"/>
      <c r="M235" s="19"/>
    </row>
    <row r="236">
      <c r="A236" s="19"/>
      <c r="B236" s="19"/>
      <c r="C236" s="19"/>
      <c r="D236" s="19"/>
      <c r="E236" s="19"/>
      <c r="F236" s="19"/>
      <c r="G236" s="19"/>
      <c r="H236" s="19"/>
      <c r="I236" s="19"/>
      <c r="J236" s="19"/>
      <c r="K236" s="19"/>
      <c r="L236" s="19"/>
      <c r="M236" s="19"/>
    </row>
    <row r="237">
      <c r="A237" s="19"/>
      <c r="B237" s="19"/>
      <c r="C237" s="19"/>
      <c r="D237" s="19"/>
      <c r="E237" s="19"/>
      <c r="F237" s="19"/>
      <c r="G237" s="19"/>
      <c r="H237" s="19"/>
      <c r="I237" s="19"/>
      <c r="J237" s="19"/>
      <c r="K237" s="19"/>
      <c r="L237" s="19"/>
      <c r="M237" s="19"/>
    </row>
    <row r="238">
      <c r="A238" s="19"/>
      <c r="B238" s="19"/>
      <c r="C238" s="19"/>
      <c r="D238" s="19"/>
      <c r="E238" s="19"/>
      <c r="F238" s="19"/>
      <c r="G238" s="19"/>
      <c r="H238" s="19"/>
      <c r="I238" s="19"/>
      <c r="J238" s="19"/>
      <c r="K238" s="19"/>
      <c r="L238" s="19"/>
      <c r="M238" s="19"/>
    </row>
    <row r="239">
      <c r="A239" s="19"/>
      <c r="B239" s="19"/>
      <c r="C239" s="19"/>
      <c r="D239" s="19"/>
      <c r="E239" s="19"/>
      <c r="F239" s="19"/>
      <c r="G239" s="19"/>
      <c r="H239" s="19"/>
      <c r="I239" s="19"/>
      <c r="J239" s="19"/>
      <c r="K239" s="19"/>
      <c r="L239" s="19"/>
      <c r="M239" s="19"/>
    </row>
    <row r="240">
      <c r="A240" s="19"/>
      <c r="B240" s="19"/>
      <c r="C240" s="19"/>
      <c r="D240" s="19"/>
      <c r="E240" s="19"/>
      <c r="F240" s="19"/>
      <c r="G240" s="19"/>
      <c r="H240" s="19"/>
      <c r="I240" s="19"/>
      <c r="J240" s="19"/>
      <c r="K240" s="19"/>
      <c r="L240" s="19"/>
      <c r="M240" s="19"/>
    </row>
    <row r="241">
      <c r="A241" s="19"/>
      <c r="B241" s="19"/>
      <c r="C241" s="19"/>
      <c r="D241" s="19"/>
      <c r="E241" s="19"/>
      <c r="F241" s="19"/>
      <c r="G241" s="19"/>
      <c r="H241" s="19"/>
      <c r="I241" s="19"/>
      <c r="J241" s="19"/>
      <c r="K241" s="19"/>
      <c r="L241" s="19"/>
      <c r="M241" s="19"/>
    </row>
    <row r="242">
      <c r="A242" s="19"/>
      <c r="B242" s="19"/>
      <c r="C242" s="19"/>
      <c r="D242" s="19"/>
      <c r="E242" s="19"/>
      <c r="F242" s="19"/>
      <c r="G242" s="19"/>
      <c r="H242" s="19"/>
      <c r="I242" s="19"/>
      <c r="J242" s="19"/>
      <c r="K242" s="19"/>
      <c r="L242" s="19"/>
      <c r="M242" s="19"/>
    </row>
    <row r="243">
      <c r="A243" s="19"/>
      <c r="B243" s="19"/>
      <c r="C243" s="19"/>
      <c r="D243" s="19"/>
      <c r="E243" s="19"/>
      <c r="F243" s="19"/>
      <c r="G243" s="19"/>
      <c r="H243" s="19"/>
      <c r="I243" s="19"/>
      <c r="J243" s="19"/>
      <c r="K243" s="19"/>
      <c r="L243" s="19"/>
      <c r="M243" s="19"/>
    </row>
    <row r="244">
      <c r="A244" s="19"/>
      <c r="B244" s="19"/>
      <c r="C244" s="19"/>
      <c r="D244" s="19"/>
      <c r="E244" s="19"/>
      <c r="F244" s="19"/>
      <c r="G244" s="19"/>
      <c r="H244" s="19"/>
      <c r="I244" s="19"/>
      <c r="J244" s="19"/>
      <c r="K244" s="19"/>
      <c r="L244" s="19"/>
      <c r="M244" s="19"/>
    </row>
    <row r="245">
      <c r="A245" s="19"/>
      <c r="B245" s="19"/>
      <c r="C245" s="19"/>
      <c r="D245" s="19"/>
      <c r="E245" s="19"/>
      <c r="F245" s="19"/>
      <c r="G245" s="19"/>
      <c r="H245" s="19"/>
      <c r="I245" s="19"/>
      <c r="J245" s="19"/>
      <c r="K245" s="19"/>
      <c r="L245" s="19"/>
      <c r="M245" s="19"/>
    </row>
    <row r="246">
      <c r="A246" s="19"/>
      <c r="B246" s="19"/>
      <c r="C246" s="19"/>
      <c r="D246" s="19"/>
      <c r="E246" s="19"/>
      <c r="F246" s="19"/>
      <c r="G246" s="19"/>
      <c r="H246" s="19"/>
      <c r="I246" s="19"/>
      <c r="J246" s="19"/>
      <c r="K246" s="19"/>
      <c r="L246" s="19"/>
      <c r="M246" s="19"/>
    </row>
    <row r="247">
      <c r="A247" s="19"/>
      <c r="B247" s="19"/>
      <c r="C247" s="19"/>
      <c r="D247" s="19"/>
      <c r="E247" s="19"/>
      <c r="F247" s="19"/>
      <c r="G247" s="19"/>
      <c r="H247" s="19"/>
      <c r="I247" s="19"/>
      <c r="J247" s="19"/>
      <c r="K247" s="19"/>
      <c r="L247" s="19"/>
      <c r="M247" s="19"/>
    </row>
    <row r="248">
      <c r="A248" s="19"/>
      <c r="B248" s="19"/>
      <c r="C248" s="19"/>
      <c r="D248" s="19"/>
      <c r="E248" s="19"/>
      <c r="F248" s="19"/>
      <c r="G248" s="19"/>
      <c r="H248" s="19"/>
      <c r="I248" s="19"/>
      <c r="J248" s="19"/>
      <c r="K248" s="19"/>
      <c r="L248" s="19"/>
      <c r="M248" s="19"/>
    </row>
    <row r="249">
      <c r="A249" s="19"/>
      <c r="B249" s="19"/>
      <c r="C249" s="19"/>
      <c r="D249" s="19"/>
      <c r="E249" s="19"/>
      <c r="F249" s="19"/>
      <c r="G249" s="19"/>
      <c r="H249" s="19"/>
      <c r="I249" s="19"/>
      <c r="J249" s="19"/>
      <c r="K249" s="19"/>
      <c r="L249" s="19"/>
      <c r="M249" s="19"/>
    </row>
    <row r="250">
      <c r="A250" s="19"/>
      <c r="B250" s="19"/>
      <c r="C250" s="19"/>
      <c r="D250" s="19"/>
      <c r="E250" s="19"/>
      <c r="F250" s="19"/>
      <c r="G250" s="19"/>
      <c r="H250" s="19"/>
      <c r="I250" s="19"/>
      <c r="J250" s="19"/>
      <c r="K250" s="19"/>
      <c r="L250" s="19"/>
      <c r="M250" s="19"/>
    </row>
    <row r="251">
      <c r="A251" s="19"/>
      <c r="B251" s="19"/>
      <c r="C251" s="19"/>
      <c r="D251" s="19"/>
      <c r="E251" s="19"/>
      <c r="F251" s="19"/>
      <c r="G251" s="19"/>
      <c r="H251" s="19"/>
      <c r="I251" s="19"/>
      <c r="J251" s="19"/>
      <c r="K251" s="19"/>
      <c r="L251" s="19"/>
      <c r="M251" s="19"/>
    </row>
    <row r="252">
      <c r="A252" s="19"/>
      <c r="B252" s="19"/>
      <c r="C252" s="19"/>
      <c r="D252" s="19"/>
      <c r="E252" s="19"/>
      <c r="F252" s="19"/>
      <c r="G252" s="19"/>
      <c r="H252" s="19"/>
      <c r="I252" s="19"/>
      <c r="J252" s="19"/>
      <c r="K252" s="19"/>
      <c r="L252" s="19"/>
      <c r="M252" s="19"/>
    </row>
    <row r="253">
      <c r="A253" s="19"/>
      <c r="B253" s="19"/>
      <c r="C253" s="19"/>
      <c r="D253" s="19"/>
      <c r="E253" s="19"/>
      <c r="F253" s="19"/>
      <c r="G253" s="19"/>
      <c r="H253" s="19"/>
      <c r="I253" s="19"/>
      <c r="J253" s="19"/>
      <c r="K253" s="19"/>
      <c r="L253" s="19"/>
      <c r="M253" s="19"/>
    </row>
    <row r="254">
      <c r="A254" s="19"/>
      <c r="B254" s="19"/>
      <c r="C254" s="19"/>
      <c r="D254" s="19"/>
      <c r="E254" s="19"/>
      <c r="F254" s="19"/>
      <c r="G254" s="19"/>
      <c r="H254" s="19"/>
      <c r="I254" s="19"/>
      <c r="J254" s="19"/>
      <c r="K254" s="19"/>
      <c r="L254" s="19"/>
      <c r="M254" s="19"/>
    </row>
    <row r="255">
      <c r="A255" s="19"/>
      <c r="B255" s="19"/>
      <c r="C255" s="19"/>
      <c r="D255" s="19"/>
      <c r="E255" s="19"/>
      <c r="F255" s="19"/>
      <c r="G255" s="19"/>
      <c r="H255" s="19"/>
      <c r="I255" s="19"/>
      <c r="J255" s="19"/>
      <c r="K255" s="19"/>
      <c r="L255" s="19"/>
      <c r="M255" s="19"/>
    </row>
    <row r="256">
      <c r="A256" s="19"/>
      <c r="B256" s="19"/>
      <c r="C256" s="19"/>
      <c r="D256" s="19"/>
      <c r="E256" s="19"/>
      <c r="F256" s="19"/>
      <c r="G256" s="19"/>
      <c r="H256" s="19"/>
      <c r="I256" s="19"/>
      <c r="J256" s="19"/>
      <c r="K256" s="19"/>
      <c r="L256" s="19"/>
      <c r="M256" s="19"/>
    </row>
    <row r="257">
      <c r="A257" s="19"/>
      <c r="B257" s="19"/>
      <c r="C257" s="19"/>
      <c r="D257" s="19"/>
      <c r="E257" s="19"/>
      <c r="F257" s="19"/>
      <c r="G257" s="19"/>
      <c r="H257" s="19"/>
      <c r="I257" s="19"/>
      <c r="J257" s="19"/>
      <c r="K257" s="19"/>
      <c r="L257" s="19"/>
      <c r="M257" s="19"/>
    </row>
    <row r="258">
      <c r="A258" s="19"/>
      <c r="B258" s="19"/>
      <c r="C258" s="19"/>
      <c r="D258" s="19"/>
      <c r="E258" s="19"/>
      <c r="F258" s="19"/>
      <c r="G258" s="19"/>
      <c r="H258" s="19"/>
      <c r="I258" s="19"/>
      <c r="J258" s="19"/>
      <c r="K258" s="19"/>
      <c r="L258" s="19"/>
      <c r="M258" s="19"/>
    </row>
    <row r="259">
      <c r="A259" s="19"/>
      <c r="B259" s="19"/>
      <c r="C259" s="19"/>
      <c r="D259" s="19"/>
      <c r="E259" s="19"/>
      <c r="F259" s="19"/>
      <c r="G259" s="19"/>
      <c r="H259" s="19"/>
      <c r="I259" s="19"/>
      <c r="J259" s="19"/>
      <c r="K259" s="19"/>
      <c r="L259" s="19"/>
      <c r="M259" s="19"/>
    </row>
    <row r="260">
      <c r="A260" s="19"/>
      <c r="B260" s="19"/>
      <c r="C260" s="19"/>
      <c r="D260" s="19"/>
      <c r="E260" s="19"/>
      <c r="F260" s="19"/>
      <c r="G260" s="19"/>
      <c r="H260" s="19"/>
      <c r="I260" s="19"/>
      <c r="J260" s="19"/>
      <c r="K260" s="19"/>
      <c r="L260" s="19"/>
      <c r="M260" s="19"/>
    </row>
    <row r="261">
      <c r="A261" s="19"/>
      <c r="B261" s="19"/>
      <c r="C261" s="19"/>
      <c r="D261" s="19"/>
      <c r="E261" s="19"/>
      <c r="F261" s="19"/>
      <c r="G261" s="19"/>
      <c r="H261" s="19"/>
      <c r="I261" s="19"/>
      <c r="J261" s="19"/>
      <c r="K261" s="19"/>
      <c r="L261" s="19"/>
      <c r="M261" s="19"/>
    </row>
    <row r="262">
      <c r="A262" s="19"/>
      <c r="B262" s="19"/>
      <c r="C262" s="19"/>
      <c r="D262" s="19"/>
      <c r="E262" s="19"/>
      <c r="F262" s="19"/>
      <c r="G262" s="19"/>
      <c r="H262" s="19"/>
      <c r="I262" s="19"/>
      <c r="J262" s="19"/>
      <c r="K262" s="19"/>
      <c r="L262" s="19"/>
      <c r="M262" s="19"/>
    </row>
    <row r="263">
      <c r="A263" s="19"/>
      <c r="B263" s="19"/>
      <c r="C263" s="19"/>
      <c r="D263" s="19"/>
      <c r="E263" s="19"/>
      <c r="F263" s="19"/>
      <c r="G263" s="19"/>
      <c r="H263" s="19"/>
      <c r="I263" s="19"/>
      <c r="J263" s="19"/>
      <c r="K263" s="19"/>
      <c r="L263" s="19"/>
      <c r="M263" s="19"/>
    </row>
    <row r="264">
      <c r="A264" s="19"/>
      <c r="B264" s="19"/>
      <c r="C264" s="19"/>
      <c r="D264" s="19"/>
      <c r="E264" s="19"/>
      <c r="F264" s="19"/>
      <c r="G264" s="19"/>
      <c r="H264" s="19"/>
      <c r="I264" s="19"/>
      <c r="J264" s="19"/>
      <c r="K264" s="19"/>
      <c r="L264" s="19"/>
      <c r="M264" s="19"/>
    </row>
    <row r="265">
      <c r="A265" s="19"/>
      <c r="B265" s="19"/>
      <c r="C265" s="19"/>
      <c r="D265" s="19"/>
      <c r="E265" s="19"/>
      <c r="F265" s="19"/>
      <c r="G265" s="19"/>
      <c r="H265" s="19"/>
      <c r="I265" s="19"/>
      <c r="J265" s="19"/>
      <c r="K265" s="19"/>
      <c r="L265" s="19"/>
      <c r="M265" s="19"/>
    </row>
    <row r="266">
      <c r="A266" s="19"/>
      <c r="B266" s="19"/>
      <c r="C266" s="19"/>
      <c r="D266" s="19"/>
      <c r="E266" s="19"/>
      <c r="F266" s="19"/>
      <c r="G266" s="19"/>
      <c r="H266" s="19"/>
      <c r="I266" s="19"/>
      <c r="J266" s="19"/>
      <c r="K266" s="19"/>
      <c r="L266" s="19"/>
      <c r="M266" s="19"/>
    </row>
    <row r="267">
      <c r="A267" s="19"/>
      <c r="B267" s="19"/>
      <c r="C267" s="19"/>
      <c r="D267" s="19"/>
      <c r="E267" s="19"/>
      <c r="F267" s="19"/>
      <c r="G267" s="19"/>
      <c r="H267" s="19"/>
      <c r="I267" s="19"/>
      <c r="J267" s="19"/>
      <c r="K267" s="19"/>
      <c r="L267" s="19"/>
      <c r="M267" s="19"/>
    </row>
    <row r="268">
      <c r="A268" s="19"/>
      <c r="B268" s="19"/>
      <c r="C268" s="19"/>
      <c r="D268" s="19"/>
      <c r="E268" s="19"/>
      <c r="F268" s="19"/>
      <c r="G268" s="19"/>
      <c r="H268" s="19"/>
      <c r="I268" s="19"/>
      <c r="J268" s="19"/>
      <c r="K268" s="19"/>
      <c r="L268" s="19"/>
      <c r="M268" s="19"/>
    </row>
    <row r="269">
      <c r="A269" s="19"/>
      <c r="B269" s="19"/>
      <c r="C269" s="19"/>
      <c r="D269" s="19"/>
      <c r="E269" s="19"/>
      <c r="F269" s="19"/>
      <c r="G269" s="19"/>
      <c r="H269" s="19"/>
      <c r="I269" s="19"/>
      <c r="J269" s="19"/>
      <c r="K269" s="19"/>
      <c r="L269" s="19"/>
      <c r="M269" s="19"/>
    </row>
    <row r="270">
      <c r="A270" s="19"/>
      <c r="B270" s="19"/>
      <c r="C270" s="19"/>
      <c r="D270" s="19"/>
      <c r="E270" s="19"/>
      <c r="F270" s="19"/>
      <c r="G270" s="19"/>
      <c r="H270" s="19"/>
      <c r="I270" s="19"/>
      <c r="J270" s="19"/>
      <c r="K270" s="19"/>
      <c r="L270" s="19"/>
      <c r="M270" s="19"/>
    </row>
    <row r="271">
      <c r="A271" s="19"/>
      <c r="B271" s="19"/>
      <c r="C271" s="19"/>
      <c r="D271" s="19"/>
      <c r="E271" s="19"/>
      <c r="F271" s="19"/>
      <c r="G271" s="19"/>
      <c r="H271" s="19"/>
      <c r="I271" s="19"/>
      <c r="J271" s="19"/>
      <c r="K271" s="19"/>
      <c r="L271" s="19"/>
      <c r="M271" s="19"/>
    </row>
    <row r="272">
      <c r="A272" s="19"/>
      <c r="B272" s="19"/>
      <c r="C272" s="19"/>
      <c r="D272" s="19"/>
      <c r="E272" s="19"/>
      <c r="F272" s="19"/>
      <c r="G272" s="19"/>
      <c r="H272" s="19"/>
      <c r="I272" s="19"/>
      <c r="J272" s="19"/>
      <c r="K272" s="19"/>
      <c r="L272" s="19"/>
      <c r="M272" s="19"/>
    </row>
    <row r="273">
      <c r="A273" s="19"/>
      <c r="B273" s="19"/>
      <c r="C273" s="19"/>
      <c r="D273" s="19"/>
      <c r="E273" s="19"/>
      <c r="F273" s="19"/>
      <c r="G273" s="19"/>
      <c r="H273" s="19"/>
      <c r="I273" s="19"/>
      <c r="J273" s="19"/>
      <c r="K273" s="19"/>
      <c r="L273" s="19"/>
      <c r="M273" s="19"/>
    </row>
    <row r="274">
      <c r="A274" s="19"/>
      <c r="B274" s="19"/>
      <c r="C274" s="19"/>
      <c r="D274" s="19"/>
      <c r="E274" s="19"/>
      <c r="F274" s="19"/>
      <c r="G274" s="19"/>
      <c r="H274" s="19"/>
      <c r="I274" s="19"/>
      <c r="J274" s="19"/>
      <c r="K274" s="19"/>
      <c r="L274" s="19"/>
      <c r="M274" s="19"/>
    </row>
    <row r="275">
      <c r="A275" s="19"/>
      <c r="B275" s="19"/>
      <c r="C275" s="19"/>
      <c r="D275" s="19"/>
      <c r="E275" s="19"/>
      <c r="F275" s="19"/>
      <c r="G275" s="19"/>
      <c r="H275" s="19"/>
      <c r="I275" s="19"/>
      <c r="J275" s="19"/>
      <c r="K275" s="19"/>
      <c r="L275" s="19"/>
      <c r="M275" s="19"/>
    </row>
    <row r="276">
      <c r="A276" s="19"/>
      <c r="B276" s="19"/>
      <c r="C276" s="19"/>
      <c r="D276" s="19"/>
      <c r="E276" s="19"/>
      <c r="F276" s="19"/>
      <c r="G276" s="19"/>
      <c r="H276" s="19"/>
      <c r="I276" s="19"/>
      <c r="J276" s="19"/>
      <c r="K276" s="19"/>
      <c r="L276" s="19"/>
      <c r="M276" s="19"/>
    </row>
    <row r="277">
      <c r="A277" s="19"/>
      <c r="B277" s="19"/>
      <c r="C277" s="19"/>
      <c r="D277" s="19"/>
      <c r="E277" s="19"/>
      <c r="F277" s="19"/>
      <c r="G277" s="19"/>
      <c r="H277" s="19"/>
      <c r="I277" s="19"/>
      <c r="J277" s="19"/>
      <c r="K277" s="19"/>
      <c r="L277" s="19"/>
      <c r="M277" s="19"/>
    </row>
    <row r="278">
      <c r="A278" s="19"/>
      <c r="B278" s="19"/>
      <c r="C278" s="19"/>
      <c r="D278" s="19"/>
      <c r="E278" s="19"/>
      <c r="F278" s="19"/>
      <c r="G278" s="19"/>
      <c r="H278" s="19"/>
      <c r="I278" s="19"/>
      <c r="J278" s="19"/>
      <c r="K278" s="19"/>
      <c r="L278" s="19"/>
      <c r="M278" s="19"/>
    </row>
    <row r="279">
      <c r="A279" s="19"/>
      <c r="B279" s="19"/>
      <c r="C279" s="19"/>
      <c r="D279" s="19"/>
      <c r="E279" s="19"/>
      <c r="F279" s="19"/>
      <c r="G279" s="19"/>
      <c r="H279" s="19"/>
      <c r="I279" s="19"/>
      <c r="J279" s="19"/>
      <c r="K279" s="19"/>
      <c r="L279" s="19"/>
      <c r="M279" s="19"/>
    </row>
    <row r="280">
      <c r="A280" s="19"/>
      <c r="B280" s="19"/>
      <c r="C280" s="19"/>
      <c r="D280" s="19"/>
      <c r="E280" s="19"/>
      <c r="F280" s="19"/>
      <c r="G280" s="19"/>
      <c r="H280" s="19"/>
      <c r="I280" s="19"/>
      <c r="J280" s="19"/>
      <c r="K280" s="19"/>
      <c r="L280" s="19"/>
      <c r="M280" s="19"/>
    </row>
    <row r="281">
      <c r="A281" s="19"/>
      <c r="B281" s="19"/>
      <c r="C281" s="19"/>
      <c r="D281" s="19"/>
      <c r="E281" s="19"/>
      <c r="F281" s="19"/>
      <c r="G281" s="19"/>
      <c r="H281" s="19"/>
      <c r="I281" s="19"/>
      <c r="J281" s="19"/>
      <c r="K281" s="19"/>
      <c r="L281" s="19"/>
      <c r="M281" s="19"/>
    </row>
    <row r="282">
      <c r="A282" s="19"/>
      <c r="B282" s="19"/>
      <c r="C282" s="19"/>
      <c r="D282" s="19"/>
      <c r="E282" s="19"/>
      <c r="F282" s="19"/>
      <c r="G282" s="19"/>
      <c r="H282" s="19"/>
      <c r="I282" s="19"/>
      <c r="J282" s="19"/>
      <c r="K282" s="19"/>
      <c r="L282" s="19"/>
      <c r="M282" s="19"/>
    </row>
    <row r="283">
      <c r="A283" s="19"/>
      <c r="B283" s="19"/>
      <c r="C283" s="19"/>
      <c r="D283" s="19"/>
      <c r="E283" s="19"/>
      <c r="F283" s="19"/>
      <c r="G283" s="19"/>
      <c r="H283" s="19"/>
      <c r="I283" s="19"/>
      <c r="J283" s="19"/>
      <c r="K283" s="19"/>
      <c r="L283" s="19"/>
      <c r="M283" s="19"/>
    </row>
    <row r="284">
      <c r="A284" s="19"/>
      <c r="B284" s="19"/>
      <c r="C284" s="19"/>
      <c r="D284" s="19"/>
      <c r="E284" s="19"/>
      <c r="F284" s="19"/>
      <c r="G284" s="19"/>
      <c r="H284" s="19"/>
      <c r="I284" s="19"/>
      <c r="J284" s="19"/>
      <c r="K284" s="19"/>
      <c r="L284" s="19"/>
      <c r="M284" s="19"/>
    </row>
    <row r="285">
      <c r="A285" s="19"/>
      <c r="B285" s="19"/>
      <c r="C285" s="19"/>
      <c r="D285" s="19"/>
      <c r="E285" s="19"/>
      <c r="F285" s="19"/>
      <c r="G285" s="19"/>
      <c r="H285" s="19"/>
      <c r="I285" s="19"/>
      <c r="J285" s="19"/>
      <c r="K285" s="19"/>
      <c r="L285" s="19"/>
      <c r="M285" s="19"/>
    </row>
    <row r="286">
      <c r="A286" s="19"/>
      <c r="B286" s="19"/>
      <c r="C286" s="19"/>
      <c r="D286" s="19"/>
      <c r="E286" s="19"/>
      <c r="F286" s="19"/>
      <c r="G286" s="19"/>
      <c r="H286" s="19"/>
      <c r="I286" s="19"/>
      <c r="J286" s="19"/>
      <c r="K286" s="19"/>
      <c r="L286" s="19"/>
      <c r="M286" s="19"/>
    </row>
    <row r="287">
      <c r="A287" s="19"/>
      <c r="B287" s="19"/>
      <c r="C287" s="19"/>
      <c r="D287" s="19"/>
      <c r="E287" s="19"/>
      <c r="F287" s="19"/>
      <c r="G287" s="19"/>
      <c r="H287" s="19"/>
      <c r="I287" s="19"/>
      <c r="J287" s="19"/>
      <c r="K287" s="19"/>
      <c r="L287" s="19"/>
      <c r="M287" s="19"/>
    </row>
    <row r="288">
      <c r="A288" s="19"/>
      <c r="B288" s="19"/>
      <c r="C288" s="19"/>
      <c r="D288" s="19"/>
      <c r="E288" s="19"/>
      <c r="F288" s="19"/>
      <c r="G288" s="19"/>
      <c r="H288" s="19"/>
      <c r="I288" s="19"/>
      <c r="J288" s="19"/>
      <c r="K288" s="19"/>
      <c r="L288" s="19"/>
      <c r="M288" s="19"/>
    </row>
    <row r="289">
      <c r="A289" s="19"/>
      <c r="B289" s="19"/>
      <c r="C289" s="19"/>
      <c r="D289" s="19"/>
      <c r="E289" s="19"/>
      <c r="F289" s="19"/>
      <c r="G289" s="19"/>
      <c r="H289" s="19"/>
      <c r="I289" s="19"/>
      <c r="J289" s="19"/>
      <c r="K289" s="19"/>
      <c r="L289" s="19"/>
      <c r="M289" s="19"/>
    </row>
    <row r="290">
      <c r="A290" s="19"/>
      <c r="B290" s="19"/>
      <c r="C290" s="19"/>
      <c r="D290" s="19"/>
      <c r="E290" s="19"/>
      <c r="F290" s="19"/>
      <c r="G290" s="19"/>
      <c r="H290" s="19"/>
      <c r="I290" s="19"/>
      <c r="J290" s="19"/>
      <c r="K290" s="19"/>
      <c r="L290" s="19"/>
      <c r="M290" s="19"/>
    </row>
    <row r="291">
      <c r="A291" s="19"/>
      <c r="B291" s="19"/>
      <c r="C291" s="19"/>
      <c r="D291" s="19"/>
      <c r="E291" s="19"/>
      <c r="F291" s="19"/>
      <c r="G291" s="19"/>
      <c r="H291" s="19"/>
      <c r="I291" s="19"/>
      <c r="J291" s="19"/>
      <c r="K291" s="19"/>
      <c r="L291" s="19"/>
      <c r="M291" s="19"/>
    </row>
    <row r="292">
      <c r="A292" s="19"/>
      <c r="B292" s="19"/>
      <c r="C292" s="19"/>
      <c r="D292" s="19"/>
      <c r="E292" s="19"/>
      <c r="F292" s="19"/>
      <c r="G292" s="19"/>
      <c r="H292" s="19"/>
      <c r="I292" s="19"/>
      <c r="J292" s="19"/>
      <c r="K292" s="19"/>
      <c r="L292" s="19"/>
      <c r="M292" s="19"/>
    </row>
    <row r="293">
      <c r="A293" s="19"/>
      <c r="B293" s="19"/>
      <c r="C293" s="19"/>
      <c r="D293" s="19"/>
      <c r="E293" s="19"/>
      <c r="F293" s="19"/>
      <c r="G293" s="19"/>
      <c r="H293" s="19"/>
      <c r="I293" s="19"/>
      <c r="J293" s="19"/>
      <c r="K293" s="19"/>
      <c r="L293" s="19"/>
      <c r="M293" s="19"/>
    </row>
    <row r="294">
      <c r="A294" s="19"/>
      <c r="B294" s="19"/>
      <c r="C294" s="19"/>
      <c r="D294" s="19"/>
      <c r="E294" s="19"/>
      <c r="F294" s="19"/>
      <c r="G294" s="19"/>
      <c r="H294" s="19"/>
      <c r="I294" s="19"/>
      <c r="J294" s="19"/>
      <c r="K294" s="19"/>
      <c r="L294" s="19"/>
      <c r="M294" s="19"/>
    </row>
    <row r="295">
      <c r="A295" s="19"/>
      <c r="B295" s="19"/>
      <c r="C295" s="19"/>
      <c r="D295" s="19"/>
      <c r="E295" s="19"/>
      <c r="F295" s="19"/>
      <c r="G295" s="19"/>
      <c r="H295" s="19"/>
      <c r="I295" s="19"/>
      <c r="J295" s="19"/>
      <c r="K295" s="19"/>
      <c r="L295" s="19"/>
      <c r="M295" s="19"/>
    </row>
    <row r="296">
      <c r="A296" s="19"/>
      <c r="B296" s="19"/>
      <c r="C296" s="19"/>
      <c r="D296" s="19"/>
      <c r="E296" s="19"/>
      <c r="F296" s="19"/>
      <c r="G296" s="19"/>
      <c r="H296" s="19"/>
      <c r="I296" s="19"/>
      <c r="J296" s="19"/>
      <c r="K296" s="19"/>
      <c r="L296" s="19"/>
      <c r="M296" s="19"/>
    </row>
    <row r="297">
      <c r="A297" s="19"/>
      <c r="B297" s="19"/>
      <c r="C297" s="19"/>
      <c r="D297" s="19"/>
      <c r="E297" s="19"/>
      <c r="F297" s="19"/>
      <c r="G297" s="19"/>
      <c r="H297" s="19"/>
      <c r="I297" s="19"/>
      <c r="J297" s="19"/>
      <c r="K297" s="19"/>
      <c r="L297" s="19"/>
      <c r="M297" s="19"/>
    </row>
    <row r="298">
      <c r="A298" s="19"/>
      <c r="B298" s="19"/>
      <c r="C298" s="19"/>
      <c r="D298" s="19"/>
      <c r="E298" s="19"/>
      <c r="F298" s="19"/>
      <c r="G298" s="19"/>
      <c r="H298" s="19"/>
      <c r="I298" s="19"/>
      <c r="J298" s="19"/>
      <c r="K298" s="19"/>
      <c r="L298" s="19"/>
      <c r="M298" s="19"/>
    </row>
    <row r="299">
      <c r="A299" s="19"/>
      <c r="B299" s="19"/>
      <c r="C299" s="19"/>
      <c r="D299" s="19"/>
      <c r="E299" s="19"/>
      <c r="F299" s="19"/>
      <c r="G299" s="19"/>
      <c r="H299" s="19"/>
      <c r="I299" s="19"/>
      <c r="J299" s="19"/>
      <c r="K299" s="19"/>
      <c r="L299" s="19"/>
      <c r="M299" s="19"/>
    </row>
    <row r="300">
      <c r="A300" s="19"/>
      <c r="B300" s="19"/>
      <c r="C300" s="19"/>
      <c r="D300" s="19"/>
      <c r="E300" s="19"/>
      <c r="F300" s="19"/>
      <c r="G300" s="19"/>
      <c r="H300" s="19"/>
      <c r="I300" s="19"/>
      <c r="J300" s="19"/>
      <c r="K300" s="19"/>
      <c r="L300" s="19"/>
      <c r="M300" s="19"/>
    </row>
    <row r="301">
      <c r="A301" s="19"/>
      <c r="B301" s="19"/>
      <c r="C301" s="19"/>
      <c r="D301" s="19"/>
      <c r="E301" s="19"/>
      <c r="F301" s="19"/>
      <c r="G301" s="19"/>
      <c r="H301" s="19"/>
      <c r="I301" s="19"/>
      <c r="J301" s="19"/>
      <c r="K301" s="19"/>
      <c r="L301" s="19"/>
      <c r="M301" s="19"/>
    </row>
    <row r="302">
      <c r="A302" s="19"/>
      <c r="B302" s="19"/>
      <c r="C302" s="19"/>
      <c r="D302" s="19"/>
      <c r="E302" s="19"/>
      <c r="F302" s="19"/>
      <c r="G302" s="19"/>
      <c r="H302" s="19"/>
      <c r="I302" s="19"/>
      <c r="J302" s="19"/>
      <c r="K302" s="19"/>
      <c r="L302" s="19"/>
      <c r="M302" s="19"/>
    </row>
    <row r="303">
      <c r="A303" s="19"/>
      <c r="B303" s="19"/>
      <c r="C303" s="19"/>
      <c r="D303" s="19"/>
      <c r="E303" s="19"/>
      <c r="F303" s="19"/>
      <c r="G303" s="19"/>
      <c r="H303" s="19"/>
      <c r="I303" s="19"/>
      <c r="J303" s="19"/>
      <c r="K303" s="19"/>
      <c r="L303" s="19"/>
      <c r="M303" s="19"/>
    </row>
    <row r="304">
      <c r="A304" s="19"/>
      <c r="B304" s="19"/>
      <c r="C304" s="19"/>
      <c r="D304" s="19"/>
      <c r="E304" s="19"/>
      <c r="F304" s="19"/>
      <c r="G304" s="19"/>
      <c r="H304" s="19"/>
      <c r="I304" s="19"/>
      <c r="J304" s="19"/>
      <c r="K304" s="19"/>
      <c r="L304" s="19"/>
      <c r="M304" s="19"/>
    </row>
    <row r="305">
      <c r="A305" s="19"/>
      <c r="B305" s="19"/>
      <c r="C305" s="19"/>
      <c r="D305" s="19"/>
      <c r="E305" s="19"/>
      <c r="F305" s="19"/>
      <c r="G305" s="19"/>
      <c r="H305" s="19"/>
      <c r="I305" s="19"/>
      <c r="J305" s="19"/>
      <c r="K305" s="19"/>
      <c r="L305" s="19"/>
      <c r="M305" s="19"/>
    </row>
    <row r="306">
      <c r="A306" s="19"/>
      <c r="B306" s="19"/>
      <c r="C306" s="19"/>
      <c r="D306" s="19"/>
      <c r="E306" s="19"/>
      <c r="F306" s="19"/>
      <c r="G306" s="19"/>
      <c r="H306" s="19"/>
      <c r="I306" s="19"/>
      <c r="J306" s="19"/>
      <c r="K306" s="19"/>
      <c r="L306" s="19"/>
      <c r="M306" s="19"/>
    </row>
    <row r="307">
      <c r="A307" s="19"/>
      <c r="B307" s="19"/>
      <c r="C307" s="19"/>
      <c r="D307" s="19"/>
      <c r="E307" s="19"/>
      <c r="F307" s="19"/>
      <c r="G307" s="19"/>
      <c r="H307" s="19"/>
      <c r="I307" s="19"/>
      <c r="J307" s="19"/>
      <c r="K307" s="19"/>
      <c r="L307" s="19"/>
      <c r="M307" s="19"/>
    </row>
    <row r="308">
      <c r="A308" s="19"/>
      <c r="B308" s="19"/>
      <c r="C308" s="19"/>
      <c r="D308" s="19"/>
      <c r="E308" s="19"/>
      <c r="F308" s="19"/>
      <c r="G308" s="19"/>
      <c r="H308" s="19"/>
      <c r="I308" s="19"/>
      <c r="J308" s="19"/>
      <c r="K308" s="19"/>
      <c r="L308" s="19"/>
      <c r="M308" s="19"/>
    </row>
    <row r="309">
      <c r="A309" s="19"/>
      <c r="B309" s="19"/>
      <c r="C309" s="19"/>
      <c r="D309" s="19"/>
      <c r="E309" s="19"/>
      <c r="F309" s="19"/>
      <c r="G309" s="19"/>
      <c r="H309" s="19"/>
      <c r="I309" s="19"/>
      <c r="J309" s="19"/>
      <c r="K309" s="19"/>
      <c r="L309" s="19"/>
      <c r="M309" s="19"/>
    </row>
    <row r="310">
      <c r="A310" s="19"/>
      <c r="B310" s="19"/>
      <c r="C310" s="19"/>
      <c r="D310" s="19"/>
      <c r="E310" s="19"/>
      <c r="F310" s="19"/>
      <c r="G310" s="19"/>
      <c r="H310" s="19"/>
      <c r="I310" s="19"/>
      <c r="J310" s="19"/>
      <c r="K310" s="19"/>
      <c r="L310" s="19"/>
      <c r="M310" s="19"/>
    </row>
    <row r="311">
      <c r="A311" s="19"/>
      <c r="B311" s="19"/>
      <c r="C311" s="19"/>
      <c r="D311" s="19"/>
      <c r="E311" s="19"/>
      <c r="F311" s="19"/>
      <c r="G311" s="19"/>
      <c r="H311" s="19"/>
      <c r="I311" s="19"/>
      <c r="J311" s="19"/>
      <c r="K311" s="19"/>
      <c r="L311" s="19"/>
      <c r="M311" s="19"/>
    </row>
    <row r="312">
      <c r="A312" s="19"/>
      <c r="B312" s="19"/>
      <c r="C312" s="19"/>
      <c r="D312" s="19"/>
      <c r="E312" s="19"/>
      <c r="F312" s="19"/>
      <c r="G312" s="19"/>
      <c r="H312" s="19"/>
      <c r="I312" s="19"/>
      <c r="J312" s="19"/>
      <c r="K312" s="19"/>
      <c r="L312" s="19"/>
      <c r="M312" s="19"/>
    </row>
    <row r="313">
      <c r="A313" s="19"/>
      <c r="B313" s="19"/>
      <c r="C313" s="19"/>
      <c r="D313" s="19"/>
      <c r="E313" s="19"/>
      <c r="F313" s="19"/>
      <c r="G313" s="19"/>
      <c r="H313" s="19"/>
      <c r="I313" s="19"/>
      <c r="J313" s="19"/>
      <c r="K313" s="19"/>
      <c r="L313" s="19"/>
      <c r="M313" s="19"/>
    </row>
    <row r="314">
      <c r="A314" s="19"/>
      <c r="B314" s="19"/>
      <c r="C314" s="19"/>
      <c r="D314" s="19"/>
      <c r="E314" s="19"/>
      <c r="F314" s="19"/>
      <c r="G314" s="19"/>
      <c r="H314" s="19"/>
      <c r="I314" s="19"/>
      <c r="J314" s="19"/>
      <c r="K314" s="19"/>
      <c r="L314" s="19"/>
      <c r="M314" s="19"/>
    </row>
    <row r="315">
      <c r="A315" s="19"/>
      <c r="B315" s="19"/>
      <c r="C315" s="19"/>
      <c r="D315" s="19"/>
      <c r="E315" s="19"/>
      <c r="F315" s="19"/>
      <c r="G315" s="19"/>
      <c r="H315" s="19"/>
      <c r="I315" s="19"/>
      <c r="J315" s="19"/>
      <c r="K315" s="19"/>
      <c r="L315" s="19"/>
      <c r="M315" s="19"/>
    </row>
    <row r="316">
      <c r="A316" s="19"/>
      <c r="B316" s="19"/>
      <c r="C316" s="19"/>
      <c r="D316" s="19"/>
      <c r="E316" s="19"/>
      <c r="F316" s="19"/>
      <c r="G316" s="19"/>
      <c r="H316" s="19"/>
      <c r="I316" s="19"/>
      <c r="J316" s="19"/>
      <c r="K316" s="19"/>
      <c r="L316" s="19"/>
      <c r="M316" s="19"/>
    </row>
    <row r="317">
      <c r="A317" s="19"/>
      <c r="B317" s="19"/>
      <c r="C317" s="19"/>
      <c r="D317" s="19"/>
      <c r="E317" s="19"/>
      <c r="F317" s="19"/>
      <c r="G317" s="19"/>
      <c r="H317" s="19"/>
      <c r="I317" s="19"/>
      <c r="J317" s="19"/>
      <c r="K317" s="19"/>
      <c r="L317" s="19"/>
      <c r="M317" s="19"/>
    </row>
    <row r="318">
      <c r="A318" s="19"/>
      <c r="B318" s="19"/>
      <c r="C318" s="19"/>
      <c r="D318" s="19"/>
      <c r="E318" s="19"/>
      <c r="F318" s="19"/>
      <c r="G318" s="19"/>
      <c r="H318" s="19"/>
      <c r="I318" s="19"/>
      <c r="J318" s="19"/>
      <c r="K318" s="19"/>
      <c r="L318" s="19"/>
      <c r="M318" s="19"/>
    </row>
    <row r="319">
      <c r="A319" s="19"/>
      <c r="B319" s="19"/>
      <c r="C319" s="19"/>
      <c r="D319" s="19"/>
      <c r="E319" s="19"/>
      <c r="F319" s="19"/>
      <c r="G319" s="19"/>
      <c r="H319" s="19"/>
      <c r="I319" s="19"/>
      <c r="J319" s="19"/>
      <c r="K319" s="19"/>
      <c r="L319" s="19"/>
      <c r="M319" s="19"/>
    </row>
    <row r="320">
      <c r="A320" s="19"/>
      <c r="B320" s="19"/>
      <c r="C320" s="19"/>
      <c r="D320" s="19"/>
      <c r="E320" s="19"/>
      <c r="F320" s="19"/>
      <c r="G320" s="19"/>
      <c r="H320" s="19"/>
      <c r="I320" s="19"/>
      <c r="J320" s="19"/>
      <c r="K320" s="19"/>
      <c r="L320" s="19"/>
      <c r="M320" s="19"/>
    </row>
    <row r="321">
      <c r="A321" s="19"/>
      <c r="B321" s="19"/>
      <c r="C321" s="19"/>
      <c r="D321" s="19"/>
      <c r="E321" s="19"/>
      <c r="F321" s="19"/>
      <c r="G321" s="19"/>
      <c r="H321" s="19"/>
      <c r="I321" s="19"/>
      <c r="J321" s="19"/>
      <c r="K321" s="19"/>
      <c r="L321" s="19"/>
      <c r="M321" s="19"/>
    </row>
    <row r="322">
      <c r="A322" s="19"/>
      <c r="B322" s="19"/>
      <c r="C322" s="19"/>
      <c r="D322" s="19"/>
      <c r="E322" s="19"/>
      <c r="F322" s="19"/>
      <c r="G322" s="19"/>
      <c r="H322" s="19"/>
      <c r="I322" s="19"/>
      <c r="J322" s="19"/>
      <c r="K322" s="19"/>
      <c r="L322" s="19"/>
      <c r="M322" s="19"/>
    </row>
    <row r="323">
      <c r="A323" s="19"/>
      <c r="B323" s="19"/>
      <c r="C323" s="19"/>
      <c r="D323" s="19"/>
      <c r="E323" s="19"/>
      <c r="F323" s="19"/>
      <c r="G323" s="19"/>
      <c r="H323" s="19"/>
      <c r="I323" s="19"/>
      <c r="J323" s="19"/>
      <c r="K323" s="19"/>
      <c r="L323" s="19"/>
      <c r="M323" s="19"/>
    </row>
    <row r="324">
      <c r="A324" s="19"/>
      <c r="B324" s="19"/>
      <c r="C324" s="19"/>
      <c r="D324" s="19"/>
      <c r="E324" s="19"/>
      <c r="F324" s="19"/>
      <c r="G324" s="19"/>
      <c r="H324" s="19"/>
      <c r="I324" s="19"/>
      <c r="J324" s="19"/>
      <c r="K324" s="19"/>
      <c r="L324" s="19"/>
      <c r="M324" s="19"/>
    </row>
    <row r="325">
      <c r="A325" s="19"/>
      <c r="B325" s="19"/>
      <c r="C325" s="19"/>
      <c r="D325" s="19"/>
      <c r="E325" s="19"/>
      <c r="F325" s="19"/>
      <c r="G325" s="19"/>
      <c r="H325" s="19"/>
      <c r="I325" s="19"/>
      <c r="J325" s="19"/>
      <c r="K325" s="19"/>
      <c r="L325" s="19"/>
      <c r="M325" s="19"/>
    </row>
    <row r="326">
      <c r="A326" s="19"/>
      <c r="B326" s="19"/>
      <c r="C326" s="19"/>
      <c r="D326" s="19"/>
      <c r="E326" s="19"/>
      <c r="F326" s="19"/>
      <c r="G326" s="19"/>
      <c r="H326" s="19"/>
      <c r="I326" s="19"/>
      <c r="J326" s="19"/>
      <c r="K326" s="19"/>
      <c r="L326" s="19"/>
      <c r="M326" s="19"/>
    </row>
    <row r="327">
      <c r="A327" s="19"/>
      <c r="B327" s="19"/>
      <c r="C327" s="19"/>
      <c r="D327" s="19"/>
      <c r="E327" s="19"/>
      <c r="F327" s="19"/>
      <c r="G327" s="19"/>
      <c r="H327" s="19"/>
      <c r="I327" s="19"/>
      <c r="J327" s="19"/>
      <c r="K327" s="19"/>
      <c r="L327" s="19"/>
      <c r="M327" s="19"/>
    </row>
    <row r="328">
      <c r="A328" s="19"/>
      <c r="B328" s="19"/>
      <c r="C328" s="19"/>
      <c r="D328" s="19"/>
      <c r="E328" s="19"/>
      <c r="F328" s="19"/>
      <c r="G328" s="19"/>
      <c r="H328" s="19"/>
      <c r="I328" s="19"/>
      <c r="J328" s="19"/>
      <c r="K328" s="19"/>
      <c r="L328" s="19"/>
      <c r="M328" s="19"/>
    </row>
    <row r="329">
      <c r="A329" s="19"/>
      <c r="B329" s="19"/>
      <c r="C329" s="19"/>
      <c r="D329" s="19"/>
      <c r="E329" s="19"/>
      <c r="F329" s="19"/>
      <c r="G329" s="19"/>
      <c r="H329" s="19"/>
      <c r="I329" s="19"/>
      <c r="J329" s="19"/>
      <c r="K329" s="19"/>
      <c r="L329" s="19"/>
      <c r="M329" s="19"/>
    </row>
    <row r="330">
      <c r="A330" s="19"/>
      <c r="B330" s="19"/>
      <c r="C330" s="19"/>
      <c r="D330" s="19"/>
      <c r="E330" s="19"/>
      <c r="F330" s="19"/>
      <c r="G330" s="19"/>
      <c r="H330" s="19"/>
      <c r="I330" s="19"/>
      <c r="J330" s="19"/>
      <c r="K330" s="19"/>
      <c r="L330" s="19"/>
      <c r="M330" s="19"/>
    </row>
    <row r="331">
      <c r="A331" s="19"/>
      <c r="B331" s="19"/>
      <c r="C331" s="19"/>
      <c r="D331" s="19"/>
      <c r="E331" s="19"/>
      <c r="F331" s="19"/>
      <c r="G331" s="19"/>
      <c r="H331" s="19"/>
      <c r="I331" s="19"/>
      <c r="J331" s="19"/>
      <c r="K331" s="19"/>
      <c r="L331" s="19"/>
      <c r="M331" s="19"/>
    </row>
    <row r="332">
      <c r="A332" s="19"/>
      <c r="B332" s="19"/>
      <c r="C332" s="19"/>
      <c r="D332" s="19"/>
      <c r="E332" s="19"/>
      <c r="F332" s="19"/>
      <c r="G332" s="19"/>
      <c r="H332" s="19"/>
      <c r="I332" s="19"/>
      <c r="J332" s="19"/>
      <c r="K332" s="19"/>
      <c r="L332" s="19"/>
      <c r="M332" s="19"/>
    </row>
    <row r="333">
      <c r="A333" s="19"/>
      <c r="B333" s="19"/>
      <c r="C333" s="19"/>
      <c r="D333" s="19"/>
      <c r="E333" s="19"/>
      <c r="F333" s="19"/>
      <c r="G333" s="19"/>
      <c r="H333" s="19"/>
      <c r="I333" s="19"/>
      <c r="J333" s="19"/>
      <c r="K333" s="19"/>
      <c r="L333" s="19"/>
      <c r="M333" s="19"/>
    </row>
    <row r="334">
      <c r="A334" s="19"/>
      <c r="B334" s="19"/>
      <c r="C334" s="19"/>
      <c r="D334" s="19"/>
      <c r="E334" s="19"/>
      <c r="F334" s="19"/>
      <c r="G334" s="19"/>
      <c r="H334" s="19"/>
      <c r="I334" s="19"/>
      <c r="J334" s="19"/>
      <c r="K334" s="19"/>
      <c r="L334" s="19"/>
      <c r="M334" s="19"/>
    </row>
    <row r="335">
      <c r="A335" s="19"/>
      <c r="B335" s="19"/>
      <c r="C335" s="19"/>
      <c r="D335" s="19"/>
      <c r="E335" s="19"/>
      <c r="F335" s="19"/>
      <c r="G335" s="19"/>
      <c r="H335" s="19"/>
      <c r="I335" s="19"/>
      <c r="J335" s="19"/>
      <c r="K335" s="19"/>
      <c r="L335" s="19"/>
      <c r="M335" s="19"/>
    </row>
    <row r="336">
      <c r="A336" s="19"/>
      <c r="B336" s="19"/>
      <c r="C336" s="19"/>
      <c r="D336" s="19"/>
      <c r="E336" s="19"/>
      <c r="F336" s="19"/>
      <c r="G336" s="19"/>
      <c r="H336" s="19"/>
      <c r="I336" s="19"/>
      <c r="J336" s="19"/>
      <c r="K336" s="19"/>
      <c r="L336" s="19"/>
      <c r="M336" s="19"/>
    </row>
    <row r="337">
      <c r="A337" s="19"/>
      <c r="B337" s="19"/>
      <c r="C337" s="19"/>
      <c r="D337" s="19"/>
      <c r="E337" s="19"/>
      <c r="F337" s="19"/>
      <c r="G337" s="19"/>
      <c r="H337" s="19"/>
      <c r="I337" s="19"/>
      <c r="J337" s="19"/>
      <c r="K337" s="19"/>
      <c r="L337" s="19"/>
      <c r="M337" s="19"/>
    </row>
    <row r="338">
      <c r="A338" s="19"/>
      <c r="B338" s="19"/>
      <c r="C338" s="19"/>
      <c r="D338" s="19"/>
      <c r="E338" s="19"/>
      <c r="F338" s="19"/>
      <c r="G338" s="19"/>
      <c r="H338" s="19"/>
      <c r="I338" s="19"/>
      <c r="J338" s="19"/>
      <c r="K338" s="19"/>
      <c r="L338" s="19"/>
      <c r="M338" s="19"/>
    </row>
    <row r="339">
      <c r="A339" s="19"/>
      <c r="B339" s="19"/>
      <c r="C339" s="19"/>
      <c r="D339" s="19"/>
      <c r="E339" s="19"/>
      <c r="F339" s="19"/>
      <c r="G339" s="19"/>
      <c r="H339" s="19"/>
      <c r="I339" s="19"/>
      <c r="J339" s="19"/>
      <c r="K339" s="19"/>
      <c r="L339" s="19"/>
      <c r="M339" s="19"/>
    </row>
    <row r="340">
      <c r="A340" s="19"/>
      <c r="B340" s="19"/>
      <c r="C340" s="19"/>
      <c r="D340" s="19"/>
      <c r="E340" s="19"/>
      <c r="F340" s="19"/>
      <c r="G340" s="19"/>
      <c r="H340" s="19"/>
      <c r="I340" s="19"/>
      <c r="J340" s="19"/>
      <c r="K340" s="19"/>
      <c r="L340" s="19"/>
      <c r="M340" s="19"/>
    </row>
    <row r="341">
      <c r="A341" s="19"/>
      <c r="B341" s="19"/>
      <c r="C341" s="19"/>
      <c r="D341" s="19"/>
      <c r="E341" s="19"/>
      <c r="F341" s="19"/>
      <c r="G341" s="19"/>
      <c r="H341" s="19"/>
      <c r="I341" s="19"/>
      <c r="J341" s="19"/>
      <c r="K341" s="19"/>
      <c r="L341" s="19"/>
      <c r="M341" s="19"/>
    </row>
    <row r="342">
      <c r="A342" s="19"/>
      <c r="B342" s="19"/>
      <c r="C342" s="19"/>
      <c r="D342" s="19"/>
      <c r="E342" s="19"/>
      <c r="F342" s="19"/>
      <c r="G342" s="19"/>
      <c r="H342" s="19"/>
      <c r="I342" s="19"/>
      <c r="J342" s="19"/>
      <c r="K342" s="19"/>
      <c r="L342" s="19"/>
      <c r="M342" s="19"/>
    </row>
    <row r="343">
      <c r="A343" s="19"/>
      <c r="B343" s="19"/>
      <c r="C343" s="19"/>
      <c r="D343" s="19"/>
      <c r="E343" s="19"/>
      <c r="F343" s="19"/>
      <c r="G343" s="19"/>
      <c r="H343" s="19"/>
      <c r="I343" s="19"/>
      <c r="J343" s="19"/>
      <c r="K343" s="19"/>
      <c r="L343" s="19"/>
      <c r="M343" s="19"/>
    </row>
    <row r="344">
      <c r="A344" s="19"/>
      <c r="B344" s="19"/>
      <c r="C344" s="19"/>
      <c r="D344" s="19"/>
      <c r="E344" s="19"/>
      <c r="F344" s="19"/>
      <c r="G344" s="19"/>
      <c r="H344" s="19"/>
      <c r="I344" s="19"/>
      <c r="J344" s="19"/>
      <c r="K344" s="19"/>
      <c r="L344" s="19"/>
      <c r="M344" s="19"/>
    </row>
    <row r="345">
      <c r="A345" s="19"/>
      <c r="B345" s="19"/>
      <c r="C345" s="19"/>
      <c r="D345" s="19"/>
      <c r="E345" s="19"/>
      <c r="F345" s="19"/>
      <c r="G345" s="19"/>
      <c r="H345" s="19"/>
      <c r="I345" s="19"/>
      <c r="J345" s="19"/>
      <c r="K345" s="19"/>
      <c r="L345" s="19"/>
      <c r="M345" s="19"/>
    </row>
    <row r="346">
      <c r="A346" s="19"/>
      <c r="B346" s="19"/>
      <c r="C346" s="19"/>
      <c r="D346" s="19"/>
      <c r="E346" s="19"/>
      <c r="F346" s="19"/>
      <c r="G346" s="19"/>
      <c r="H346" s="19"/>
      <c r="I346" s="19"/>
      <c r="J346" s="19"/>
      <c r="K346" s="19"/>
      <c r="L346" s="19"/>
      <c r="M346" s="19"/>
    </row>
    <row r="347">
      <c r="A347" s="19"/>
      <c r="B347" s="19"/>
      <c r="C347" s="19"/>
      <c r="D347" s="19"/>
      <c r="E347" s="19"/>
      <c r="F347" s="19"/>
      <c r="G347" s="19"/>
      <c r="H347" s="19"/>
      <c r="I347" s="19"/>
      <c r="J347" s="19"/>
      <c r="K347" s="19"/>
      <c r="L347" s="19"/>
      <c r="M347" s="19"/>
    </row>
    <row r="348">
      <c r="A348" s="19"/>
      <c r="B348" s="19"/>
      <c r="C348" s="19"/>
      <c r="D348" s="19"/>
      <c r="E348" s="19"/>
      <c r="F348" s="19"/>
      <c r="G348" s="19"/>
      <c r="H348" s="19"/>
      <c r="I348" s="19"/>
      <c r="J348" s="19"/>
      <c r="K348" s="19"/>
      <c r="L348" s="19"/>
      <c r="M348" s="19"/>
    </row>
    <row r="349">
      <c r="A349" s="19"/>
      <c r="B349" s="19"/>
      <c r="C349" s="19"/>
      <c r="D349" s="19"/>
      <c r="E349" s="19"/>
      <c r="F349" s="19"/>
      <c r="G349" s="19"/>
      <c r="H349" s="19"/>
      <c r="I349" s="19"/>
      <c r="J349" s="19"/>
      <c r="K349" s="19"/>
      <c r="L349" s="19"/>
      <c r="M349" s="19"/>
    </row>
    <row r="350">
      <c r="A350" s="19"/>
      <c r="B350" s="19"/>
      <c r="C350" s="19"/>
      <c r="D350" s="19"/>
      <c r="E350" s="19"/>
      <c r="F350" s="19"/>
      <c r="G350" s="19"/>
      <c r="H350" s="19"/>
      <c r="I350" s="19"/>
      <c r="J350" s="19"/>
      <c r="K350" s="19"/>
      <c r="L350" s="19"/>
      <c r="M350" s="19"/>
    </row>
    <row r="351">
      <c r="A351" s="19"/>
      <c r="B351" s="19"/>
      <c r="C351" s="19"/>
      <c r="D351" s="19"/>
      <c r="E351" s="19"/>
      <c r="F351" s="19"/>
      <c r="G351" s="19"/>
      <c r="H351" s="19"/>
      <c r="I351" s="19"/>
      <c r="J351" s="19"/>
      <c r="K351" s="19"/>
      <c r="L351" s="19"/>
      <c r="M351" s="19"/>
    </row>
    <row r="352">
      <c r="A352" s="19"/>
      <c r="B352" s="19"/>
      <c r="C352" s="19"/>
      <c r="D352" s="19"/>
      <c r="E352" s="19"/>
      <c r="F352" s="19"/>
      <c r="G352" s="19"/>
      <c r="H352" s="19"/>
      <c r="I352" s="19"/>
      <c r="J352" s="19"/>
      <c r="K352" s="19"/>
      <c r="L352" s="19"/>
      <c r="M352" s="19"/>
    </row>
    <row r="353">
      <c r="A353" s="19"/>
      <c r="B353" s="19"/>
      <c r="C353" s="19"/>
      <c r="D353" s="19"/>
      <c r="E353" s="19"/>
      <c r="F353" s="19"/>
      <c r="G353" s="19"/>
      <c r="H353" s="19"/>
      <c r="I353" s="19"/>
      <c r="J353" s="19"/>
      <c r="K353" s="19"/>
      <c r="L353" s="19"/>
      <c r="M353" s="19"/>
    </row>
    <row r="354">
      <c r="A354" s="19"/>
      <c r="B354" s="19"/>
      <c r="C354" s="19"/>
      <c r="D354" s="19"/>
      <c r="E354" s="19"/>
      <c r="F354" s="19"/>
      <c r="G354" s="19"/>
      <c r="H354" s="19"/>
      <c r="I354" s="19"/>
      <c r="J354" s="19"/>
      <c r="K354" s="19"/>
      <c r="L354" s="19"/>
      <c r="M354" s="19"/>
    </row>
    <row r="355">
      <c r="A355" s="19"/>
      <c r="B355" s="19"/>
      <c r="C355" s="19"/>
      <c r="D355" s="19"/>
      <c r="E355" s="19"/>
      <c r="F355" s="19"/>
      <c r="G355" s="19"/>
      <c r="H355" s="19"/>
      <c r="I355" s="19"/>
      <c r="J355" s="19"/>
      <c r="K355" s="19"/>
      <c r="L355" s="19"/>
      <c r="M355" s="19"/>
    </row>
    <row r="356">
      <c r="A356" s="19"/>
      <c r="B356" s="19"/>
      <c r="C356" s="19"/>
      <c r="D356" s="19"/>
      <c r="E356" s="19"/>
      <c r="F356" s="19"/>
      <c r="G356" s="19"/>
      <c r="H356" s="19"/>
      <c r="I356" s="19"/>
      <c r="J356" s="19"/>
      <c r="K356" s="19"/>
      <c r="L356" s="19"/>
      <c r="M356" s="19"/>
    </row>
    <row r="357">
      <c r="A357" s="19"/>
      <c r="B357" s="19"/>
      <c r="C357" s="19"/>
      <c r="D357" s="19"/>
      <c r="E357" s="19"/>
      <c r="F357" s="19"/>
      <c r="G357" s="19"/>
      <c r="H357" s="19"/>
      <c r="I357" s="19"/>
      <c r="J357" s="19"/>
      <c r="K357" s="19"/>
      <c r="L357" s="19"/>
      <c r="M357" s="19"/>
    </row>
    <row r="358">
      <c r="A358" s="19"/>
      <c r="B358" s="19"/>
      <c r="C358" s="19"/>
      <c r="D358" s="19"/>
      <c r="E358" s="19"/>
      <c r="F358" s="19"/>
      <c r="G358" s="19"/>
      <c r="H358" s="19"/>
      <c r="I358" s="19"/>
      <c r="J358" s="19"/>
      <c r="K358" s="19"/>
      <c r="L358" s="19"/>
      <c r="M358" s="19"/>
    </row>
    <row r="359">
      <c r="A359" s="19"/>
      <c r="B359" s="19"/>
      <c r="C359" s="19"/>
      <c r="D359" s="19"/>
      <c r="E359" s="19"/>
      <c r="F359" s="19"/>
      <c r="G359" s="19"/>
      <c r="H359" s="19"/>
      <c r="I359" s="19"/>
      <c r="J359" s="19"/>
      <c r="K359" s="19"/>
      <c r="L359" s="19"/>
      <c r="M359" s="19"/>
    </row>
    <row r="360">
      <c r="A360" s="19"/>
      <c r="B360" s="19"/>
      <c r="C360" s="19"/>
      <c r="D360" s="19"/>
      <c r="E360" s="19"/>
      <c r="F360" s="19"/>
      <c r="G360" s="19"/>
      <c r="H360" s="19"/>
      <c r="I360" s="19"/>
      <c r="J360" s="19"/>
      <c r="K360" s="19"/>
      <c r="L360" s="19"/>
      <c r="M360" s="19"/>
    </row>
    <row r="361">
      <c r="A361" s="19"/>
      <c r="B361" s="19"/>
      <c r="C361" s="19"/>
      <c r="D361" s="19"/>
      <c r="E361" s="19"/>
      <c r="F361" s="19"/>
      <c r="G361" s="19"/>
      <c r="H361" s="19"/>
      <c r="I361" s="19"/>
      <c r="J361" s="19"/>
      <c r="K361" s="19"/>
      <c r="L361" s="19"/>
      <c r="M361" s="19"/>
    </row>
    <row r="362">
      <c r="A362" s="19"/>
      <c r="B362" s="19"/>
      <c r="C362" s="19"/>
      <c r="D362" s="19"/>
      <c r="E362" s="19"/>
      <c r="F362" s="19"/>
      <c r="G362" s="19"/>
      <c r="H362" s="19"/>
      <c r="I362" s="19"/>
      <c r="J362" s="19"/>
      <c r="K362" s="19"/>
      <c r="L362" s="19"/>
      <c r="M362" s="19"/>
    </row>
    <row r="363">
      <c r="A363" s="19"/>
      <c r="B363" s="19"/>
      <c r="C363" s="19"/>
      <c r="D363" s="19"/>
      <c r="E363" s="19"/>
      <c r="F363" s="19"/>
      <c r="G363" s="19"/>
      <c r="H363" s="19"/>
      <c r="I363" s="19"/>
      <c r="J363" s="19"/>
      <c r="K363" s="19"/>
      <c r="L363" s="19"/>
      <c r="M363" s="19"/>
    </row>
    <row r="364">
      <c r="A364" s="19"/>
      <c r="B364" s="19"/>
      <c r="C364" s="19"/>
      <c r="D364" s="19"/>
      <c r="E364" s="19"/>
      <c r="F364" s="19"/>
      <c r="G364" s="19"/>
      <c r="H364" s="19"/>
      <c r="I364" s="19"/>
      <c r="J364" s="19"/>
      <c r="K364" s="19"/>
      <c r="L364" s="19"/>
      <c r="M364" s="19"/>
    </row>
    <row r="365">
      <c r="A365" s="19"/>
      <c r="B365" s="19"/>
      <c r="C365" s="19"/>
      <c r="D365" s="19"/>
      <c r="E365" s="19"/>
      <c r="F365" s="19"/>
      <c r="G365" s="19"/>
      <c r="H365" s="19"/>
      <c r="I365" s="19"/>
      <c r="J365" s="19"/>
      <c r="K365" s="19"/>
      <c r="L365" s="19"/>
      <c r="M365" s="19"/>
    </row>
    <row r="366">
      <c r="A366" s="19"/>
      <c r="B366" s="19"/>
      <c r="C366" s="19"/>
      <c r="D366" s="19"/>
      <c r="E366" s="19"/>
      <c r="F366" s="19"/>
      <c r="G366" s="19"/>
      <c r="H366" s="19"/>
      <c r="I366" s="19"/>
      <c r="J366" s="19"/>
      <c r="K366" s="19"/>
      <c r="L366" s="19"/>
      <c r="M366" s="19"/>
    </row>
    <row r="367">
      <c r="A367" s="19"/>
      <c r="B367" s="19"/>
      <c r="C367" s="19"/>
      <c r="D367" s="19"/>
      <c r="E367" s="19"/>
      <c r="F367" s="19"/>
      <c r="G367" s="19"/>
      <c r="H367" s="19"/>
      <c r="I367" s="19"/>
      <c r="J367" s="19"/>
      <c r="K367" s="19"/>
      <c r="L367" s="19"/>
      <c r="M367" s="19"/>
    </row>
    <row r="368">
      <c r="A368" s="19"/>
      <c r="B368" s="19"/>
      <c r="C368" s="19"/>
      <c r="D368" s="19"/>
      <c r="E368" s="19"/>
      <c r="F368" s="19"/>
      <c r="G368" s="19"/>
      <c r="H368" s="19"/>
      <c r="I368" s="19"/>
      <c r="J368" s="19"/>
      <c r="K368" s="19"/>
      <c r="L368" s="19"/>
      <c r="M368" s="19"/>
    </row>
    <row r="369">
      <c r="A369" s="19"/>
      <c r="B369" s="19"/>
      <c r="C369" s="19"/>
      <c r="D369" s="19"/>
      <c r="E369" s="19"/>
      <c r="F369" s="19"/>
      <c r="G369" s="19"/>
      <c r="H369" s="19"/>
      <c r="I369" s="19"/>
      <c r="J369" s="19"/>
      <c r="K369" s="19"/>
      <c r="L369" s="19"/>
      <c r="M369" s="19"/>
    </row>
    <row r="370">
      <c r="A370" s="19"/>
      <c r="B370" s="19"/>
      <c r="C370" s="19"/>
      <c r="D370" s="19"/>
      <c r="E370" s="19"/>
      <c r="F370" s="19"/>
      <c r="G370" s="19"/>
      <c r="H370" s="19"/>
      <c r="I370" s="19"/>
      <c r="J370" s="19"/>
      <c r="K370" s="19"/>
      <c r="L370" s="19"/>
      <c r="M370" s="19"/>
    </row>
    <row r="371">
      <c r="A371" s="19"/>
      <c r="B371" s="19"/>
      <c r="C371" s="19"/>
      <c r="D371" s="19"/>
      <c r="E371" s="19"/>
      <c r="F371" s="19"/>
      <c r="G371" s="19"/>
      <c r="H371" s="19"/>
      <c r="I371" s="19"/>
      <c r="J371" s="19"/>
      <c r="K371" s="19"/>
      <c r="L371" s="19"/>
      <c r="M371" s="19"/>
    </row>
    <row r="372">
      <c r="A372" s="19"/>
      <c r="B372" s="19"/>
      <c r="C372" s="19"/>
      <c r="D372" s="19"/>
      <c r="E372" s="19"/>
      <c r="F372" s="19"/>
      <c r="G372" s="19"/>
      <c r="H372" s="19"/>
      <c r="I372" s="19"/>
      <c r="J372" s="19"/>
      <c r="K372" s="19"/>
      <c r="L372" s="19"/>
      <c r="M372" s="19"/>
    </row>
    <row r="373">
      <c r="A373" s="19"/>
      <c r="B373" s="19"/>
      <c r="C373" s="19"/>
      <c r="D373" s="19"/>
      <c r="E373" s="19"/>
      <c r="F373" s="19"/>
      <c r="G373" s="19"/>
      <c r="H373" s="19"/>
      <c r="I373" s="19"/>
      <c r="J373" s="19"/>
      <c r="K373" s="19"/>
      <c r="L373" s="19"/>
      <c r="M373" s="19"/>
    </row>
    <row r="374">
      <c r="A374" s="19"/>
      <c r="B374" s="19"/>
      <c r="C374" s="19"/>
      <c r="D374" s="19"/>
      <c r="E374" s="19"/>
      <c r="F374" s="19"/>
      <c r="G374" s="19"/>
      <c r="H374" s="19"/>
      <c r="I374" s="19"/>
      <c r="J374" s="19"/>
      <c r="K374" s="19"/>
      <c r="L374" s="19"/>
      <c r="M374" s="19"/>
    </row>
    <row r="375">
      <c r="A375" s="19"/>
      <c r="B375" s="19"/>
      <c r="C375" s="19"/>
      <c r="D375" s="19"/>
      <c r="E375" s="19"/>
      <c r="F375" s="19"/>
      <c r="G375" s="19"/>
      <c r="H375" s="19"/>
      <c r="I375" s="19"/>
      <c r="J375" s="19"/>
      <c r="K375" s="19"/>
      <c r="L375" s="19"/>
      <c r="M375" s="19"/>
    </row>
    <row r="376">
      <c r="A376" s="19"/>
      <c r="B376" s="19"/>
      <c r="C376" s="19"/>
      <c r="D376" s="19"/>
      <c r="E376" s="19"/>
      <c r="F376" s="19"/>
      <c r="G376" s="19"/>
      <c r="H376" s="19"/>
      <c r="I376" s="19"/>
      <c r="J376" s="19"/>
      <c r="K376" s="19"/>
      <c r="L376" s="19"/>
      <c r="M376" s="19"/>
    </row>
    <row r="377">
      <c r="A377" s="19"/>
      <c r="B377" s="19"/>
      <c r="C377" s="19"/>
      <c r="D377" s="19"/>
      <c r="E377" s="19"/>
      <c r="F377" s="19"/>
      <c r="G377" s="19"/>
      <c r="H377" s="19"/>
      <c r="I377" s="19"/>
      <c r="J377" s="19"/>
      <c r="K377" s="19"/>
      <c r="L377" s="19"/>
      <c r="M377" s="19"/>
    </row>
    <row r="378">
      <c r="A378" s="19"/>
      <c r="B378" s="19"/>
      <c r="C378" s="19"/>
      <c r="D378" s="19"/>
      <c r="E378" s="19"/>
      <c r="F378" s="19"/>
      <c r="G378" s="19"/>
      <c r="H378" s="19"/>
      <c r="I378" s="19"/>
      <c r="J378" s="19"/>
      <c r="K378" s="19"/>
      <c r="L378" s="19"/>
      <c r="M378" s="19"/>
    </row>
    <row r="379">
      <c r="A379" s="19"/>
      <c r="B379" s="19"/>
      <c r="C379" s="19"/>
      <c r="D379" s="19"/>
      <c r="E379" s="19"/>
      <c r="F379" s="19"/>
      <c r="G379" s="19"/>
      <c r="H379" s="19"/>
      <c r="I379" s="19"/>
      <c r="J379" s="19"/>
      <c r="K379" s="19"/>
      <c r="L379" s="19"/>
      <c r="M379" s="19"/>
    </row>
    <row r="380">
      <c r="A380" s="19"/>
      <c r="B380" s="19"/>
      <c r="C380" s="19"/>
      <c r="D380" s="19"/>
      <c r="E380" s="19"/>
      <c r="F380" s="19"/>
      <c r="G380" s="19"/>
      <c r="H380" s="19"/>
      <c r="I380" s="19"/>
      <c r="J380" s="19"/>
      <c r="K380" s="19"/>
      <c r="L380" s="19"/>
      <c r="M380" s="19"/>
    </row>
    <row r="381">
      <c r="A381" s="19"/>
      <c r="B381" s="19"/>
      <c r="C381" s="19"/>
      <c r="D381" s="19"/>
      <c r="E381" s="19"/>
      <c r="F381" s="19"/>
      <c r="G381" s="19"/>
      <c r="H381" s="19"/>
      <c r="I381" s="19"/>
      <c r="J381" s="19"/>
      <c r="K381" s="19"/>
      <c r="L381" s="19"/>
      <c r="M381" s="19"/>
    </row>
    <row r="382">
      <c r="A382" s="19"/>
      <c r="B382" s="19"/>
      <c r="C382" s="19"/>
      <c r="D382" s="19"/>
      <c r="E382" s="19"/>
      <c r="F382" s="19"/>
      <c r="G382" s="19"/>
      <c r="H382" s="19"/>
      <c r="I382" s="19"/>
      <c r="J382" s="19"/>
      <c r="K382" s="19"/>
      <c r="L382" s="19"/>
      <c r="M382" s="19"/>
    </row>
    <row r="383">
      <c r="A383" s="19"/>
      <c r="B383" s="19"/>
      <c r="C383" s="19"/>
      <c r="D383" s="19"/>
      <c r="E383" s="19"/>
      <c r="F383" s="19"/>
      <c r="G383" s="19"/>
      <c r="H383" s="19"/>
      <c r="I383" s="19"/>
      <c r="J383" s="19"/>
      <c r="K383" s="19"/>
      <c r="L383" s="19"/>
      <c r="M383" s="19"/>
    </row>
    <row r="384">
      <c r="A384" s="19"/>
      <c r="B384" s="19"/>
      <c r="C384" s="19"/>
      <c r="D384" s="19"/>
      <c r="E384" s="19"/>
      <c r="F384" s="19"/>
      <c r="G384" s="19"/>
      <c r="H384" s="19"/>
      <c r="I384" s="19"/>
      <c r="J384" s="19"/>
      <c r="K384" s="19"/>
      <c r="L384" s="19"/>
      <c r="M384" s="19"/>
    </row>
    <row r="385">
      <c r="A385" s="19"/>
      <c r="B385" s="19"/>
      <c r="C385" s="19"/>
      <c r="D385" s="19"/>
      <c r="E385" s="19"/>
      <c r="F385" s="19"/>
      <c r="G385" s="19"/>
      <c r="H385" s="19"/>
      <c r="I385" s="19"/>
      <c r="J385" s="19"/>
      <c r="K385" s="19"/>
      <c r="L385" s="19"/>
      <c r="M385" s="19"/>
    </row>
    <row r="386">
      <c r="A386" s="19"/>
      <c r="B386" s="19"/>
      <c r="C386" s="19"/>
      <c r="D386" s="19"/>
      <c r="E386" s="19"/>
      <c r="F386" s="19"/>
      <c r="G386" s="19"/>
      <c r="H386" s="19"/>
      <c r="I386" s="19"/>
      <c r="J386" s="19"/>
      <c r="K386" s="19"/>
      <c r="L386" s="19"/>
      <c r="M386" s="19"/>
    </row>
    <row r="387">
      <c r="A387" s="19"/>
      <c r="B387" s="19"/>
      <c r="C387" s="19"/>
      <c r="D387" s="19"/>
      <c r="E387" s="19"/>
      <c r="F387" s="19"/>
      <c r="G387" s="19"/>
      <c r="H387" s="19"/>
      <c r="I387" s="19"/>
      <c r="J387" s="19"/>
      <c r="K387" s="19"/>
      <c r="L387" s="19"/>
      <c r="M387" s="19"/>
    </row>
    <row r="388">
      <c r="A388" s="19"/>
      <c r="B388" s="19"/>
      <c r="C388" s="19"/>
      <c r="D388" s="19"/>
      <c r="E388" s="19"/>
      <c r="F388" s="19"/>
      <c r="G388" s="19"/>
      <c r="H388" s="19"/>
      <c r="I388" s="19"/>
      <c r="J388" s="19"/>
      <c r="K388" s="19"/>
      <c r="L388" s="19"/>
      <c r="M388" s="19"/>
    </row>
    <row r="389">
      <c r="A389" s="19"/>
      <c r="B389" s="19"/>
      <c r="C389" s="19"/>
      <c r="D389" s="19"/>
      <c r="E389" s="19"/>
      <c r="F389" s="19"/>
      <c r="G389" s="19"/>
      <c r="H389" s="19"/>
      <c r="I389" s="19"/>
      <c r="J389" s="19"/>
      <c r="K389" s="19"/>
      <c r="L389" s="19"/>
      <c r="M389" s="19"/>
    </row>
    <row r="390">
      <c r="A390" s="19"/>
      <c r="B390" s="19"/>
      <c r="C390" s="19"/>
      <c r="D390" s="19"/>
      <c r="E390" s="19"/>
      <c r="F390" s="19"/>
      <c r="G390" s="19"/>
      <c r="H390" s="19"/>
      <c r="I390" s="19"/>
      <c r="J390" s="19"/>
      <c r="K390" s="19"/>
      <c r="L390" s="19"/>
      <c r="M390" s="19"/>
    </row>
    <row r="391">
      <c r="A391" s="19"/>
      <c r="B391" s="19"/>
      <c r="C391" s="19"/>
      <c r="D391" s="19"/>
      <c r="E391" s="19"/>
      <c r="F391" s="19"/>
      <c r="G391" s="19"/>
      <c r="H391" s="19"/>
      <c r="I391" s="19"/>
      <c r="J391" s="19"/>
      <c r="K391" s="19"/>
      <c r="L391" s="19"/>
      <c r="M391" s="19"/>
    </row>
    <row r="392">
      <c r="A392" s="19"/>
      <c r="B392" s="19"/>
      <c r="C392" s="19"/>
      <c r="D392" s="19"/>
      <c r="E392" s="19"/>
      <c r="F392" s="19"/>
      <c r="G392" s="19"/>
      <c r="H392" s="19"/>
      <c r="I392" s="19"/>
      <c r="J392" s="19"/>
      <c r="K392" s="19"/>
      <c r="L392" s="19"/>
      <c r="M392" s="19"/>
    </row>
    <row r="393">
      <c r="A393" s="19"/>
      <c r="B393" s="19"/>
      <c r="C393" s="19"/>
      <c r="D393" s="19"/>
      <c r="E393" s="19"/>
      <c r="F393" s="19"/>
      <c r="G393" s="19"/>
      <c r="H393" s="19"/>
      <c r="I393" s="19"/>
      <c r="J393" s="19"/>
      <c r="K393" s="19"/>
      <c r="L393" s="19"/>
      <c r="M393" s="19"/>
    </row>
    <row r="394">
      <c r="A394" s="19"/>
      <c r="B394" s="19"/>
      <c r="C394" s="19"/>
      <c r="D394" s="19"/>
      <c r="E394" s="19"/>
      <c r="F394" s="19"/>
      <c r="G394" s="19"/>
      <c r="H394" s="19"/>
      <c r="I394" s="19"/>
      <c r="J394" s="19"/>
      <c r="K394" s="19"/>
      <c r="L394" s="19"/>
      <c r="M394" s="19"/>
    </row>
    <row r="395">
      <c r="A395" s="19"/>
      <c r="B395" s="19"/>
      <c r="C395" s="19"/>
      <c r="D395" s="19"/>
      <c r="E395" s="19"/>
      <c r="F395" s="19"/>
      <c r="G395" s="19"/>
      <c r="H395" s="19"/>
      <c r="I395" s="19"/>
      <c r="J395" s="19"/>
      <c r="K395" s="19"/>
      <c r="L395" s="19"/>
      <c r="M395" s="19"/>
    </row>
    <row r="396">
      <c r="A396" s="19"/>
      <c r="B396" s="19"/>
      <c r="C396" s="19"/>
      <c r="D396" s="19"/>
      <c r="E396" s="19"/>
      <c r="F396" s="19"/>
      <c r="G396" s="19"/>
      <c r="H396" s="19"/>
      <c r="I396" s="19"/>
      <c r="J396" s="19"/>
      <c r="K396" s="19"/>
      <c r="L396" s="19"/>
      <c r="M396" s="19"/>
    </row>
    <row r="397">
      <c r="A397" s="19"/>
      <c r="B397" s="19"/>
      <c r="C397" s="19"/>
      <c r="D397" s="19"/>
      <c r="E397" s="19"/>
      <c r="F397" s="19"/>
      <c r="G397" s="19"/>
      <c r="H397" s="19"/>
      <c r="I397" s="19"/>
      <c r="J397" s="19"/>
      <c r="K397" s="19"/>
      <c r="L397" s="19"/>
      <c r="M397" s="19"/>
    </row>
    <row r="398">
      <c r="A398" s="19"/>
      <c r="B398" s="19"/>
      <c r="C398" s="19"/>
      <c r="D398" s="19"/>
      <c r="E398" s="19"/>
      <c r="F398" s="19"/>
      <c r="G398" s="19"/>
      <c r="H398" s="19"/>
      <c r="I398" s="19"/>
      <c r="J398" s="19"/>
      <c r="K398" s="19"/>
      <c r="L398" s="19"/>
      <c r="M398" s="19"/>
    </row>
    <row r="399">
      <c r="A399" s="19"/>
      <c r="B399" s="19"/>
      <c r="C399" s="19"/>
      <c r="D399" s="19"/>
      <c r="E399" s="19"/>
      <c r="F399" s="19"/>
      <c r="G399" s="19"/>
      <c r="H399" s="19"/>
      <c r="I399" s="19"/>
      <c r="J399" s="19"/>
      <c r="K399" s="19"/>
      <c r="L399" s="19"/>
      <c r="M399" s="19"/>
    </row>
    <row r="400">
      <c r="A400" s="19"/>
      <c r="B400" s="19"/>
      <c r="C400" s="19"/>
      <c r="D400" s="19"/>
      <c r="E400" s="19"/>
      <c r="F400" s="19"/>
      <c r="G400" s="19"/>
      <c r="H400" s="19"/>
      <c r="I400" s="19"/>
      <c r="J400" s="19"/>
      <c r="K400" s="19"/>
      <c r="L400" s="19"/>
      <c r="M400" s="19"/>
    </row>
    <row r="401">
      <c r="A401" s="19"/>
      <c r="B401" s="19"/>
      <c r="C401" s="19"/>
      <c r="D401" s="19"/>
      <c r="E401" s="19"/>
      <c r="F401" s="19"/>
      <c r="G401" s="19"/>
      <c r="H401" s="19"/>
      <c r="I401" s="19"/>
      <c r="J401" s="19"/>
      <c r="K401" s="19"/>
      <c r="L401" s="19"/>
      <c r="M401" s="19"/>
    </row>
    <row r="402">
      <c r="A402" s="19"/>
      <c r="B402" s="19"/>
      <c r="C402" s="19"/>
      <c r="D402" s="19"/>
      <c r="E402" s="19"/>
      <c r="F402" s="19"/>
      <c r="G402" s="19"/>
      <c r="H402" s="19"/>
      <c r="I402" s="19"/>
      <c r="J402" s="19"/>
      <c r="K402" s="19"/>
      <c r="L402" s="19"/>
      <c r="M402" s="19"/>
    </row>
    <row r="403">
      <c r="A403" s="19"/>
      <c r="B403" s="19"/>
      <c r="C403" s="19"/>
      <c r="D403" s="19"/>
      <c r="E403" s="19"/>
      <c r="F403" s="19"/>
      <c r="G403" s="19"/>
      <c r="H403" s="19"/>
      <c r="I403" s="19"/>
      <c r="J403" s="19"/>
      <c r="K403" s="19"/>
      <c r="L403" s="19"/>
      <c r="M403" s="19"/>
    </row>
    <row r="404">
      <c r="A404" s="19"/>
      <c r="B404" s="19"/>
      <c r="C404" s="19"/>
      <c r="D404" s="19"/>
      <c r="E404" s="19"/>
      <c r="F404" s="19"/>
      <c r="G404" s="19"/>
      <c r="H404" s="19"/>
      <c r="I404" s="19"/>
      <c r="J404" s="19"/>
      <c r="K404" s="19"/>
      <c r="L404" s="19"/>
      <c r="M404" s="19"/>
    </row>
    <row r="405">
      <c r="A405" s="19"/>
      <c r="B405" s="19"/>
      <c r="C405" s="19"/>
      <c r="D405" s="19"/>
      <c r="E405" s="19"/>
      <c r="F405" s="19"/>
      <c r="G405" s="19"/>
      <c r="H405" s="19"/>
      <c r="I405" s="19"/>
      <c r="J405" s="19"/>
      <c r="K405" s="19"/>
      <c r="L405" s="19"/>
      <c r="M405" s="19"/>
    </row>
    <row r="406">
      <c r="A406" s="19"/>
      <c r="B406" s="19"/>
      <c r="C406" s="19"/>
      <c r="D406" s="19"/>
      <c r="E406" s="19"/>
      <c r="F406" s="19"/>
      <c r="G406" s="19"/>
      <c r="H406" s="19"/>
      <c r="I406" s="19"/>
      <c r="J406" s="19"/>
      <c r="K406" s="19"/>
      <c r="L406" s="19"/>
      <c r="M406" s="19"/>
    </row>
    <row r="407">
      <c r="A407" s="19"/>
      <c r="B407" s="19"/>
      <c r="C407" s="19"/>
      <c r="D407" s="19"/>
      <c r="E407" s="19"/>
      <c r="F407" s="19"/>
      <c r="G407" s="19"/>
      <c r="H407" s="19"/>
      <c r="I407" s="19"/>
      <c r="J407" s="19"/>
      <c r="K407" s="19"/>
      <c r="L407" s="19"/>
      <c r="M407" s="19"/>
    </row>
    <row r="408">
      <c r="A408" s="19"/>
      <c r="B408" s="19"/>
      <c r="C408" s="19"/>
      <c r="D408" s="19"/>
      <c r="E408" s="19"/>
      <c r="F408" s="19"/>
      <c r="G408" s="19"/>
      <c r="H408" s="19"/>
      <c r="I408" s="19"/>
      <c r="J408" s="19"/>
      <c r="K408" s="19"/>
      <c r="L408" s="19"/>
      <c r="M408" s="19"/>
    </row>
    <row r="409">
      <c r="A409" s="19"/>
      <c r="B409" s="19"/>
      <c r="C409" s="19"/>
      <c r="D409" s="19"/>
      <c r="E409" s="19"/>
      <c r="F409" s="19"/>
      <c r="G409" s="19"/>
      <c r="H409" s="19"/>
      <c r="I409" s="19"/>
      <c r="J409" s="19"/>
      <c r="K409" s="19"/>
      <c r="L409" s="19"/>
      <c r="M409" s="19"/>
    </row>
    <row r="410">
      <c r="A410" s="19"/>
      <c r="B410" s="19"/>
      <c r="C410" s="19"/>
      <c r="D410" s="19"/>
      <c r="E410" s="19"/>
      <c r="F410" s="19"/>
      <c r="G410" s="19"/>
      <c r="H410" s="19"/>
      <c r="I410" s="19"/>
      <c r="J410" s="19"/>
      <c r="K410" s="19"/>
      <c r="L410" s="19"/>
      <c r="M410" s="19"/>
    </row>
    <row r="411">
      <c r="A411" s="19"/>
      <c r="B411" s="19"/>
      <c r="C411" s="19"/>
      <c r="D411" s="19"/>
      <c r="E411" s="19"/>
      <c r="F411" s="19"/>
      <c r="G411" s="19"/>
      <c r="H411" s="19"/>
      <c r="I411" s="19"/>
      <c r="J411" s="19"/>
      <c r="K411" s="19"/>
      <c r="L411" s="19"/>
      <c r="M411" s="19"/>
    </row>
    <row r="412">
      <c r="A412" s="19"/>
      <c r="B412" s="19"/>
      <c r="C412" s="19"/>
      <c r="D412" s="19"/>
      <c r="E412" s="19"/>
      <c r="F412" s="19"/>
      <c r="G412" s="19"/>
      <c r="H412" s="19"/>
      <c r="I412" s="19"/>
      <c r="J412" s="19"/>
      <c r="K412" s="19"/>
      <c r="L412" s="19"/>
      <c r="M412" s="19"/>
    </row>
    <row r="413">
      <c r="A413" s="19"/>
      <c r="B413" s="19"/>
      <c r="C413" s="19"/>
      <c r="D413" s="19"/>
      <c r="E413" s="19"/>
      <c r="F413" s="19"/>
      <c r="G413" s="19"/>
      <c r="H413" s="19"/>
      <c r="I413" s="19"/>
      <c r="J413" s="19"/>
      <c r="K413" s="19"/>
      <c r="L413" s="19"/>
      <c r="M413" s="19"/>
    </row>
    <row r="414">
      <c r="A414" s="19"/>
      <c r="B414" s="19"/>
      <c r="C414" s="19"/>
      <c r="D414" s="19"/>
      <c r="E414" s="19"/>
      <c r="F414" s="19"/>
      <c r="G414" s="19"/>
      <c r="H414" s="19"/>
      <c r="I414" s="19"/>
      <c r="J414" s="19"/>
      <c r="K414" s="19"/>
      <c r="L414" s="19"/>
      <c r="M414" s="19"/>
    </row>
    <row r="415">
      <c r="A415" s="19"/>
      <c r="B415" s="19"/>
      <c r="C415" s="19"/>
      <c r="D415" s="19"/>
      <c r="E415" s="19"/>
      <c r="F415" s="19"/>
      <c r="G415" s="19"/>
      <c r="H415" s="19"/>
      <c r="I415" s="19"/>
      <c r="J415" s="19"/>
      <c r="K415" s="19"/>
      <c r="L415" s="19"/>
      <c r="M415" s="19"/>
    </row>
    <row r="416">
      <c r="A416" s="19"/>
      <c r="B416" s="19"/>
      <c r="C416" s="19"/>
      <c r="D416" s="19"/>
      <c r="E416" s="19"/>
      <c r="F416" s="19"/>
      <c r="G416" s="19"/>
      <c r="H416" s="19"/>
      <c r="I416" s="19"/>
      <c r="J416" s="19"/>
      <c r="K416" s="19"/>
      <c r="L416" s="19"/>
      <c r="M416" s="19"/>
    </row>
    <row r="417">
      <c r="A417" s="19"/>
      <c r="B417" s="19"/>
      <c r="C417" s="19"/>
      <c r="D417" s="19"/>
      <c r="E417" s="19"/>
      <c r="F417" s="19"/>
      <c r="G417" s="19"/>
      <c r="H417" s="19"/>
      <c r="I417" s="19"/>
      <c r="J417" s="19"/>
      <c r="K417" s="19"/>
      <c r="L417" s="19"/>
      <c r="M417" s="19"/>
    </row>
    <row r="418">
      <c r="A418" s="19"/>
      <c r="B418" s="19"/>
      <c r="C418" s="19"/>
      <c r="D418" s="19"/>
      <c r="E418" s="19"/>
      <c r="F418" s="19"/>
      <c r="G418" s="19"/>
      <c r="H418" s="19"/>
      <c r="I418" s="19"/>
      <c r="J418" s="19"/>
      <c r="K418" s="19"/>
      <c r="L418" s="19"/>
      <c r="M418" s="19"/>
    </row>
    <row r="419">
      <c r="A419" s="19"/>
      <c r="B419" s="19"/>
      <c r="C419" s="19"/>
      <c r="D419" s="19"/>
      <c r="E419" s="19"/>
      <c r="F419" s="19"/>
      <c r="G419" s="19"/>
      <c r="H419" s="19"/>
      <c r="I419" s="19"/>
      <c r="J419" s="19"/>
      <c r="K419" s="19"/>
      <c r="L419" s="19"/>
      <c r="M419" s="19"/>
    </row>
    <row r="420">
      <c r="A420" s="19"/>
      <c r="B420" s="19"/>
      <c r="C420" s="19"/>
      <c r="D420" s="19"/>
      <c r="E420" s="19"/>
      <c r="F420" s="19"/>
      <c r="G420" s="19"/>
      <c r="H420" s="19"/>
      <c r="I420" s="19"/>
      <c r="J420" s="19"/>
      <c r="K420" s="19"/>
      <c r="L420" s="19"/>
      <c r="M420" s="19"/>
    </row>
    <row r="421">
      <c r="A421" s="19"/>
      <c r="B421" s="19"/>
      <c r="C421" s="19"/>
      <c r="D421" s="19"/>
      <c r="E421" s="19"/>
      <c r="F421" s="19"/>
      <c r="G421" s="19"/>
      <c r="H421" s="19"/>
      <c r="I421" s="19"/>
      <c r="J421" s="19"/>
      <c r="K421" s="19"/>
      <c r="L421" s="19"/>
      <c r="M421" s="19"/>
    </row>
    <row r="422">
      <c r="A422" s="19"/>
      <c r="B422" s="19"/>
      <c r="C422" s="19"/>
      <c r="D422" s="19"/>
      <c r="E422" s="19"/>
      <c r="F422" s="19"/>
      <c r="G422" s="19"/>
      <c r="H422" s="19"/>
      <c r="I422" s="19"/>
      <c r="J422" s="19"/>
      <c r="K422" s="19"/>
      <c r="L422" s="19"/>
      <c r="M422" s="19"/>
    </row>
    <row r="423">
      <c r="A423" s="19"/>
      <c r="B423" s="19"/>
      <c r="C423" s="19"/>
      <c r="D423" s="19"/>
      <c r="E423" s="19"/>
      <c r="F423" s="19"/>
      <c r="G423" s="19"/>
      <c r="H423" s="19"/>
      <c r="I423" s="19"/>
      <c r="J423" s="19"/>
      <c r="K423" s="19"/>
      <c r="L423" s="19"/>
      <c r="M423" s="19"/>
    </row>
    <row r="424">
      <c r="A424" s="19"/>
      <c r="B424" s="19"/>
      <c r="C424" s="19"/>
      <c r="D424" s="19"/>
      <c r="E424" s="19"/>
      <c r="F424" s="19"/>
      <c r="G424" s="19"/>
      <c r="H424" s="19"/>
      <c r="I424" s="19"/>
      <c r="J424" s="19"/>
      <c r="K424" s="19"/>
      <c r="L424" s="19"/>
      <c r="M424" s="19"/>
    </row>
    <row r="425">
      <c r="A425" s="19"/>
      <c r="B425" s="19"/>
      <c r="C425" s="19"/>
      <c r="D425" s="19"/>
      <c r="E425" s="19"/>
      <c r="F425" s="19"/>
      <c r="G425" s="19"/>
      <c r="H425" s="19"/>
      <c r="I425" s="19"/>
      <c r="J425" s="19"/>
      <c r="K425" s="19"/>
      <c r="L425" s="19"/>
      <c r="M425" s="19"/>
    </row>
    <row r="426">
      <c r="A426" s="19"/>
      <c r="B426" s="19"/>
      <c r="C426" s="19"/>
      <c r="D426" s="19"/>
      <c r="E426" s="19"/>
      <c r="F426" s="19"/>
      <c r="G426" s="19"/>
      <c r="H426" s="19"/>
      <c r="I426" s="19"/>
      <c r="J426" s="19"/>
      <c r="K426" s="19"/>
      <c r="L426" s="19"/>
      <c r="M426" s="19"/>
    </row>
    <row r="427">
      <c r="A427" s="19"/>
      <c r="B427" s="19"/>
      <c r="C427" s="19"/>
      <c r="D427" s="19"/>
      <c r="E427" s="19"/>
      <c r="F427" s="19"/>
      <c r="G427" s="19"/>
      <c r="H427" s="19"/>
      <c r="I427" s="19"/>
      <c r="J427" s="19"/>
      <c r="K427" s="19"/>
      <c r="L427" s="19"/>
      <c r="M427" s="19"/>
    </row>
    <row r="428">
      <c r="A428" s="19"/>
      <c r="B428" s="19"/>
      <c r="C428" s="19"/>
      <c r="D428" s="19"/>
      <c r="E428" s="19"/>
      <c r="F428" s="19"/>
      <c r="G428" s="19"/>
      <c r="H428" s="19"/>
      <c r="I428" s="19"/>
      <c r="J428" s="19"/>
      <c r="K428" s="19"/>
      <c r="L428" s="19"/>
      <c r="M428" s="19"/>
    </row>
    <row r="429">
      <c r="A429" s="19"/>
      <c r="B429" s="19"/>
      <c r="C429" s="19"/>
      <c r="D429" s="19"/>
      <c r="E429" s="19"/>
      <c r="F429" s="19"/>
      <c r="G429" s="19"/>
      <c r="H429" s="19"/>
      <c r="I429" s="19"/>
      <c r="J429" s="19"/>
      <c r="K429" s="19"/>
      <c r="L429" s="19"/>
      <c r="M429" s="19"/>
    </row>
    <row r="430">
      <c r="A430" s="19"/>
      <c r="B430" s="19"/>
      <c r="C430" s="19"/>
      <c r="D430" s="19"/>
      <c r="E430" s="19"/>
      <c r="F430" s="19"/>
      <c r="G430" s="19"/>
      <c r="H430" s="19"/>
      <c r="I430" s="19"/>
      <c r="J430" s="19"/>
      <c r="K430" s="19"/>
      <c r="L430" s="19"/>
      <c r="M430" s="19"/>
    </row>
    <row r="431">
      <c r="A431" s="19"/>
      <c r="B431" s="19"/>
      <c r="C431" s="19"/>
      <c r="D431" s="19"/>
      <c r="E431" s="19"/>
      <c r="F431" s="19"/>
      <c r="G431" s="19"/>
      <c r="H431" s="19"/>
      <c r="I431" s="19"/>
      <c r="J431" s="19"/>
      <c r="K431" s="19"/>
      <c r="L431" s="19"/>
      <c r="M431" s="19"/>
    </row>
    <row r="432">
      <c r="A432" s="19"/>
      <c r="B432" s="19"/>
      <c r="C432" s="19"/>
      <c r="D432" s="19"/>
      <c r="E432" s="19"/>
      <c r="F432" s="19"/>
      <c r="G432" s="19"/>
      <c r="H432" s="19"/>
      <c r="I432" s="19"/>
      <c r="J432" s="19"/>
      <c r="K432" s="19"/>
      <c r="L432" s="19"/>
      <c r="M432" s="19"/>
    </row>
    <row r="433">
      <c r="A433" s="19"/>
      <c r="B433" s="19"/>
      <c r="C433" s="19"/>
      <c r="D433" s="19"/>
      <c r="E433" s="19"/>
      <c r="F433" s="19"/>
      <c r="G433" s="19"/>
      <c r="H433" s="19"/>
      <c r="I433" s="19"/>
      <c r="J433" s="19"/>
      <c r="K433" s="19"/>
      <c r="L433" s="19"/>
      <c r="M433" s="19"/>
    </row>
    <row r="434">
      <c r="A434" s="19"/>
      <c r="B434" s="19"/>
      <c r="C434" s="19"/>
      <c r="D434" s="19"/>
      <c r="E434" s="19"/>
      <c r="F434" s="19"/>
      <c r="G434" s="19"/>
      <c r="H434" s="19"/>
      <c r="I434" s="19"/>
      <c r="J434" s="19"/>
      <c r="K434" s="19"/>
      <c r="L434" s="19"/>
      <c r="M434" s="19"/>
    </row>
    <row r="435">
      <c r="A435" s="19"/>
      <c r="B435" s="19"/>
      <c r="C435" s="19"/>
      <c r="D435" s="19"/>
      <c r="E435" s="19"/>
      <c r="F435" s="19"/>
      <c r="G435" s="19"/>
      <c r="H435" s="19"/>
      <c r="I435" s="19"/>
      <c r="J435" s="19"/>
      <c r="K435" s="19"/>
      <c r="L435" s="19"/>
      <c r="M435" s="19"/>
    </row>
    <row r="436">
      <c r="A436" s="19"/>
      <c r="B436" s="19"/>
      <c r="C436" s="19"/>
      <c r="D436" s="19"/>
      <c r="E436" s="19"/>
      <c r="F436" s="19"/>
      <c r="G436" s="19"/>
      <c r="H436" s="19"/>
      <c r="I436" s="19"/>
      <c r="J436" s="19"/>
      <c r="K436" s="19"/>
      <c r="L436" s="19"/>
      <c r="M436" s="19"/>
    </row>
    <row r="437">
      <c r="A437" s="19"/>
      <c r="B437" s="19"/>
      <c r="C437" s="19"/>
      <c r="D437" s="19"/>
      <c r="E437" s="19"/>
      <c r="F437" s="19"/>
      <c r="G437" s="19"/>
      <c r="H437" s="19"/>
      <c r="I437" s="19"/>
      <c r="J437" s="19"/>
      <c r="K437" s="19"/>
      <c r="L437" s="19"/>
      <c r="M437" s="19"/>
    </row>
    <row r="438">
      <c r="A438" s="19"/>
      <c r="B438" s="19"/>
      <c r="C438" s="19"/>
      <c r="D438" s="19"/>
      <c r="E438" s="19"/>
      <c r="F438" s="19"/>
      <c r="G438" s="19"/>
      <c r="H438" s="19"/>
      <c r="I438" s="19"/>
      <c r="J438" s="19"/>
      <c r="K438" s="19"/>
      <c r="L438" s="19"/>
      <c r="M438" s="19"/>
    </row>
    <row r="439">
      <c r="A439" s="19"/>
      <c r="B439" s="19"/>
      <c r="C439" s="19"/>
      <c r="D439" s="19"/>
      <c r="E439" s="19"/>
      <c r="F439" s="19"/>
      <c r="G439" s="19"/>
      <c r="H439" s="19"/>
      <c r="I439" s="19"/>
      <c r="J439" s="19"/>
      <c r="K439" s="19"/>
      <c r="L439" s="19"/>
      <c r="M439" s="19"/>
    </row>
    <row r="440">
      <c r="A440" s="19"/>
      <c r="B440" s="19"/>
      <c r="C440" s="19"/>
      <c r="D440" s="19"/>
      <c r="E440" s="19"/>
      <c r="F440" s="19"/>
      <c r="G440" s="19"/>
      <c r="H440" s="19"/>
      <c r="I440" s="19"/>
      <c r="J440" s="19"/>
      <c r="K440" s="19"/>
      <c r="L440" s="19"/>
      <c r="M440" s="19"/>
    </row>
    <row r="441">
      <c r="A441" s="19"/>
      <c r="B441" s="19"/>
      <c r="C441" s="19"/>
      <c r="D441" s="19"/>
      <c r="E441" s="19"/>
      <c r="F441" s="19"/>
      <c r="G441" s="19"/>
      <c r="H441" s="19"/>
      <c r="I441" s="19"/>
      <c r="J441" s="19"/>
      <c r="K441" s="19"/>
      <c r="L441" s="19"/>
      <c r="M441" s="19"/>
    </row>
    <row r="442">
      <c r="A442" s="19"/>
      <c r="B442" s="19"/>
      <c r="C442" s="19"/>
      <c r="D442" s="19"/>
      <c r="E442" s="19"/>
      <c r="F442" s="19"/>
      <c r="G442" s="19"/>
      <c r="H442" s="19"/>
      <c r="I442" s="19"/>
      <c r="J442" s="19"/>
      <c r="K442" s="19"/>
      <c r="L442" s="19"/>
      <c r="M442" s="19"/>
    </row>
    <row r="443">
      <c r="A443" s="19"/>
      <c r="B443" s="19"/>
      <c r="C443" s="19"/>
      <c r="D443" s="19"/>
      <c r="E443" s="19"/>
      <c r="F443" s="19"/>
      <c r="G443" s="19"/>
      <c r="H443" s="19"/>
      <c r="I443" s="19"/>
      <c r="J443" s="19"/>
      <c r="K443" s="19"/>
      <c r="L443" s="19"/>
      <c r="M443" s="19"/>
    </row>
    <row r="444">
      <c r="A444" s="19"/>
      <c r="B444" s="19"/>
      <c r="C444" s="19"/>
      <c r="D444" s="19"/>
      <c r="E444" s="19"/>
      <c r="F444" s="19"/>
      <c r="G444" s="19"/>
      <c r="H444" s="19"/>
      <c r="I444" s="19"/>
      <c r="J444" s="19"/>
      <c r="K444" s="19"/>
      <c r="L444" s="19"/>
      <c r="M444" s="19"/>
    </row>
    <row r="445">
      <c r="A445" s="19"/>
      <c r="B445" s="19"/>
      <c r="C445" s="19"/>
      <c r="D445" s="19"/>
      <c r="E445" s="19"/>
      <c r="F445" s="19"/>
      <c r="G445" s="19"/>
      <c r="H445" s="19"/>
      <c r="I445" s="19"/>
      <c r="J445" s="19"/>
      <c r="K445" s="19"/>
      <c r="L445" s="19"/>
      <c r="M445" s="19"/>
    </row>
    <row r="446">
      <c r="A446" s="19"/>
      <c r="B446" s="19"/>
      <c r="C446" s="19"/>
      <c r="D446" s="19"/>
      <c r="E446" s="19"/>
      <c r="F446" s="19"/>
      <c r="G446" s="19"/>
      <c r="H446" s="19"/>
      <c r="I446" s="19"/>
      <c r="J446" s="19"/>
      <c r="K446" s="19"/>
      <c r="L446" s="19"/>
      <c r="M446" s="19"/>
    </row>
    <row r="447">
      <c r="A447" s="19"/>
      <c r="B447" s="19"/>
      <c r="C447" s="19"/>
      <c r="D447" s="19"/>
      <c r="E447" s="19"/>
      <c r="F447" s="19"/>
      <c r="G447" s="19"/>
      <c r="H447" s="19"/>
      <c r="I447" s="19"/>
      <c r="J447" s="19"/>
      <c r="K447" s="19"/>
      <c r="L447" s="19"/>
      <c r="M447" s="19"/>
    </row>
    <row r="448">
      <c r="A448" s="19"/>
      <c r="B448" s="19"/>
      <c r="C448" s="19"/>
      <c r="D448" s="19"/>
      <c r="E448" s="19"/>
      <c r="F448" s="19"/>
      <c r="G448" s="19"/>
      <c r="H448" s="19"/>
      <c r="I448" s="19"/>
      <c r="J448" s="19"/>
      <c r="K448" s="19"/>
      <c r="L448" s="19"/>
      <c r="M448" s="19"/>
    </row>
    <row r="449">
      <c r="A449" s="19"/>
      <c r="B449" s="19"/>
      <c r="C449" s="19"/>
      <c r="D449" s="19"/>
      <c r="E449" s="19"/>
      <c r="F449" s="19"/>
      <c r="G449" s="19"/>
      <c r="H449" s="19"/>
      <c r="I449" s="19"/>
      <c r="J449" s="19"/>
      <c r="K449" s="19"/>
      <c r="L449" s="19"/>
      <c r="M449" s="19"/>
    </row>
    <row r="450">
      <c r="A450" s="19"/>
      <c r="B450" s="19"/>
      <c r="C450" s="19"/>
      <c r="D450" s="19"/>
      <c r="E450" s="19"/>
      <c r="F450" s="19"/>
      <c r="G450" s="19"/>
      <c r="H450" s="19"/>
      <c r="I450" s="19"/>
      <c r="J450" s="19"/>
      <c r="K450" s="19"/>
      <c r="L450" s="19"/>
      <c r="M450" s="19"/>
    </row>
    <row r="451">
      <c r="A451" s="19"/>
      <c r="B451" s="19"/>
      <c r="C451" s="19"/>
      <c r="D451" s="19"/>
      <c r="E451" s="19"/>
      <c r="F451" s="19"/>
      <c r="G451" s="19"/>
      <c r="H451" s="19"/>
      <c r="I451" s="19"/>
      <c r="J451" s="19"/>
      <c r="K451" s="19"/>
      <c r="L451" s="19"/>
      <c r="M451" s="19"/>
    </row>
    <row r="452">
      <c r="A452" s="19"/>
      <c r="B452" s="19"/>
      <c r="C452" s="19"/>
      <c r="D452" s="19"/>
      <c r="E452" s="19"/>
      <c r="F452" s="19"/>
      <c r="G452" s="19"/>
      <c r="H452" s="19"/>
      <c r="I452" s="19"/>
      <c r="J452" s="19"/>
      <c r="K452" s="19"/>
      <c r="L452" s="19"/>
      <c r="M452" s="19"/>
    </row>
    <row r="453">
      <c r="A453" s="19"/>
      <c r="B453" s="19"/>
      <c r="C453" s="19"/>
      <c r="D453" s="19"/>
      <c r="E453" s="19"/>
      <c r="F453" s="19"/>
      <c r="G453" s="19"/>
      <c r="H453" s="19"/>
      <c r="I453" s="19"/>
      <c r="J453" s="19"/>
      <c r="K453" s="19"/>
      <c r="L453" s="19"/>
      <c r="M453" s="19"/>
    </row>
    <row r="454">
      <c r="A454" s="19"/>
      <c r="B454" s="19"/>
      <c r="C454" s="19"/>
      <c r="D454" s="19"/>
      <c r="E454" s="19"/>
      <c r="F454" s="19"/>
      <c r="G454" s="19"/>
      <c r="H454" s="19"/>
      <c r="I454" s="19"/>
      <c r="J454" s="19"/>
      <c r="K454" s="19"/>
      <c r="L454" s="19"/>
      <c r="M454" s="19"/>
    </row>
    <row r="455">
      <c r="A455" s="19"/>
      <c r="B455" s="19"/>
      <c r="C455" s="19"/>
      <c r="D455" s="19"/>
      <c r="E455" s="19"/>
      <c r="F455" s="19"/>
      <c r="G455" s="19"/>
      <c r="H455" s="19"/>
      <c r="I455" s="19"/>
      <c r="J455" s="19"/>
      <c r="K455" s="19"/>
      <c r="L455" s="19"/>
      <c r="M455" s="19"/>
    </row>
    <row r="456">
      <c r="A456" s="19"/>
      <c r="B456" s="19"/>
      <c r="C456" s="19"/>
      <c r="D456" s="19"/>
      <c r="E456" s="19"/>
      <c r="F456" s="19"/>
      <c r="G456" s="19"/>
      <c r="H456" s="19"/>
      <c r="I456" s="19"/>
      <c r="J456" s="19"/>
      <c r="K456" s="19"/>
      <c r="L456" s="19"/>
      <c r="M456" s="19"/>
    </row>
    <row r="457">
      <c r="A457" s="19"/>
      <c r="B457" s="19"/>
      <c r="C457" s="19"/>
      <c r="D457" s="19"/>
      <c r="E457" s="19"/>
      <c r="F457" s="19"/>
      <c r="G457" s="19"/>
      <c r="H457" s="19"/>
      <c r="I457" s="19"/>
      <c r="J457" s="19"/>
      <c r="K457" s="19"/>
      <c r="L457" s="19"/>
      <c r="M457" s="19"/>
    </row>
    <row r="458">
      <c r="A458" s="19"/>
      <c r="B458" s="19"/>
      <c r="C458" s="19"/>
      <c r="D458" s="19"/>
      <c r="E458" s="19"/>
      <c r="F458" s="19"/>
      <c r="G458" s="19"/>
      <c r="H458" s="19"/>
      <c r="I458" s="19"/>
      <c r="J458" s="19"/>
      <c r="K458" s="19"/>
      <c r="L458" s="19"/>
      <c r="M458" s="19"/>
    </row>
    <row r="459">
      <c r="A459" s="19"/>
      <c r="B459" s="19"/>
      <c r="C459" s="19"/>
      <c r="D459" s="19"/>
      <c r="E459" s="19"/>
      <c r="F459" s="19"/>
      <c r="G459" s="19"/>
      <c r="H459" s="19"/>
      <c r="I459" s="19"/>
      <c r="J459" s="19"/>
      <c r="K459" s="19"/>
      <c r="L459" s="19"/>
      <c r="M459" s="19"/>
    </row>
    <row r="460">
      <c r="A460" s="19"/>
      <c r="B460" s="19"/>
      <c r="C460" s="19"/>
      <c r="D460" s="19"/>
      <c r="E460" s="19"/>
      <c r="F460" s="19"/>
      <c r="G460" s="19"/>
      <c r="H460" s="19"/>
      <c r="I460" s="19"/>
      <c r="J460" s="19"/>
      <c r="K460" s="19"/>
      <c r="L460" s="19"/>
      <c r="M460" s="19"/>
    </row>
    <row r="461">
      <c r="A461" s="19"/>
      <c r="B461" s="19"/>
      <c r="C461" s="19"/>
      <c r="D461" s="19"/>
      <c r="E461" s="19"/>
      <c r="F461" s="19"/>
      <c r="G461" s="19"/>
      <c r="H461" s="19"/>
      <c r="I461" s="19"/>
      <c r="J461" s="19"/>
      <c r="K461" s="19"/>
      <c r="L461" s="19"/>
      <c r="M461" s="19"/>
    </row>
    <row r="462">
      <c r="A462" s="19"/>
      <c r="B462" s="19"/>
      <c r="C462" s="19"/>
      <c r="D462" s="19"/>
      <c r="E462" s="19"/>
      <c r="F462" s="19"/>
      <c r="G462" s="19"/>
      <c r="H462" s="19"/>
      <c r="I462" s="19"/>
      <c r="J462" s="19"/>
      <c r="K462" s="19"/>
      <c r="L462" s="19"/>
      <c r="M462" s="19"/>
    </row>
    <row r="463">
      <c r="A463" s="19"/>
      <c r="B463" s="19"/>
      <c r="C463" s="19"/>
      <c r="D463" s="19"/>
      <c r="E463" s="19"/>
      <c r="F463" s="19"/>
      <c r="G463" s="19"/>
      <c r="H463" s="19"/>
      <c r="I463" s="19"/>
      <c r="J463" s="19"/>
      <c r="K463" s="19"/>
      <c r="L463" s="19"/>
      <c r="M463" s="19"/>
    </row>
    <row r="464">
      <c r="A464" s="19"/>
      <c r="B464" s="19"/>
      <c r="C464" s="19"/>
      <c r="D464" s="19"/>
      <c r="E464" s="19"/>
      <c r="F464" s="19"/>
      <c r="G464" s="19"/>
      <c r="H464" s="19"/>
      <c r="I464" s="19"/>
      <c r="J464" s="19"/>
      <c r="K464" s="19"/>
      <c r="L464" s="19"/>
      <c r="M464" s="19"/>
    </row>
    <row r="465">
      <c r="A465" s="19"/>
      <c r="B465" s="19"/>
      <c r="C465" s="19"/>
      <c r="D465" s="19"/>
      <c r="E465" s="19"/>
      <c r="F465" s="19"/>
      <c r="G465" s="19"/>
      <c r="H465" s="19"/>
      <c r="I465" s="19"/>
      <c r="J465" s="19"/>
      <c r="K465" s="19"/>
      <c r="L465" s="19"/>
      <c r="M465" s="19"/>
    </row>
    <row r="466">
      <c r="A466" s="19"/>
      <c r="B466" s="19"/>
      <c r="C466" s="19"/>
      <c r="D466" s="19"/>
      <c r="E466" s="19"/>
      <c r="F466" s="19"/>
      <c r="G466" s="19"/>
      <c r="H466" s="19"/>
      <c r="I466" s="19"/>
      <c r="J466" s="19"/>
      <c r="K466" s="19"/>
      <c r="L466" s="19"/>
      <c r="M466" s="19"/>
    </row>
    <row r="467">
      <c r="A467" s="19"/>
      <c r="B467" s="19"/>
      <c r="C467" s="19"/>
      <c r="D467" s="19"/>
      <c r="E467" s="19"/>
      <c r="F467" s="19"/>
      <c r="G467" s="19"/>
      <c r="H467" s="19"/>
      <c r="I467" s="19"/>
      <c r="J467" s="19"/>
      <c r="K467" s="19"/>
      <c r="L467" s="19"/>
      <c r="M467" s="19"/>
    </row>
    <row r="468">
      <c r="A468" s="19"/>
      <c r="B468" s="19"/>
      <c r="C468" s="19"/>
      <c r="D468" s="19"/>
      <c r="E468" s="19"/>
      <c r="F468" s="19"/>
      <c r="G468" s="19"/>
      <c r="H468" s="19"/>
      <c r="I468" s="19"/>
      <c r="J468" s="19"/>
      <c r="K468" s="19"/>
      <c r="L468" s="19"/>
      <c r="M468" s="19"/>
    </row>
    <row r="469">
      <c r="A469" s="19"/>
      <c r="B469" s="19"/>
      <c r="C469" s="19"/>
      <c r="D469" s="19"/>
      <c r="E469" s="19"/>
      <c r="F469" s="19"/>
      <c r="G469" s="19"/>
      <c r="H469" s="19"/>
      <c r="I469" s="19"/>
      <c r="J469" s="19"/>
      <c r="K469" s="19"/>
      <c r="L469" s="19"/>
      <c r="M469" s="19"/>
    </row>
    <row r="470">
      <c r="A470" s="19"/>
      <c r="B470" s="19"/>
      <c r="C470" s="19"/>
      <c r="D470" s="19"/>
      <c r="E470" s="19"/>
      <c r="F470" s="19"/>
      <c r="G470" s="19"/>
      <c r="H470" s="19"/>
      <c r="I470" s="19"/>
      <c r="J470" s="19"/>
      <c r="K470" s="19"/>
      <c r="L470" s="19"/>
      <c r="M470" s="19"/>
    </row>
    <row r="471">
      <c r="A471" s="19"/>
      <c r="B471" s="19"/>
      <c r="C471" s="19"/>
      <c r="D471" s="19"/>
      <c r="E471" s="19"/>
      <c r="F471" s="19"/>
      <c r="G471" s="19"/>
      <c r="H471" s="19"/>
      <c r="I471" s="19"/>
      <c r="J471" s="19"/>
      <c r="K471" s="19"/>
      <c r="L471" s="19"/>
      <c r="M471" s="19"/>
    </row>
    <row r="472">
      <c r="A472" s="19"/>
      <c r="B472" s="19"/>
      <c r="C472" s="19"/>
      <c r="D472" s="19"/>
      <c r="E472" s="19"/>
      <c r="F472" s="19"/>
      <c r="G472" s="19"/>
      <c r="H472" s="19"/>
      <c r="I472" s="19"/>
      <c r="J472" s="19"/>
      <c r="K472" s="19"/>
      <c r="L472" s="19"/>
      <c r="M472" s="19"/>
    </row>
    <row r="473">
      <c r="A473" s="19"/>
      <c r="B473" s="19"/>
      <c r="C473" s="19"/>
      <c r="D473" s="19"/>
      <c r="E473" s="19"/>
      <c r="F473" s="19"/>
      <c r="G473" s="19"/>
      <c r="H473" s="19"/>
      <c r="I473" s="19"/>
      <c r="J473" s="19"/>
      <c r="K473" s="19"/>
      <c r="L473" s="19"/>
      <c r="M473" s="19"/>
    </row>
    <row r="474">
      <c r="A474" s="19"/>
      <c r="B474" s="19"/>
      <c r="C474" s="19"/>
      <c r="D474" s="19"/>
      <c r="E474" s="19"/>
      <c r="F474" s="19"/>
      <c r="G474" s="19"/>
      <c r="H474" s="19"/>
      <c r="I474" s="19"/>
      <c r="J474" s="19"/>
      <c r="K474" s="19"/>
      <c r="L474" s="19"/>
      <c r="M474" s="19"/>
    </row>
    <row r="475">
      <c r="A475" s="19"/>
      <c r="B475" s="19"/>
      <c r="C475" s="19"/>
      <c r="D475" s="19"/>
      <c r="E475" s="19"/>
      <c r="F475" s="19"/>
      <c r="G475" s="19"/>
      <c r="H475" s="19"/>
      <c r="I475" s="19"/>
      <c r="J475" s="19"/>
      <c r="K475" s="19"/>
      <c r="L475" s="19"/>
      <c r="M475" s="19"/>
    </row>
    <row r="476">
      <c r="A476" s="19"/>
      <c r="B476" s="19"/>
      <c r="C476" s="19"/>
      <c r="D476" s="19"/>
      <c r="E476" s="19"/>
      <c r="F476" s="19"/>
      <c r="G476" s="19"/>
      <c r="H476" s="19"/>
      <c r="I476" s="19"/>
      <c r="J476" s="19"/>
      <c r="K476" s="19"/>
      <c r="L476" s="19"/>
      <c r="M476" s="19"/>
    </row>
    <row r="477">
      <c r="A477" s="19"/>
      <c r="B477" s="19"/>
      <c r="C477" s="19"/>
      <c r="D477" s="19"/>
      <c r="E477" s="19"/>
      <c r="F477" s="19"/>
      <c r="G477" s="19"/>
      <c r="H477" s="19"/>
      <c r="I477" s="19"/>
      <c r="J477" s="19"/>
      <c r="K477" s="19"/>
      <c r="L477" s="19"/>
      <c r="M477" s="19"/>
    </row>
    <row r="478">
      <c r="A478" s="19"/>
      <c r="B478" s="19"/>
      <c r="C478" s="19"/>
      <c r="D478" s="19"/>
      <c r="E478" s="19"/>
      <c r="F478" s="19"/>
      <c r="G478" s="19"/>
      <c r="H478" s="19"/>
      <c r="I478" s="19"/>
      <c r="J478" s="19"/>
      <c r="K478" s="19"/>
      <c r="L478" s="19"/>
      <c r="M478" s="19"/>
    </row>
    <row r="479">
      <c r="A479" s="19"/>
      <c r="B479" s="19"/>
      <c r="C479" s="19"/>
      <c r="D479" s="19"/>
      <c r="E479" s="19"/>
      <c r="F479" s="19"/>
      <c r="G479" s="19"/>
      <c r="H479" s="19"/>
      <c r="I479" s="19"/>
      <c r="J479" s="19"/>
      <c r="K479" s="19"/>
      <c r="L479" s="19"/>
      <c r="M479" s="19"/>
    </row>
    <row r="480">
      <c r="A480" s="19"/>
      <c r="B480" s="19"/>
      <c r="C480" s="19"/>
      <c r="D480" s="19"/>
      <c r="E480" s="19"/>
      <c r="F480" s="19"/>
      <c r="G480" s="19"/>
      <c r="H480" s="19"/>
      <c r="I480" s="19"/>
      <c r="J480" s="19"/>
      <c r="K480" s="19"/>
      <c r="L480" s="19"/>
      <c r="M480" s="19"/>
    </row>
    <row r="481">
      <c r="A481" s="19"/>
      <c r="B481" s="19"/>
      <c r="C481" s="19"/>
      <c r="D481" s="19"/>
      <c r="E481" s="19"/>
      <c r="F481" s="19"/>
      <c r="G481" s="19"/>
      <c r="H481" s="19"/>
      <c r="I481" s="19"/>
      <c r="J481" s="19"/>
      <c r="K481" s="19"/>
      <c r="L481" s="19"/>
      <c r="M481" s="19"/>
    </row>
    <row r="482">
      <c r="A482" s="19"/>
      <c r="B482" s="19"/>
      <c r="C482" s="19"/>
      <c r="D482" s="19"/>
      <c r="E482" s="19"/>
      <c r="F482" s="19"/>
      <c r="G482" s="19"/>
      <c r="H482" s="19"/>
      <c r="I482" s="19"/>
      <c r="J482" s="19"/>
      <c r="K482" s="19"/>
      <c r="L482" s="19"/>
      <c r="M482" s="19"/>
    </row>
    <row r="483">
      <c r="A483" s="19"/>
      <c r="B483" s="19"/>
      <c r="C483" s="19"/>
      <c r="D483" s="19"/>
      <c r="E483" s="19"/>
      <c r="F483" s="19"/>
      <c r="G483" s="19"/>
      <c r="H483" s="19"/>
      <c r="I483" s="19"/>
      <c r="J483" s="19"/>
      <c r="K483" s="19"/>
      <c r="L483" s="19"/>
      <c r="M483" s="19"/>
    </row>
    <row r="484">
      <c r="A484" s="19"/>
      <c r="B484" s="19"/>
      <c r="C484" s="19"/>
      <c r="D484" s="19"/>
      <c r="E484" s="19"/>
      <c r="F484" s="19"/>
      <c r="G484" s="19"/>
      <c r="H484" s="19"/>
      <c r="I484" s="19"/>
      <c r="J484" s="19"/>
      <c r="K484" s="19"/>
      <c r="L484" s="19"/>
      <c r="M484" s="19"/>
    </row>
    <row r="485">
      <c r="A485" s="19"/>
      <c r="B485" s="19"/>
      <c r="C485" s="19"/>
      <c r="D485" s="19"/>
      <c r="E485" s="19"/>
      <c r="F485" s="19"/>
      <c r="G485" s="19"/>
      <c r="H485" s="19"/>
      <c r="I485" s="19"/>
      <c r="J485" s="19"/>
      <c r="K485" s="19"/>
      <c r="L485" s="19"/>
      <c r="M485" s="19"/>
    </row>
    <row r="486">
      <c r="A486" s="19"/>
      <c r="B486" s="19"/>
      <c r="C486" s="19"/>
      <c r="D486" s="19"/>
      <c r="E486" s="19"/>
      <c r="F486" s="19"/>
      <c r="G486" s="19"/>
      <c r="H486" s="19"/>
      <c r="I486" s="19"/>
      <c r="J486" s="19"/>
      <c r="K486" s="19"/>
      <c r="L486" s="19"/>
      <c r="M486" s="19"/>
    </row>
    <row r="487">
      <c r="A487" s="19"/>
      <c r="B487" s="19"/>
      <c r="C487" s="19"/>
      <c r="D487" s="19"/>
      <c r="E487" s="19"/>
      <c r="F487" s="19"/>
      <c r="G487" s="19"/>
      <c r="H487" s="19"/>
      <c r="I487" s="19"/>
      <c r="J487" s="19"/>
      <c r="K487" s="19"/>
      <c r="L487" s="19"/>
      <c r="M487" s="19"/>
    </row>
    <row r="488">
      <c r="A488" s="19"/>
      <c r="B488" s="19"/>
      <c r="C488" s="19"/>
      <c r="D488" s="19"/>
      <c r="E488" s="19"/>
      <c r="F488" s="19"/>
      <c r="G488" s="19"/>
      <c r="H488" s="19"/>
      <c r="I488" s="19"/>
      <c r="J488" s="19"/>
      <c r="K488" s="19"/>
      <c r="L488" s="19"/>
      <c r="M488" s="19"/>
    </row>
    <row r="489">
      <c r="A489" s="19"/>
      <c r="B489" s="19"/>
      <c r="C489" s="19"/>
      <c r="D489" s="19"/>
      <c r="E489" s="19"/>
      <c r="F489" s="19"/>
      <c r="G489" s="19"/>
      <c r="H489" s="19"/>
      <c r="I489" s="19"/>
      <c r="J489" s="19"/>
      <c r="K489" s="19"/>
      <c r="L489" s="19"/>
      <c r="M489" s="19"/>
    </row>
    <row r="490">
      <c r="A490" s="19"/>
      <c r="B490" s="19"/>
      <c r="C490" s="19"/>
      <c r="D490" s="19"/>
      <c r="E490" s="19"/>
      <c r="F490" s="19"/>
      <c r="G490" s="19"/>
      <c r="H490" s="19"/>
      <c r="I490" s="19"/>
      <c r="J490" s="19"/>
      <c r="K490" s="19"/>
      <c r="L490" s="19"/>
      <c r="M490" s="19"/>
    </row>
    <row r="491">
      <c r="A491" s="19"/>
      <c r="B491" s="19"/>
      <c r="C491" s="19"/>
      <c r="D491" s="19"/>
      <c r="E491" s="19"/>
      <c r="F491" s="19"/>
      <c r="G491" s="19"/>
      <c r="H491" s="19"/>
      <c r="I491" s="19"/>
      <c r="J491" s="19"/>
      <c r="K491" s="19"/>
      <c r="L491" s="19"/>
      <c r="M491" s="19"/>
    </row>
    <row r="492">
      <c r="A492" s="19"/>
      <c r="B492" s="19"/>
      <c r="C492" s="19"/>
      <c r="D492" s="19"/>
      <c r="E492" s="19"/>
      <c r="F492" s="19"/>
      <c r="G492" s="19"/>
      <c r="H492" s="19"/>
      <c r="I492" s="19"/>
      <c r="J492" s="19"/>
      <c r="K492" s="19"/>
      <c r="L492" s="19"/>
      <c r="M492" s="19"/>
    </row>
    <row r="493">
      <c r="A493" s="19"/>
      <c r="B493" s="19"/>
      <c r="C493" s="19"/>
      <c r="D493" s="19"/>
      <c r="E493" s="19"/>
      <c r="F493" s="19"/>
      <c r="G493" s="19"/>
      <c r="H493" s="19"/>
      <c r="I493" s="19"/>
      <c r="J493" s="19"/>
      <c r="K493" s="19"/>
      <c r="L493" s="19"/>
      <c r="M493" s="19"/>
    </row>
    <row r="494">
      <c r="A494" s="19"/>
      <c r="B494" s="19"/>
      <c r="C494" s="19"/>
      <c r="D494" s="19"/>
      <c r="E494" s="19"/>
      <c r="F494" s="19"/>
      <c r="G494" s="19"/>
      <c r="H494" s="19"/>
      <c r="I494" s="19"/>
      <c r="J494" s="19"/>
      <c r="K494" s="19"/>
      <c r="L494" s="19"/>
      <c r="M494" s="19"/>
    </row>
    <row r="495">
      <c r="A495" s="19"/>
      <c r="B495" s="19"/>
      <c r="C495" s="19"/>
      <c r="D495" s="19"/>
      <c r="E495" s="19"/>
      <c r="F495" s="19"/>
      <c r="G495" s="19"/>
      <c r="H495" s="19"/>
      <c r="I495" s="19"/>
      <c r="J495" s="19"/>
      <c r="K495" s="19"/>
      <c r="L495" s="19"/>
      <c r="M495" s="19"/>
    </row>
    <row r="496">
      <c r="A496" s="19"/>
      <c r="B496" s="19"/>
      <c r="C496" s="19"/>
      <c r="D496" s="19"/>
      <c r="E496" s="19"/>
      <c r="F496" s="19"/>
      <c r="G496" s="19"/>
      <c r="H496" s="19"/>
      <c r="I496" s="19"/>
      <c r="J496" s="19"/>
      <c r="K496" s="19"/>
      <c r="L496" s="19"/>
      <c r="M496" s="19"/>
    </row>
    <row r="497">
      <c r="A497" s="19"/>
      <c r="B497" s="19"/>
      <c r="C497" s="19"/>
      <c r="D497" s="19"/>
      <c r="E497" s="19"/>
      <c r="F497" s="19"/>
      <c r="G497" s="19"/>
      <c r="H497" s="19"/>
      <c r="I497" s="19"/>
      <c r="J497" s="19"/>
      <c r="K497" s="19"/>
      <c r="L497" s="19"/>
      <c r="M497" s="19"/>
    </row>
    <row r="498">
      <c r="A498" s="19"/>
      <c r="B498" s="19"/>
      <c r="C498" s="19"/>
      <c r="D498" s="19"/>
      <c r="E498" s="19"/>
      <c r="F498" s="19"/>
      <c r="G498" s="19"/>
      <c r="H498" s="19"/>
      <c r="I498" s="19"/>
      <c r="J498" s="19"/>
      <c r="K498" s="19"/>
      <c r="L498" s="19"/>
      <c r="M498" s="19"/>
    </row>
    <row r="499">
      <c r="A499" s="19"/>
      <c r="B499" s="19"/>
      <c r="C499" s="19"/>
      <c r="D499" s="19"/>
      <c r="E499" s="19"/>
      <c r="F499" s="19"/>
      <c r="G499" s="19"/>
      <c r="H499" s="19"/>
      <c r="I499" s="19"/>
      <c r="J499" s="19"/>
      <c r="K499" s="19"/>
      <c r="L499" s="19"/>
      <c r="M499" s="19"/>
    </row>
    <row r="500">
      <c r="A500" s="19"/>
      <c r="B500" s="19"/>
      <c r="C500" s="19"/>
      <c r="D500" s="19"/>
      <c r="E500" s="19"/>
      <c r="F500" s="19"/>
      <c r="G500" s="19"/>
      <c r="H500" s="19"/>
      <c r="I500" s="19"/>
      <c r="J500" s="19"/>
      <c r="K500" s="19"/>
      <c r="L500" s="19"/>
      <c r="M500" s="19"/>
    </row>
    <row r="501">
      <c r="A501" s="19"/>
      <c r="B501" s="19"/>
      <c r="C501" s="19"/>
      <c r="D501" s="19"/>
      <c r="E501" s="19"/>
      <c r="F501" s="19"/>
      <c r="G501" s="19"/>
      <c r="H501" s="19"/>
      <c r="I501" s="19"/>
      <c r="J501" s="19"/>
      <c r="K501" s="19"/>
      <c r="L501" s="19"/>
      <c r="M501" s="19"/>
    </row>
    <row r="502">
      <c r="A502" s="19"/>
      <c r="B502" s="19"/>
      <c r="C502" s="19"/>
      <c r="D502" s="19"/>
      <c r="E502" s="19"/>
      <c r="F502" s="19"/>
      <c r="G502" s="19"/>
      <c r="H502" s="19"/>
      <c r="I502" s="19"/>
      <c r="J502" s="19"/>
      <c r="K502" s="19"/>
      <c r="L502" s="19"/>
      <c r="M502" s="19"/>
    </row>
    <row r="503">
      <c r="A503" s="19"/>
      <c r="B503" s="19"/>
      <c r="C503" s="19"/>
      <c r="D503" s="19"/>
      <c r="E503" s="19"/>
      <c r="F503" s="19"/>
      <c r="G503" s="19"/>
      <c r="H503" s="19"/>
      <c r="I503" s="19"/>
      <c r="J503" s="19"/>
      <c r="K503" s="19"/>
      <c r="L503" s="19"/>
      <c r="M503" s="19"/>
    </row>
    <row r="504">
      <c r="A504" s="19"/>
      <c r="B504" s="19"/>
      <c r="C504" s="19"/>
      <c r="D504" s="19"/>
      <c r="E504" s="19"/>
      <c r="F504" s="19"/>
      <c r="G504" s="19"/>
      <c r="H504" s="19"/>
      <c r="I504" s="19"/>
      <c r="J504" s="19"/>
      <c r="K504" s="19"/>
      <c r="L504" s="19"/>
      <c r="M504" s="19"/>
    </row>
    <row r="505">
      <c r="A505" s="19"/>
      <c r="B505" s="19"/>
      <c r="C505" s="19"/>
      <c r="D505" s="19"/>
      <c r="E505" s="19"/>
      <c r="F505" s="19"/>
      <c r="G505" s="19"/>
      <c r="H505" s="19"/>
      <c r="I505" s="19"/>
      <c r="J505" s="19"/>
      <c r="K505" s="19"/>
      <c r="L505" s="19"/>
      <c r="M505" s="19"/>
    </row>
    <row r="506">
      <c r="A506" s="19"/>
      <c r="B506" s="19"/>
      <c r="C506" s="19"/>
      <c r="D506" s="19"/>
      <c r="E506" s="19"/>
      <c r="F506" s="19"/>
      <c r="G506" s="19"/>
      <c r="H506" s="19"/>
      <c r="I506" s="19"/>
      <c r="J506" s="19"/>
      <c r="K506" s="19"/>
      <c r="L506" s="19"/>
      <c r="M506" s="19"/>
    </row>
    <row r="507">
      <c r="A507" s="19"/>
      <c r="B507" s="19"/>
      <c r="C507" s="19"/>
      <c r="D507" s="19"/>
      <c r="E507" s="19"/>
      <c r="F507" s="19"/>
      <c r="G507" s="19"/>
      <c r="H507" s="19"/>
      <c r="I507" s="19"/>
      <c r="J507" s="19"/>
      <c r="K507" s="19"/>
      <c r="L507" s="19"/>
      <c r="M507" s="19"/>
    </row>
    <row r="508">
      <c r="A508" s="19"/>
      <c r="B508" s="19"/>
      <c r="C508" s="19"/>
      <c r="D508" s="19"/>
      <c r="E508" s="19"/>
      <c r="F508" s="19"/>
      <c r="G508" s="19"/>
      <c r="H508" s="19"/>
      <c r="I508" s="19"/>
      <c r="J508" s="19"/>
      <c r="K508" s="19"/>
      <c r="L508" s="19"/>
      <c r="M508" s="19"/>
    </row>
    <row r="509">
      <c r="A509" s="19"/>
      <c r="B509" s="19"/>
      <c r="C509" s="19"/>
      <c r="D509" s="19"/>
      <c r="E509" s="19"/>
      <c r="F509" s="19"/>
      <c r="G509" s="19"/>
      <c r="H509" s="19"/>
      <c r="I509" s="19"/>
      <c r="J509" s="19"/>
      <c r="K509" s="19"/>
      <c r="L509" s="19"/>
      <c r="M509" s="19"/>
    </row>
    <row r="510">
      <c r="A510" s="19"/>
      <c r="B510" s="19"/>
      <c r="C510" s="19"/>
      <c r="D510" s="19"/>
      <c r="E510" s="19"/>
      <c r="F510" s="19"/>
      <c r="G510" s="19"/>
      <c r="H510" s="19"/>
      <c r="I510" s="19"/>
      <c r="J510" s="19"/>
      <c r="K510" s="19"/>
      <c r="L510" s="19"/>
      <c r="M510" s="19"/>
    </row>
    <row r="511">
      <c r="A511" s="19"/>
      <c r="B511" s="19"/>
      <c r="C511" s="19"/>
      <c r="D511" s="19"/>
      <c r="E511" s="19"/>
      <c r="F511" s="19"/>
      <c r="G511" s="19"/>
      <c r="H511" s="19"/>
      <c r="I511" s="19"/>
      <c r="J511" s="19"/>
      <c r="K511" s="19"/>
      <c r="L511" s="19"/>
      <c r="M511" s="19"/>
    </row>
    <row r="512">
      <c r="A512" s="19"/>
      <c r="B512" s="19"/>
      <c r="C512" s="19"/>
      <c r="D512" s="19"/>
      <c r="E512" s="19"/>
      <c r="F512" s="19"/>
      <c r="G512" s="19"/>
      <c r="H512" s="19"/>
      <c r="I512" s="19"/>
      <c r="J512" s="19"/>
      <c r="K512" s="19"/>
      <c r="L512" s="19"/>
      <c r="M512" s="19"/>
    </row>
    <row r="513">
      <c r="A513" s="19"/>
      <c r="B513" s="19"/>
      <c r="C513" s="19"/>
      <c r="D513" s="19"/>
      <c r="E513" s="19"/>
      <c r="F513" s="19"/>
      <c r="G513" s="19"/>
      <c r="H513" s="19"/>
      <c r="I513" s="19"/>
      <c r="J513" s="19"/>
      <c r="K513" s="19"/>
      <c r="L513" s="19"/>
      <c r="M513" s="19"/>
    </row>
    <row r="514">
      <c r="A514" s="19"/>
      <c r="B514" s="19"/>
      <c r="C514" s="19"/>
      <c r="D514" s="19"/>
      <c r="E514" s="19"/>
      <c r="F514" s="19"/>
      <c r="G514" s="19"/>
      <c r="H514" s="19"/>
      <c r="I514" s="19"/>
      <c r="J514" s="19"/>
      <c r="K514" s="19"/>
      <c r="L514" s="19"/>
      <c r="M514" s="19"/>
    </row>
    <row r="515">
      <c r="A515" s="19"/>
      <c r="B515" s="19"/>
      <c r="C515" s="19"/>
      <c r="D515" s="19"/>
      <c r="E515" s="19"/>
      <c r="F515" s="19"/>
      <c r="G515" s="19"/>
      <c r="H515" s="19"/>
      <c r="I515" s="19"/>
      <c r="J515" s="19"/>
      <c r="K515" s="19"/>
      <c r="L515" s="19"/>
      <c r="M515" s="19"/>
    </row>
    <row r="516">
      <c r="A516" s="19"/>
      <c r="B516" s="19"/>
      <c r="C516" s="19"/>
      <c r="D516" s="19"/>
      <c r="E516" s="19"/>
      <c r="F516" s="19"/>
      <c r="G516" s="19"/>
      <c r="H516" s="19"/>
      <c r="I516" s="19"/>
      <c r="J516" s="19"/>
      <c r="K516" s="19"/>
      <c r="L516" s="19"/>
      <c r="M516" s="19"/>
    </row>
    <row r="517">
      <c r="A517" s="19"/>
      <c r="B517" s="19"/>
      <c r="C517" s="19"/>
      <c r="D517" s="19"/>
      <c r="E517" s="19"/>
      <c r="F517" s="19"/>
      <c r="G517" s="19"/>
      <c r="H517" s="19"/>
      <c r="I517" s="19"/>
      <c r="J517" s="19"/>
      <c r="K517" s="19"/>
      <c r="L517" s="19"/>
      <c r="M517" s="19"/>
    </row>
    <row r="518">
      <c r="A518" s="19"/>
      <c r="B518" s="19"/>
      <c r="C518" s="19"/>
      <c r="D518" s="19"/>
      <c r="E518" s="19"/>
      <c r="F518" s="19"/>
      <c r="G518" s="19"/>
      <c r="H518" s="19"/>
      <c r="I518" s="19"/>
      <c r="J518" s="19"/>
      <c r="K518" s="19"/>
      <c r="L518" s="19"/>
      <c r="M518" s="19"/>
    </row>
    <row r="519">
      <c r="A519" s="19"/>
      <c r="B519" s="19"/>
      <c r="C519" s="19"/>
      <c r="D519" s="19"/>
      <c r="E519" s="19"/>
      <c r="F519" s="19"/>
      <c r="G519" s="19"/>
      <c r="H519" s="19"/>
      <c r="I519" s="19"/>
      <c r="J519" s="19"/>
      <c r="K519" s="19"/>
      <c r="L519" s="19"/>
      <c r="M519" s="19"/>
    </row>
    <row r="520">
      <c r="A520" s="19"/>
      <c r="B520" s="19"/>
      <c r="C520" s="19"/>
      <c r="D520" s="19"/>
      <c r="E520" s="19"/>
      <c r="F520" s="19"/>
      <c r="G520" s="19"/>
      <c r="H520" s="19"/>
      <c r="I520" s="19"/>
      <c r="J520" s="19"/>
      <c r="K520" s="19"/>
      <c r="L520" s="19"/>
      <c r="M520" s="19"/>
    </row>
    <row r="521">
      <c r="A521" s="19"/>
      <c r="B521" s="19"/>
      <c r="C521" s="19"/>
      <c r="D521" s="19"/>
      <c r="E521" s="19"/>
      <c r="F521" s="19"/>
      <c r="G521" s="19"/>
      <c r="H521" s="19"/>
      <c r="I521" s="19"/>
      <c r="J521" s="19"/>
      <c r="K521" s="19"/>
      <c r="L521" s="19"/>
      <c r="M521" s="19"/>
    </row>
    <row r="522">
      <c r="A522" s="19"/>
      <c r="B522" s="19"/>
      <c r="C522" s="19"/>
      <c r="D522" s="19"/>
      <c r="E522" s="19"/>
      <c r="F522" s="19"/>
      <c r="G522" s="19"/>
      <c r="H522" s="19"/>
      <c r="I522" s="19"/>
      <c r="J522" s="19"/>
      <c r="K522" s="19"/>
      <c r="L522" s="19"/>
      <c r="M522" s="19"/>
    </row>
    <row r="523">
      <c r="A523" s="19"/>
      <c r="B523" s="19"/>
      <c r="C523" s="19"/>
      <c r="D523" s="19"/>
      <c r="E523" s="19"/>
      <c r="F523" s="19"/>
      <c r="G523" s="19"/>
      <c r="H523" s="19"/>
      <c r="I523" s="19"/>
      <c r="J523" s="19"/>
      <c r="K523" s="19"/>
      <c r="L523" s="19"/>
      <c r="M523" s="19"/>
    </row>
    <row r="524">
      <c r="A524" s="19"/>
      <c r="B524" s="19"/>
      <c r="C524" s="19"/>
      <c r="D524" s="19"/>
      <c r="E524" s="19"/>
      <c r="F524" s="19"/>
      <c r="G524" s="19"/>
      <c r="H524" s="19"/>
      <c r="I524" s="19"/>
      <c r="J524" s="19"/>
      <c r="K524" s="19"/>
      <c r="L524" s="19"/>
      <c r="M524" s="19"/>
    </row>
    <row r="525">
      <c r="A525" s="19"/>
      <c r="B525" s="19"/>
      <c r="C525" s="19"/>
      <c r="D525" s="19"/>
      <c r="E525" s="19"/>
      <c r="F525" s="19"/>
      <c r="G525" s="19"/>
      <c r="H525" s="19"/>
      <c r="I525" s="19"/>
      <c r="J525" s="19"/>
      <c r="K525" s="19"/>
      <c r="L525" s="19"/>
      <c r="M525" s="19"/>
    </row>
    <row r="526">
      <c r="A526" s="19"/>
      <c r="B526" s="19"/>
      <c r="C526" s="19"/>
      <c r="D526" s="19"/>
      <c r="E526" s="19"/>
      <c r="F526" s="19"/>
      <c r="G526" s="19"/>
      <c r="H526" s="19"/>
      <c r="I526" s="19"/>
      <c r="J526" s="19"/>
      <c r="K526" s="19"/>
      <c r="L526" s="19"/>
      <c r="M526" s="19"/>
    </row>
    <row r="527">
      <c r="A527" s="19"/>
      <c r="B527" s="19"/>
      <c r="C527" s="19"/>
      <c r="D527" s="19"/>
      <c r="E527" s="19"/>
      <c r="F527" s="19"/>
      <c r="G527" s="19"/>
      <c r="H527" s="19"/>
      <c r="I527" s="19"/>
      <c r="J527" s="19"/>
      <c r="K527" s="19"/>
      <c r="L527" s="19"/>
      <c r="M527" s="19"/>
    </row>
    <row r="528">
      <c r="A528" s="19"/>
      <c r="B528" s="19"/>
      <c r="C528" s="19"/>
      <c r="D528" s="19"/>
      <c r="E528" s="19"/>
      <c r="F528" s="19"/>
      <c r="G528" s="19"/>
      <c r="H528" s="19"/>
      <c r="I528" s="19"/>
      <c r="J528" s="19"/>
      <c r="K528" s="19"/>
      <c r="L528" s="19"/>
      <c r="M528" s="19"/>
    </row>
    <row r="529">
      <c r="A529" s="19"/>
      <c r="B529" s="19"/>
      <c r="C529" s="19"/>
      <c r="D529" s="19"/>
      <c r="E529" s="19"/>
      <c r="F529" s="19"/>
      <c r="G529" s="19"/>
      <c r="H529" s="19"/>
      <c r="I529" s="19"/>
      <c r="J529" s="19"/>
      <c r="K529" s="19"/>
      <c r="L529" s="19"/>
      <c r="M529" s="19"/>
    </row>
    <row r="530">
      <c r="A530" s="19"/>
      <c r="B530" s="19"/>
      <c r="C530" s="19"/>
      <c r="D530" s="19"/>
      <c r="E530" s="19"/>
      <c r="F530" s="19"/>
      <c r="G530" s="19"/>
      <c r="H530" s="19"/>
      <c r="I530" s="19"/>
      <c r="J530" s="19"/>
      <c r="K530" s="19"/>
      <c r="L530" s="19"/>
      <c r="M530" s="19"/>
    </row>
    <row r="531">
      <c r="A531" s="19"/>
      <c r="B531" s="19"/>
      <c r="C531" s="19"/>
      <c r="D531" s="19"/>
      <c r="E531" s="19"/>
      <c r="F531" s="19"/>
      <c r="G531" s="19"/>
      <c r="H531" s="19"/>
      <c r="I531" s="19"/>
      <c r="J531" s="19"/>
      <c r="K531" s="19"/>
      <c r="L531" s="19"/>
      <c r="M531" s="19"/>
    </row>
    <row r="532">
      <c r="A532" s="19"/>
      <c r="B532" s="19"/>
      <c r="C532" s="19"/>
      <c r="D532" s="19"/>
      <c r="E532" s="19"/>
      <c r="F532" s="19"/>
      <c r="G532" s="19"/>
      <c r="H532" s="19"/>
      <c r="I532" s="19"/>
      <c r="J532" s="19"/>
      <c r="K532" s="19"/>
      <c r="L532" s="19"/>
      <c r="M532" s="19"/>
    </row>
    <row r="533">
      <c r="A533" s="19"/>
      <c r="B533" s="19"/>
      <c r="C533" s="19"/>
      <c r="D533" s="19"/>
      <c r="E533" s="19"/>
      <c r="F533" s="19"/>
      <c r="G533" s="19"/>
      <c r="H533" s="19"/>
      <c r="I533" s="19"/>
      <c r="J533" s="19"/>
      <c r="K533" s="19"/>
      <c r="L533" s="19"/>
      <c r="M533" s="19"/>
    </row>
    <row r="534">
      <c r="A534" s="19"/>
      <c r="B534" s="19"/>
      <c r="C534" s="19"/>
      <c r="D534" s="19"/>
      <c r="E534" s="19"/>
      <c r="F534" s="19"/>
      <c r="G534" s="19"/>
      <c r="H534" s="19"/>
      <c r="I534" s="19"/>
      <c r="J534" s="19"/>
      <c r="K534" s="19"/>
      <c r="L534" s="19"/>
      <c r="M534" s="19"/>
    </row>
    <row r="535">
      <c r="A535" s="19"/>
      <c r="B535" s="19"/>
      <c r="C535" s="19"/>
      <c r="D535" s="19"/>
      <c r="E535" s="19"/>
      <c r="F535" s="19"/>
      <c r="G535" s="19"/>
      <c r="H535" s="19"/>
      <c r="I535" s="19"/>
      <c r="J535" s="19"/>
      <c r="K535" s="19"/>
      <c r="L535" s="19"/>
      <c r="M535" s="19"/>
    </row>
    <row r="536">
      <c r="A536" s="19"/>
      <c r="B536" s="19"/>
      <c r="C536" s="19"/>
      <c r="D536" s="19"/>
      <c r="E536" s="19"/>
      <c r="F536" s="19"/>
      <c r="G536" s="19"/>
      <c r="H536" s="19"/>
      <c r="I536" s="19"/>
      <c r="J536" s="19"/>
      <c r="K536" s="19"/>
      <c r="L536" s="19"/>
      <c r="M536" s="19"/>
    </row>
    <row r="537">
      <c r="A537" s="19"/>
      <c r="B537" s="19"/>
      <c r="C537" s="19"/>
      <c r="D537" s="19"/>
      <c r="E537" s="19"/>
      <c r="F537" s="19"/>
      <c r="G537" s="19"/>
      <c r="H537" s="19"/>
      <c r="I537" s="19"/>
      <c r="J537" s="19"/>
      <c r="K537" s="19"/>
      <c r="L537" s="19"/>
      <c r="M537" s="19"/>
    </row>
    <row r="538">
      <c r="A538" s="19"/>
      <c r="B538" s="19"/>
      <c r="C538" s="19"/>
      <c r="D538" s="19"/>
      <c r="E538" s="19"/>
      <c r="F538" s="19"/>
      <c r="G538" s="19"/>
      <c r="H538" s="19"/>
      <c r="I538" s="19"/>
      <c r="J538" s="19"/>
      <c r="K538" s="19"/>
      <c r="L538" s="19"/>
      <c r="M538" s="19"/>
    </row>
    <row r="539">
      <c r="A539" s="19"/>
      <c r="B539" s="19"/>
      <c r="C539" s="19"/>
      <c r="D539" s="19"/>
      <c r="E539" s="19"/>
      <c r="F539" s="19"/>
      <c r="G539" s="19"/>
      <c r="H539" s="19"/>
      <c r="I539" s="19"/>
      <c r="J539" s="19"/>
      <c r="K539" s="19"/>
      <c r="L539" s="19"/>
      <c r="M539" s="19"/>
    </row>
    <row r="540">
      <c r="A540" s="19"/>
      <c r="B540" s="19"/>
      <c r="C540" s="19"/>
      <c r="D540" s="19"/>
      <c r="E540" s="19"/>
      <c r="F540" s="19"/>
      <c r="G540" s="19"/>
      <c r="H540" s="19"/>
      <c r="I540" s="19"/>
      <c r="J540" s="19"/>
      <c r="K540" s="19"/>
      <c r="L540" s="19"/>
      <c r="M540" s="19"/>
    </row>
    <row r="541">
      <c r="A541" s="19"/>
      <c r="B541" s="19"/>
      <c r="C541" s="19"/>
      <c r="D541" s="19"/>
      <c r="E541" s="19"/>
      <c r="F541" s="19"/>
      <c r="G541" s="19"/>
      <c r="H541" s="19"/>
      <c r="I541" s="19"/>
      <c r="J541" s="19"/>
      <c r="K541" s="19"/>
      <c r="L541" s="19"/>
      <c r="M541" s="19"/>
    </row>
    <row r="542">
      <c r="A542" s="19"/>
      <c r="B542" s="19"/>
      <c r="C542" s="19"/>
      <c r="D542" s="19"/>
      <c r="E542" s="19"/>
      <c r="F542" s="19"/>
      <c r="G542" s="19"/>
      <c r="H542" s="19"/>
      <c r="I542" s="19"/>
      <c r="J542" s="19"/>
      <c r="K542" s="19"/>
      <c r="L542" s="19"/>
      <c r="M542" s="19"/>
    </row>
    <row r="543">
      <c r="A543" s="19"/>
      <c r="B543" s="19"/>
      <c r="C543" s="19"/>
      <c r="D543" s="19"/>
      <c r="E543" s="19"/>
      <c r="F543" s="19"/>
      <c r="G543" s="19"/>
      <c r="H543" s="19"/>
      <c r="I543" s="19"/>
      <c r="J543" s="19"/>
      <c r="K543" s="19"/>
      <c r="L543" s="19"/>
      <c r="M543" s="19"/>
    </row>
    <row r="544">
      <c r="A544" s="19"/>
      <c r="B544" s="19"/>
      <c r="C544" s="19"/>
      <c r="D544" s="19"/>
      <c r="E544" s="19"/>
      <c r="F544" s="19"/>
      <c r="G544" s="19"/>
      <c r="H544" s="19"/>
      <c r="I544" s="19"/>
      <c r="J544" s="19"/>
      <c r="K544" s="19"/>
      <c r="L544" s="19"/>
      <c r="M544" s="19"/>
    </row>
    <row r="545">
      <c r="A545" s="19"/>
      <c r="B545" s="19"/>
      <c r="C545" s="19"/>
      <c r="D545" s="19"/>
      <c r="E545" s="19"/>
      <c r="F545" s="19"/>
      <c r="G545" s="19"/>
      <c r="H545" s="19"/>
      <c r="I545" s="19"/>
      <c r="J545" s="19"/>
      <c r="K545" s="19"/>
      <c r="L545" s="19"/>
      <c r="M545" s="19"/>
    </row>
    <row r="546">
      <c r="A546" s="19"/>
      <c r="B546" s="19"/>
      <c r="C546" s="19"/>
      <c r="D546" s="19"/>
      <c r="E546" s="19"/>
      <c r="F546" s="19"/>
      <c r="G546" s="19"/>
      <c r="H546" s="19"/>
      <c r="I546" s="19"/>
      <c r="J546" s="19"/>
      <c r="K546" s="19"/>
      <c r="L546" s="19"/>
      <c r="M546" s="19"/>
    </row>
    <row r="547">
      <c r="A547" s="19"/>
      <c r="B547" s="19"/>
      <c r="C547" s="19"/>
      <c r="D547" s="19"/>
      <c r="E547" s="19"/>
      <c r="F547" s="19"/>
      <c r="G547" s="19"/>
      <c r="H547" s="19"/>
      <c r="I547" s="19"/>
      <c r="J547" s="19"/>
      <c r="K547" s="19"/>
      <c r="L547" s="19"/>
      <c r="M547" s="19"/>
    </row>
    <row r="548">
      <c r="A548" s="19"/>
      <c r="B548" s="19"/>
      <c r="C548" s="19"/>
      <c r="D548" s="19"/>
      <c r="E548" s="19"/>
      <c r="F548" s="19"/>
      <c r="G548" s="19"/>
      <c r="H548" s="19"/>
      <c r="I548" s="19"/>
      <c r="J548" s="19"/>
      <c r="K548" s="19"/>
      <c r="L548" s="19"/>
      <c r="M548" s="19"/>
    </row>
    <row r="549">
      <c r="A549" s="19"/>
      <c r="B549" s="19"/>
      <c r="C549" s="19"/>
      <c r="D549" s="19"/>
      <c r="E549" s="19"/>
      <c r="F549" s="19"/>
      <c r="G549" s="19"/>
      <c r="H549" s="19"/>
      <c r="I549" s="19"/>
      <c r="J549" s="19"/>
      <c r="K549" s="19"/>
      <c r="L549" s="19"/>
      <c r="M549" s="19"/>
    </row>
    <row r="550">
      <c r="A550" s="19"/>
      <c r="B550" s="19"/>
      <c r="C550" s="19"/>
      <c r="D550" s="19"/>
      <c r="E550" s="19"/>
      <c r="F550" s="19"/>
      <c r="G550" s="19"/>
      <c r="H550" s="19"/>
      <c r="I550" s="19"/>
      <c r="J550" s="19"/>
      <c r="K550" s="19"/>
      <c r="L550" s="19"/>
      <c r="M550" s="19"/>
    </row>
    <row r="551">
      <c r="A551" s="19"/>
      <c r="B551" s="19"/>
      <c r="C551" s="19"/>
      <c r="D551" s="19"/>
      <c r="E551" s="19"/>
      <c r="F551" s="19"/>
      <c r="G551" s="19"/>
      <c r="H551" s="19"/>
      <c r="I551" s="19"/>
      <c r="J551" s="19"/>
      <c r="K551" s="19"/>
      <c r="L551" s="19"/>
      <c r="M551" s="19"/>
    </row>
    <row r="552">
      <c r="A552" s="19"/>
      <c r="B552" s="19"/>
      <c r="C552" s="19"/>
      <c r="D552" s="19"/>
      <c r="E552" s="19"/>
      <c r="F552" s="19"/>
      <c r="G552" s="19"/>
      <c r="H552" s="19"/>
      <c r="I552" s="19"/>
      <c r="J552" s="19"/>
      <c r="K552" s="19"/>
      <c r="L552" s="19"/>
      <c r="M552" s="19"/>
    </row>
    <row r="553">
      <c r="A553" s="19"/>
      <c r="B553" s="19"/>
      <c r="C553" s="19"/>
      <c r="D553" s="19"/>
      <c r="E553" s="19"/>
      <c r="F553" s="19"/>
      <c r="G553" s="19"/>
      <c r="H553" s="19"/>
      <c r="I553" s="19"/>
      <c r="J553" s="19"/>
      <c r="K553" s="19"/>
      <c r="L553" s="19"/>
      <c r="M553" s="19"/>
    </row>
    <row r="554">
      <c r="A554" s="19"/>
      <c r="B554" s="19"/>
      <c r="C554" s="19"/>
      <c r="D554" s="19"/>
      <c r="E554" s="19"/>
      <c r="F554" s="19"/>
      <c r="G554" s="19"/>
      <c r="H554" s="19"/>
      <c r="I554" s="19"/>
      <c r="J554" s="19"/>
      <c r="K554" s="19"/>
      <c r="L554" s="19"/>
      <c r="M554" s="19"/>
    </row>
    <row r="555">
      <c r="A555" s="19"/>
      <c r="B555" s="19"/>
      <c r="C555" s="19"/>
      <c r="D555" s="19"/>
      <c r="E555" s="19"/>
      <c r="F555" s="19"/>
      <c r="G555" s="19"/>
      <c r="H555" s="19"/>
      <c r="I555" s="19"/>
      <c r="J555" s="19"/>
      <c r="K555" s="19"/>
      <c r="L555" s="19"/>
      <c r="M555" s="19"/>
    </row>
    <row r="556">
      <c r="A556" s="19"/>
      <c r="B556" s="19"/>
      <c r="C556" s="19"/>
      <c r="D556" s="19"/>
      <c r="E556" s="19"/>
      <c r="F556" s="19"/>
      <c r="G556" s="19"/>
      <c r="H556" s="19"/>
      <c r="I556" s="19"/>
      <c r="J556" s="19"/>
      <c r="K556" s="19"/>
      <c r="L556" s="19"/>
      <c r="M556" s="19"/>
    </row>
    <row r="557">
      <c r="A557" s="19"/>
      <c r="B557" s="19"/>
      <c r="C557" s="19"/>
      <c r="D557" s="19"/>
      <c r="E557" s="19"/>
      <c r="F557" s="19"/>
      <c r="G557" s="19"/>
      <c r="H557" s="19"/>
      <c r="I557" s="19"/>
      <c r="J557" s="19"/>
      <c r="K557" s="19"/>
      <c r="L557" s="19"/>
      <c r="M557" s="19"/>
    </row>
    <row r="558">
      <c r="A558" s="19"/>
      <c r="B558" s="19"/>
      <c r="C558" s="19"/>
      <c r="D558" s="19"/>
      <c r="E558" s="19"/>
      <c r="F558" s="19"/>
      <c r="G558" s="19"/>
      <c r="H558" s="19"/>
      <c r="I558" s="19"/>
      <c r="J558" s="19"/>
      <c r="K558" s="19"/>
      <c r="L558" s="19"/>
      <c r="M558" s="19"/>
    </row>
    <row r="559">
      <c r="A559" s="19"/>
      <c r="B559" s="19"/>
      <c r="C559" s="19"/>
      <c r="D559" s="19"/>
      <c r="E559" s="19"/>
      <c r="F559" s="19"/>
      <c r="G559" s="19"/>
      <c r="H559" s="19"/>
      <c r="I559" s="19"/>
      <c r="J559" s="19"/>
      <c r="K559" s="19"/>
      <c r="L559" s="19"/>
      <c r="M559" s="19"/>
    </row>
    <row r="560">
      <c r="A560" s="19"/>
      <c r="B560" s="19"/>
      <c r="C560" s="19"/>
      <c r="D560" s="19"/>
      <c r="E560" s="19"/>
      <c r="F560" s="19"/>
      <c r="G560" s="19"/>
      <c r="H560" s="19"/>
      <c r="I560" s="19"/>
      <c r="J560" s="19"/>
      <c r="K560" s="19"/>
      <c r="L560" s="19"/>
      <c r="M560" s="19"/>
    </row>
    <row r="561">
      <c r="A561" s="19"/>
      <c r="B561" s="19"/>
      <c r="C561" s="19"/>
      <c r="D561" s="19"/>
      <c r="E561" s="19"/>
      <c r="F561" s="19"/>
      <c r="G561" s="19"/>
      <c r="H561" s="19"/>
      <c r="I561" s="19"/>
      <c r="J561" s="19"/>
      <c r="K561" s="19"/>
      <c r="L561" s="19"/>
      <c r="M561" s="19"/>
    </row>
    <row r="562">
      <c r="A562" s="19"/>
      <c r="B562" s="19"/>
      <c r="C562" s="19"/>
      <c r="D562" s="19"/>
      <c r="E562" s="19"/>
      <c r="F562" s="19"/>
      <c r="G562" s="19"/>
      <c r="H562" s="19"/>
      <c r="I562" s="19"/>
      <c r="J562" s="19"/>
      <c r="K562" s="19"/>
      <c r="L562" s="19"/>
      <c r="M562" s="19"/>
    </row>
    <row r="563">
      <c r="A563" s="19"/>
      <c r="B563" s="19"/>
      <c r="C563" s="19"/>
      <c r="D563" s="19"/>
      <c r="E563" s="19"/>
      <c r="F563" s="19"/>
      <c r="G563" s="19"/>
      <c r="H563" s="19"/>
      <c r="I563" s="19"/>
      <c r="J563" s="19"/>
      <c r="K563" s="19"/>
      <c r="L563" s="19"/>
      <c r="M563" s="19"/>
    </row>
    <row r="564">
      <c r="A564" s="19"/>
      <c r="B564" s="19"/>
      <c r="C564" s="19"/>
      <c r="D564" s="19"/>
      <c r="E564" s="19"/>
      <c r="F564" s="19"/>
      <c r="G564" s="19"/>
      <c r="H564" s="19"/>
      <c r="I564" s="19"/>
      <c r="J564" s="19"/>
      <c r="K564" s="19"/>
      <c r="L564" s="19"/>
      <c r="M564" s="19"/>
    </row>
    <row r="565">
      <c r="A565" s="19"/>
      <c r="B565" s="19"/>
      <c r="C565" s="19"/>
      <c r="D565" s="19"/>
      <c r="E565" s="19"/>
      <c r="F565" s="19"/>
      <c r="G565" s="19"/>
      <c r="H565" s="19"/>
      <c r="I565" s="19"/>
      <c r="J565" s="19"/>
      <c r="K565" s="19"/>
      <c r="L565" s="19"/>
      <c r="M565" s="19"/>
    </row>
    <row r="566">
      <c r="A566" s="19"/>
      <c r="B566" s="19"/>
      <c r="C566" s="19"/>
      <c r="D566" s="19"/>
      <c r="E566" s="19"/>
      <c r="F566" s="19"/>
      <c r="G566" s="19"/>
      <c r="H566" s="19"/>
      <c r="I566" s="19"/>
      <c r="J566" s="19"/>
      <c r="K566" s="19"/>
      <c r="L566" s="19"/>
      <c r="M566" s="19"/>
    </row>
    <row r="567">
      <c r="A567" s="19"/>
      <c r="B567" s="19"/>
      <c r="C567" s="19"/>
      <c r="D567" s="19"/>
      <c r="E567" s="19"/>
      <c r="F567" s="19"/>
      <c r="G567" s="19"/>
      <c r="H567" s="19"/>
      <c r="I567" s="19"/>
      <c r="J567" s="19"/>
      <c r="K567" s="19"/>
      <c r="L567" s="19"/>
      <c r="M567" s="19"/>
    </row>
    <row r="568">
      <c r="A568" s="19"/>
      <c r="B568" s="19"/>
      <c r="C568" s="19"/>
      <c r="D568" s="19"/>
      <c r="E568" s="19"/>
      <c r="F568" s="19"/>
      <c r="G568" s="19"/>
      <c r="H568" s="19"/>
      <c r="I568" s="19"/>
      <c r="J568" s="19"/>
      <c r="K568" s="19"/>
      <c r="L568" s="19"/>
      <c r="M568" s="19"/>
    </row>
    <row r="569">
      <c r="A569" s="19"/>
      <c r="B569" s="19"/>
      <c r="C569" s="19"/>
      <c r="D569" s="19"/>
      <c r="E569" s="19"/>
      <c r="F569" s="19"/>
      <c r="G569" s="19"/>
      <c r="H569" s="19"/>
      <c r="I569" s="19"/>
      <c r="J569" s="19"/>
      <c r="K569" s="19"/>
      <c r="L569" s="19"/>
      <c r="M569" s="19"/>
    </row>
    <row r="570">
      <c r="A570" s="19"/>
      <c r="B570" s="19"/>
      <c r="C570" s="19"/>
      <c r="D570" s="19"/>
      <c r="E570" s="19"/>
      <c r="F570" s="19"/>
      <c r="G570" s="19"/>
      <c r="H570" s="19"/>
      <c r="I570" s="19"/>
      <c r="J570" s="19"/>
      <c r="K570" s="19"/>
      <c r="L570" s="19"/>
      <c r="M570" s="19"/>
    </row>
    <row r="571">
      <c r="A571" s="19"/>
      <c r="B571" s="19"/>
      <c r="C571" s="19"/>
      <c r="D571" s="19"/>
      <c r="E571" s="19"/>
      <c r="F571" s="19"/>
      <c r="G571" s="19"/>
      <c r="H571" s="19"/>
      <c r="I571" s="19"/>
      <c r="J571" s="19"/>
      <c r="K571" s="19"/>
      <c r="L571" s="19"/>
      <c r="M571" s="19"/>
    </row>
    <row r="572">
      <c r="A572" s="19"/>
      <c r="B572" s="19"/>
      <c r="C572" s="19"/>
      <c r="D572" s="19"/>
      <c r="E572" s="19"/>
      <c r="F572" s="19"/>
      <c r="G572" s="19"/>
      <c r="H572" s="19"/>
      <c r="I572" s="19"/>
      <c r="J572" s="19"/>
      <c r="K572" s="19"/>
      <c r="L572" s="19"/>
      <c r="M572" s="19"/>
    </row>
    <row r="573">
      <c r="A573" s="19"/>
      <c r="B573" s="19"/>
      <c r="C573" s="19"/>
      <c r="D573" s="19"/>
      <c r="E573" s="19"/>
      <c r="F573" s="19"/>
      <c r="G573" s="19"/>
      <c r="H573" s="19"/>
      <c r="I573" s="19"/>
      <c r="J573" s="19"/>
      <c r="K573" s="19"/>
      <c r="L573" s="19"/>
      <c r="M573" s="19"/>
    </row>
    <row r="574">
      <c r="A574" s="19"/>
      <c r="B574" s="19"/>
      <c r="C574" s="19"/>
      <c r="D574" s="19"/>
      <c r="E574" s="19"/>
      <c r="F574" s="19"/>
      <c r="G574" s="19"/>
      <c r="H574" s="19"/>
      <c r="I574" s="19"/>
      <c r="J574" s="19"/>
      <c r="K574" s="19"/>
      <c r="L574" s="19"/>
      <c r="M574" s="19"/>
    </row>
    <row r="575">
      <c r="A575" s="19"/>
      <c r="B575" s="19"/>
      <c r="C575" s="19"/>
      <c r="D575" s="19"/>
      <c r="E575" s="19"/>
      <c r="F575" s="19"/>
      <c r="G575" s="19"/>
      <c r="H575" s="19"/>
      <c r="I575" s="19"/>
      <c r="J575" s="19"/>
      <c r="K575" s="19"/>
      <c r="L575" s="19"/>
      <c r="M575" s="19"/>
    </row>
    <row r="576">
      <c r="A576" s="19"/>
      <c r="B576" s="19"/>
      <c r="C576" s="19"/>
      <c r="D576" s="19"/>
      <c r="E576" s="19"/>
      <c r="F576" s="19"/>
      <c r="G576" s="19"/>
      <c r="H576" s="19"/>
      <c r="I576" s="19"/>
      <c r="J576" s="19"/>
      <c r="K576" s="19"/>
      <c r="L576" s="19"/>
      <c r="M576" s="19"/>
    </row>
    <row r="577">
      <c r="A577" s="19"/>
      <c r="B577" s="19"/>
      <c r="C577" s="19"/>
      <c r="D577" s="19"/>
      <c r="E577" s="19"/>
      <c r="F577" s="19"/>
      <c r="G577" s="19"/>
      <c r="H577" s="19"/>
      <c r="I577" s="19"/>
      <c r="J577" s="19"/>
      <c r="K577" s="19"/>
      <c r="L577" s="19"/>
      <c r="M577" s="19"/>
    </row>
    <row r="578">
      <c r="A578" s="19"/>
      <c r="B578" s="19"/>
      <c r="C578" s="19"/>
      <c r="D578" s="19"/>
      <c r="E578" s="19"/>
      <c r="F578" s="19"/>
      <c r="G578" s="19"/>
      <c r="H578" s="19"/>
      <c r="I578" s="19"/>
      <c r="J578" s="19"/>
      <c r="K578" s="19"/>
      <c r="L578" s="19"/>
      <c r="M578" s="19"/>
    </row>
    <row r="579">
      <c r="A579" s="19"/>
      <c r="B579" s="19"/>
      <c r="C579" s="19"/>
      <c r="D579" s="19"/>
      <c r="E579" s="19"/>
      <c r="F579" s="19"/>
      <c r="G579" s="19"/>
      <c r="H579" s="19"/>
      <c r="I579" s="19"/>
      <c r="J579" s="19"/>
      <c r="K579" s="19"/>
      <c r="L579" s="19"/>
      <c r="M579" s="19"/>
    </row>
    <row r="580">
      <c r="A580" s="19"/>
      <c r="B580" s="19"/>
      <c r="C580" s="19"/>
      <c r="D580" s="19"/>
      <c r="E580" s="19"/>
      <c r="F580" s="19"/>
      <c r="G580" s="19"/>
      <c r="H580" s="19"/>
      <c r="I580" s="19"/>
      <c r="J580" s="19"/>
      <c r="K580" s="19"/>
      <c r="L580" s="19"/>
      <c r="M580" s="19"/>
    </row>
    <row r="581">
      <c r="A581" s="19"/>
      <c r="B581" s="19"/>
      <c r="C581" s="19"/>
      <c r="D581" s="19"/>
      <c r="E581" s="19"/>
      <c r="F581" s="19"/>
      <c r="G581" s="19"/>
      <c r="H581" s="19"/>
      <c r="I581" s="19"/>
      <c r="J581" s="19"/>
      <c r="K581" s="19"/>
      <c r="L581" s="19"/>
      <c r="M581" s="19"/>
    </row>
    <row r="582">
      <c r="A582" s="19"/>
      <c r="B582" s="19"/>
      <c r="C582" s="19"/>
      <c r="D582" s="19"/>
      <c r="E582" s="19"/>
      <c r="F582" s="19"/>
      <c r="G582" s="19"/>
      <c r="H582" s="19"/>
      <c r="I582" s="19"/>
      <c r="J582" s="19"/>
      <c r="K582" s="19"/>
      <c r="L582" s="19"/>
      <c r="M582" s="19"/>
    </row>
    <row r="583">
      <c r="A583" s="19"/>
      <c r="B583" s="19"/>
      <c r="C583" s="19"/>
      <c r="D583" s="19"/>
      <c r="E583" s="19"/>
      <c r="F583" s="19"/>
      <c r="G583" s="19"/>
      <c r="H583" s="19"/>
      <c r="I583" s="19"/>
      <c r="J583" s="19"/>
      <c r="K583" s="19"/>
      <c r="L583" s="19"/>
      <c r="M583" s="19"/>
    </row>
    <row r="584">
      <c r="A584" s="19"/>
      <c r="B584" s="19"/>
      <c r="C584" s="19"/>
      <c r="D584" s="19"/>
      <c r="E584" s="19"/>
      <c r="F584" s="19"/>
      <c r="G584" s="19"/>
      <c r="H584" s="19"/>
      <c r="I584" s="19"/>
      <c r="J584" s="19"/>
      <c r="K584" s="19"/>
      <c r="L584" s="19"/>
      <c r="M584" s="19"/>
    </row>
    <row r="585">
      <c r="A585" s="19"/>
      <c r="B585" s="19"/>
      <c r="C585" s="19"/>
      <c r="D585" s="19"/>
      <c r="E585" s="19"/>
      <c r="F585" s="19"/>
      <c r="G585" s="19"/>
      <c r="H585" s="19"/>
      <c r="I585" s="19"/>
      <c r="J585" s="19"/>
      <c r="K585" s="19"/>
      <c r="L585" s="19"/>
      <c r="M585" s="19"/>
    </row>
    <row r="586">
      <c r="A586" s="19"/>
      <c r="B586" s="19"/>
      <c r="C586" s="19"/>
      <c r="D586" s="19"/>
      <c r="E586" s="19"/>
      <c r="F586" s="19"/>
      <c r="G586" s="19"/>
      <c r="H586" s="19"/>
      <c r="I586" s="19"/>
      <c r="J586" s="19"/>
      <c r="K586" s="19"/>
      <c r="L586" s="19"/>
      <c r="M586" s="19"/>
    </row>
    <row r="587">
      <c r="A587" s="19"/>
      <c r="B587" s="19"/>
      <c r="C587" s="19"/>
      <c r="D587" s="19"/>
      <c r="E587" s="19"/>
      <c r="F587" s="19"/>
      <c r="G587" s="19"/>
      <c r="H587" s="19"/>
      <c r="I587" s="19"/>
      <c r="J587" s="19"/>
      <c r="K587" s="19"/>
      <c r="L587" s="19"/>
      <c r="M587" s="19"/>
    </row>
    <row r="588">
      <c r="A588" s="19"/>
      <c r="B588" s="19"/>
      <c r="C588" s="19"/>
      <c r="D588" s="19"/>
      <c r="E588" s="19"/>
      <c r="F588" s="19"/>
      <c r="G588" s="19"/>
      <c r="H588" s="19"/>
      <c r="I588" s="19"/>
      <c r="J588" s="19"/>
      <c r="K588" s="19"/>
      <c r="L588" s="19"/>
      <c r="M588" s="19"/>
    </row>
    <row r="589">
      <c r="A589" s="19"/>
      <c r="B589" s="19"/>
      <c r="C589" s="19"/>
      <c r="D589" s="19"/>
      <c r="E589" s="19"/>
      <c r="F589" s="19"/>
      <c r="G589" s="19"/>
      <c r="H589" s="19"/>
      <c r="I589" s="19"/>
      <c r="J589" s="19"/>
      <c r="K589" s="19"/>
      <c r="L589" s="19"/>
      <c r="M589" s="19"/>
    </row>
    <row r="590">
      <c r="A590" s="19"/>
      <c r="B590" s="19"/>
      <c r="C590" s="19"/>
      <c r="D590" s="19"/>
      <c r="E590" s="19"/>
      <c r="F590" s="19"/>
      <c r="G590" s="19"/>
      <c r="H590" s="19"/>
      <c r="I590" s="19"/>
      <c r="J590" s="19"/>
      <c r="K590" s="19"/>
      <c r="L590" s="19"/>
      <c r="M590" s="19"/>
    </row>
    <row r="591">
      <c r="A591" s="19"/>
      <c r="B591" s="19"/>
      <c r="C591" s="19"/>
      <c r="D591" s="19"/>
      <c r="E591" s="19"/>
      <c r="F591" s="19"/>
      <c r="G591" s="19"/>
      <c r="H591" s="19"/>
      <c r="I591" s="19"/>
      <c r="J591" s="19"/>
      <c r="K591" s="19"/>
      <c r="L591" s="19"/>
      <c r="M591" s="19"/>
    </row>
    <row r="592">
      <c r="A592" s="19"/>
      <c r="B592" s="19"/>
      <c r="C592" s="19"/>
      <c r="D592" s="19"/>
      <c r="E592" s="19"/>
      <c r="F592" s="19"/>
      <c r="G592" s="19"/>
      <c r="H592" s="19"/>
      <c r="I592" s="19"/>
      <c r="J592" s="19"/>
      <c r="K592" s="19"/>
      <c r="L592" s="19"/>
      <c r="M592" s="19"/>
    </row>
    <row r="593">
      <c r="A593" s="19"/>
      <c r="B593" s="19"/>
      <c r="C593" s="19"/>
      <c r="D593" s="19"/>
      <c r="E593" s="19"/>
      <c r="F593" s="19"/>
      <c r="G593" s="19"/>
      <c r="H593" s="19"/>
      <c r="I593" s="19"/>
      <c r="J593" s="19"/>
      <c r="K593" s="19"/>
      <c r="L593" s="19"/>
      <c r="M593" s="19"/>
    </row>
    <row r="594">
      <c r="A594" s="19"/>
      <c r="B594" s="19"/>
      <c r="C594" s="19"/>
      <c r="D594" s="19"/>
      <c r="E594" s="19"/>
      <c r="F594" s="19"/>
      <c r="G594" s="19"/>
      <c r="H594" s="19"/>
      <c r="I594" s="19"/>
      <c r="J594" s="19"/>
      <c r="K594" s="19"/>
      <c r="L594" s="19"/>
      <c r="M594" s="19"/>
    </row>
    <row r="595">
      <c r="A595" s="19"/>
      <c r="B595" s="19"/>
      <c r="C595" s="19"/>
      <c r="D595" s="19"/>
      <c r="E595" s="19"/>
      <c r="F595" s="19"/>
      <c r="G595" s="19"/>
      <c r="H595" s="19"/>
      <c r="I595" s="19"/>
      <c r="J595" s="19"/>
      <c r="K595" s="19"/>
      <c r="L595" s="19"/>
      <c r="M595" s="19"/>
    </row>
    <row r="596">
      <c r="A596" s="19"/>
      <c r="B596" s="19"/>
      <c r="C596" s="19"/>
      <c r="D596" s="19"/>
      <c r="E596" s="19"/>
      <c r="F596" s="19"/>
      <c r="G596" s="19"/>
      <c r="H596" s="19"/>
      <c r="I596" s="19"/>
      <c r="J596" s="19"/>
      <c r="K596" s="19"/>
      <c r="L596" s="19"/>
      <c r="M596" s="19"/>
    </row>
    <row r="597">
      <c r="A597" s="19"/>
      <c r="B597" s="19"/>
      <c r="C597" s="19"/>
      <c r="D597" s="19"/>
      <c r="E597" s="19"/>
      <c r="F597" s="19"/>
      <c r="G597" s="19"/>
      <c r="H597" s="19"/>
      <c r="I597" s="19"/>
      <c r="J597" s="19"/>
      <c r="K597" s="19"/>
      <c r="L597" s="19"/>
      <c r="M597" s="19"/>
    </row>
    <row r="598">
      <c r="A598" s="19"/>
      <c r="B598" s="19"/>
      <c r="C598" s="19"/>
      <c r="D598" s="19"/>
      <c r="E598" s="19"/>
      <c r="F598" s="19"/>
      <c r="G598" s="19"/>
      <c r="H598" s="19"/>
      <c r="I598" s="19"/>
      <c r="J598" s="19"/>
      <c r="K598" s="19"/>
      <c r="L598" s="19"/>
      <c r="M598" s="19"/>
    </row>
    <row r="599">
      <c r="A599" s="19"/>
      <c r="B599" s="19"/>
      <c r="C599" s="19"/>
      <c r="D599" s="19"/>
      <c r="E599" s="19"/>
      <c r="F599" s="19"/>
      <c r="G599" s="19"/>
      <c r="H599" s="19"/>
      <c r="I599" s="19"/>
      <c r="J599" s="19"/>
      <c r="K599" s="19"/>
      <c r="L599" s="19"/>
      <c r="M599" s="19"/>
    </row>
    <row r="600">
      <c r="A600" s="19"/>
      <c r="B600" s="19"/>
      <c r="C600" s="19"/>
      <c r="D600" s="19"/>
      <c r="E600" s="19"/>
      <c r="F600" s="19"/>
      <c r="G600" s="19"/>
      <c r="H600" s="19"/>
      <c r="I600" s="19"/>
      <c r="J600" s="19"/>
      <c r="K600" s="19"/>
      <c r="L600" s="19"/>
      <c r="M600" s="19"/>
    </row>
    <row r="601">
      <c r="A601" s="19"/>
      <c r="B601" s="19"/>
      <c r="C601" s="19"/>
      <c r="D601" s="19"/>
      <c r="E601" s="19"/>
      <c r="F601" s="19"/>
      <c r="G601" s="19"/>
      <c r="H601" s="19"/>
      <c r="I601" s="19"/>
      <c r="J601" s="19"/>
      <c r="K601" s="19"/>
      <c r="L601" s="19"/>
      <c r="M601" s="19"/>
    </row>
    <row r="602">
      <c r="A602" s="19"/>
      <c r="B602" s="19"/>
      <c r="C602" s="19"/>
      <c r="D602" s="19"/>
      <c r="E602" s="19"/>
      <c r="F602" s="19"/>
      <c r="G602" s="19"/>
      <c r="H602" s="19"/>
      <c r="I602" s="19"/>
      <c r="J602" s="19"/>
      <c r="K602" s="19"/>
      <c r="L602" s="19"/>
      <c r="M602" s="19"/>
    </row>
    <row r="603">
      <c r="A603" s="19"/>
      <c r="B603" s="19"/>
      <c r="C603" s="19"/>
      <c r="D603" s="19"/>
      <c r="E603" s="19"/>
      <c r="F603" s="19"/>
      <c r="G603" s="19"/>
      <c r="H603" s="19"/>
      <c r="I603" s="19"/>
      <c r="J603" s="19"/>
      <c r="K603" s="19"/>
      <c r="L603" s="19"/>
      <c r="M603" s="19"/>
    </row>
    <row r="604">
      <c r="A604" s="19"/>
      <c r="B604" s="19"/>
      <c r="C604" s="19"/>
      <c r="D604" s="19"/>
      <c r="E604" s="19"/>
      <c r="F604" s="19"/>
      <c r="G604" s="19"/>
      <c r="H604" s="19"/>
      <c r="I604" s="19"/>
      <c r="J604" s="19"/>
      <c r="K604" s="19"/>
      <c r="L604" s="19"/>
      <c r="M604" s="19"/>
    </row>
    <row r="605">
      <c r="A605" s="19"/>
      <c r="B605" s="19"/>
      <c r="C605" s="19"/>
      <c r="D605" s="19"/>
      <c r="E605" s="19"/>
      <c r="F605" s="19"/>
      <c r="G605" s="19"/>
      <c r="H605" s="19"/>
      <c r="I605" s="19"/>
      <c r="J605" s="19"/>
      <c r="K605" s="19"/>
      <c r="L605" s="19"/>
      <c r="M605" s="19"/>
    </row>
    <row r="606">
      <c r="A606" s="19"/>
      <c r="B606" s="19"/>
      <c r="C606" s="19"/>
      <c r="D606" s="19"/>
      <c r="E606" s="19"/>
      <c r="F606" s="19"/>
      <c r="G606" s="19"/>
      <c r="H606" s="19"/>
      <c r="I606" s="19"/>
      <c r="J606" s="19"/>
      <c r="K606" s="19"/>
      <c r="L606" s="19"/>
      <c r="M606" s="19"/>
    </row>
    <row r="607">
      <c r="A607" s="19"/>
      <c r="B607" s="19"/>
      <c r="C607" s="19"/>
      <c r="D607" s="19"/>
      <c r="E607" s="19"/>
      <c r="F607" s="19"/>
      <c r="G607" s="19"/>
      <c r="H607" s="19"/>
      <c r="I607" s="19"/>
      <c r="J607" s="19"/>
      <c r="K607" s="19"/>
      <c r="L607" s="19"/>
      <c r="M607" s="19"/>
    </row>
    <row r="608">
      <c r="A608" s="19"/>
      <c r="B608" s="19"/>
      <c r="C608" s="19"/>
      <c r="D608" s="19"/>
      <c r="E608" s="19"/>
      <c r="F608" s="19"/>
      <c r="G608" s="19"/>
      <c r="H608" s="19"/>
      <c r="I608" s="19"/>
      <c r="J608" s="19"/>
      <c r="K608" s="19"/>
      <c r="L608" s="19"/>
      <c r="M608" s="19"/>
    </row>
    <row r="609">
      <c r="A609" s="19"/>
      <c r="B609" s="19"/>
      <c r="C609" s="19"/>
      <c r="D609" s="19"/>
      <c r="E609" s="19"/>
      <c r="F609" s="19"/>
      <c r="G609" s="19"/>
      <c r="H609" s="19"/>
      <c r="I609" s="19"/>
      <c r="J609" s="19"/>
      <c r="K609" s="19"/>
      <c r="L609" s="19"/>
      <c r="M609" s="19"/>
    </row>
    <row r="610">
      <c r="A610" s="19"/>
      <c r="B610" s="19"/>
      <c r="C610" s="19"/>
      <c r="D610" s="19"/>
      <c r="E610" s="19"/>
      <c r="F610" s="19"/>
      <c r="G610" s="19"/>
      <c r="H610" s="19"/>
      <c r="I610" s="19"/>
      <c r="J610" s="19"/>
      <c r="K610" s="19"/>
      <c r="L610" s="19"/>
      <c r="M610" s="19"/>
    </row>
    <row r="611">
      <c r="A611" s="19"/>
      <c r="B611" s="19"/>
      <c r="C611" s="19"/>
      <c r="D611" s="19"/>
      <c r="E611" s="19"/>
      <c r="F611" s="19"/>
      <c r="G611" s="19"/>
      <c r="H611" s="19"/>
      <c r="I611" s="19"/>
      <c r="J611" s="19"/>
      <c r="K611" s="19"/>
      <c r="L611" s="19"/>
      <c r="M611" s="19"/>
    </row>
    <row r="612">
      <c r="A612" s="19"/>
      <c r="B612" s="19"/>
      <c r="C612" s="19"/>
      <c r="D612" s="19"/>
      <c r="E612" s="19"/>
      <c r="F612" s="19"/>
      <c r="G612" s="19"/>
      <c r="H612" s="19"/>
      <c r="I612" s="19"/>
      <c r="J612" s="19"/>
      <c r="K612" s="19"/>
      <c r="L612" s="19"/>
      <c r="M612" s="19"/>
    </row>
    <row r="613">
      <c r="A613" s="19"/>
      <c r="B613" s="19"/>
      <c r="C613" s="19"/>
      <c r="D613" s="19"/>
      <c r="E613" s="19"/>
      <c r="F613" s="19"/>
      <c r="G613" s="19"/>
      <c r="H613" s="19"/>
      <c r="I613" s="19"/>
      <c r="J613" s="19"/>
      <c r="K613" s="19"/>
      <c r="L613" s="19"/>
      <c r="M613" s="19"/>
    </row>
    <row r="614">
      <c r="A614" s="19"/>
      <c r="B614" s="19"/>
      <c r="C614" s="19"/>
      <c r="D614" s="19"/>
      <c r="E614" s="19"/>
      <c r="F614" s="19"/>
      <c r="G614" s="19"/>
      <c r="H614" s="19"/>
      <c r="I614" s="19"/>
      <c r="J614" s="19"/>
      <c r="K614" s="19"/>
      <c r="L614" s="19"/>
      <c r="M614" s="19"/>
    </row>
    <row r="615">
      <c r="A615" s="19"/>
      <c r="B615" s="19"/>
      <c r="C615" s="19"/>
      <c r="D615" s="19"/>
      <c r="E615" s="19"/>
      <c r="F615" s="19"/>
      <c r="G615" s="19"/>
      <c r="H615" s="19"/>
      <c r="I615" s="19"/>
      <c r="J615" s="19"/>
      <c r="K615" s="19"/>
      <c r="L615" s="19"/>
      <c r="M615" s="19"/>
    </row>
    <row r="616">
      <c r="A616" s="19"/>
      <c r="B616" s="19"/>
      <c r="C616" s="19"/>
      <c r="D616" s="19"/>
      <c r="E616" s="19"/>
      <c r="F616" s="19"/>
      <c r="G616" s="19"/>
      <c r="H616" s="19"/>
      <c r="I616" s="19"/>
      <c r="J616" s="19"/>
      <c r="K616" s="19"/>
      <c r="L616" s="19"/>
      <c r="M616" s="19"/>
    </row>
    <row r="617">
      <c r="A617" s="19"/>
      <c r="B617" s="19"/>
      <c r="C617" s="19"/>
      <c r="D617" s="19"/>
      <c r="E617" s="19"/>
      <c r="F617" s="19"/>
      <c r="G617" s="19"/>
      <c r="H617" s="19"/>
      <c r="I617" s="19"/>
      <c r="J617" s="19"/>
      <c r="K617" s="19"/>
      <c r="L617" s="19"/>
      <c r="M617" s="19"/>
    </row>
    <row r="618">
      <c r="A618" s="19"/>
      <c r="B618" s="19"/>
      <c r="C618" s="19"/>
      <c r="D618" s="19"/>
      <c r="E618" s="19"/>
      <c r="F618" s="19"/>
      <c r="G618" s="19"/>
      <c r="H618" s="19"/>
      <c r="I618" s="19"/>
      <c r="J618" s="19"/>
      <c r="K618" s="19"/>
      <c r="L618" s="19"/>
      <c r="M618" s="19"/>
    </row>
    <row r="619">
      <c r="A619" s="19"/>
      <c r="B619" s="19"/>
      <c r="C619" s="19"/>
      <c r="D619" s="19"/>
      <c r="E619" s="19"/>
      <c r="F619" s="19"/>
      <c r="G619" s="19"/>
      <c r="H619" s="19"/>
      <c r="I619" s="19"/>
      <c r="J619" s="19"/>
      <c r="K619" s="19"/>
      <c r="L619" s="19"/>
      <c r="M619" s="19"/>
    </row>
    <row r="620">
      <c r="A620" s="19"/>
      <c r="B620" s="19"/>
      <c r="C620" s="19"/>
      <c r="D620" s="19"/>
      <c r="E620" s="19"/>
      <c r="F620" s="19"/>
      <c r="G620" s="19"/>
      <c r="H620" s="19"/>
      <c r="I620" s="19"/>
      <c r="J620" s="19"/>
      <c r="K620" s="19"/>
      <c r="L620" s="19"/>
      <c r="M620" s="19"/>
    </row>
    <row r="621">
      <c r="A621" s="19"/>
      <c r="B621" s="19"/>
      <c r="C621" s="19"/>
      <c r="D621" s="19"/>
      <c r="E621" s="19"/>
      <c r="F621" s="19"/>
      <c r="G621" s="19"/>
      <c r="H621" s="19"/>
      <c r="I621" s="19"/>
      <c r="J621" s="19"/>
      <c r="K621" s="19"/>
      <c r="L621" s="19"/>
      <c r="M621" s="19"/>
    </row>
    <row r="622">
      <c r="A622" s="19"/>
      <c r="B622" s="19"/>
      <c r="C622" s="19"/>
      <c r="D622" s="19"/>
      <c r="E622" s="19"/>
      <c r="F622" s="19"/>
      <c r="G622" s="19"/>
      <c r="H622" s="19"/>
      <c r="I622" s="19"/>
      <c r="J622" s="19"/>
      <c r="K622" s="19"/>
      <c r="L622" s="19"/>
      <c r="M622" s="19"/>
    </row>
    <row r="623">
      <c r="A623" s="19"/>
      <c r="B623" s="19"/>
      <c r="C623" s="19"/>
      <c r="D623" s="19"/>
      <c r="E623" s="19"/>
      <c r="F623" s="19"/>
      <c r="G623" s="19"/>
      <c r="H623" s="19"/>
      <c r="I623" s="19"/>
      <c r="J623" s="19"/>
      <c r="K623" s="19"/>
      <c r="L623" s="19"/>
      <c r="M623" s="19"/>
    </row>
    <row r="624">
      <c r="A624" s="19"/>
      <c r="B624" s="19"/>
      <c r="C624" s="19"/>
      <c r="D624" s="19"/>
      <c r="E624" s="19"/>
      <c r="F624" s="19"/>
      <c r="G624" s="19"/>
      <c r="H624" s="19"/>
      <c r="I624" s="19"/>
      <c r="J624" s="19"/>
      <c r="K624" s="19"/>
      <c r="L624" s="19"/>
      <c r="M624" s="19"/>
    </row>
    <row r="625">
      <c r="A625" s="19"/>
      <c r="B625" s="19"/>
      <c r="C625" s="19"/>
      <c r="D625" s="19"/>
      <c r="E625" s="19"/>
      <c r="F625" s="19"/>
      <c r="G625" s="19"/>
      <c r="H625" s="19"/>
      <c r="I625" s="19"/>
      <c r="J625" s="19"/>
      <c r="K625" s="19"/>
      <c r="L625" s="19"/>
      <c r="M625" s="19"/>
    </row>
    <row r="626">
      <c r="A626" s="19"/>
      <c r="B626" s="19"/>
      <c r="C626" s="19"/>
      <c r="D626" s="19"/>
      <c r="E626" s="19"/>
      <c r="F626" s="19"/>
      <c r="G626" s="19"/>
      <c r="H626" s="19"/>
      <c r="I626" s="19"/>
      <c r="J626" s="19"/>
      <c r="K626" s="19"/>
      <c r="L626" s="19"/>
      <c r="M626" s="19"/>
    </row>
    <row r="627">
      <c r="A627" s="19"/>
      <c r="B627" s="19"/>
      <c r="C627" s="19"/>
      <c r="D627" s="19"/>
      <c r="E627" s="19"/>
      <c r="F627" s="19"/>
      <c r="G627" s="19"/>
      <c r="H627" s="19"/>
      <c r="I627" s="19"/>
      <c r="J627" s="19"/>
      <c r="K627" s="19"/>
      <c r="L627" s="19"/>
      <c r="M627" s="19"/>
    </row>
    <row r="628">
      <c r="A628" s="19"/>
      <c r="B628" s="19"/>
      <c r="C628" s="19"/>
      <c r="D628" s="19"/>
      <c r="E628" s="19"/>
      <c r="F628" s="19"/>
      <c r="G628" s="19"/>
      <c r="H628" s="19"/>
      <c r="I628" s="19"/>
      <c r="J628" s="19"/>
      <c r="K628" s="19"/>
      <c r="L628" s="19"/>
      <c r="M628" s="19"/>
    </row>
    <row r="629">
      <c r="A629" s="19"/>
      <c r="B629" s="19"/>
      <c r="C629" s="19"/>
      <c r="D629" s="19"/>
      <c r="E629" s="19"/>
      <c r="F629" s="19"/>
      <c r="G629" s="19"/>
      <c r="H629" s="19"/>
      <c r="I629" s="19"/>
      <c r="J629" s="19"/>
      <c r="K629" s="19"/>
      <c r="L629" s="19"/>
      <c r="M629" s="19"/>
    </row>
    <row r="630">
      <c r="A630" s="19"/>
      <c r="B630" s="19"/>
      <c r="C630" s="19"/>
      <c r="D630" s="19"/>
      <c r="E630" s="19"/>
      <c r="F630" s="19"/>
      <c r="G630" s="19"/>
      <c r="H630" s="19"/>
      <c r="I630" s="19"/>
      <c r="J630" s="19"/>
      <c r="K630" s="19"/>
      <c r="L630" s="19"/>
      <c r="M630" s="19"/>
    </row>
    <row r="631">
      <c r="A631" s="19"/>
      <c r="B631" s="19"/>
      <c r="C631" s="19"/>
      <c r="D631" s="19"/>
      <c r="E631" s="19"/>
      <c r="F631" s="19"/>
      <c r="G631" s="19"/>
      <c r="H631" s="19"/>
      <c r="I631" s="19"/>
      <c r="J631" s="19"/>
      <c r="K631" s="19"/>
      <c r="L631" s="19"/>
      <c r="M631" s="19"/>
    </row>
    <row r="632">
      <c r="A632" s="19"/>
      <c r="B632" s="19"/>
      <c r="C632" s="19"/>
      <c r="D632" s="19"/>
      <c r="E632" s="19"/>
      <c r="F632" s="19"/>
      <c r="G632" s="19"/>
      <c r="H632" s="19"/>
      <c r="I632" s="19"/>
      <c r="J632" s="19"/>
      <c r="K632" s="19"/>
      <c r="L632" s="19"/>
      <c r="M632" s="19"/>
    </row>
    <row r="633">
      <c r="A633" s="19"/>
      <c r="B633" s="19"/>
      <c r="C633" s="19"/>
      <c r="D633" s="19"/>
      <c r="E633" s="19"/>
      <c r="F633" s="19"/>
      <c r="G633" s="19"/>
      <c r="H633" s="19"/>
      <c r="I633" s="19"/>
      <c r="J633" s="19"/>
      <c r="K633" s="19"/>
      <c r="L633" s="19"/>
      <c r="M633" s="19"/>
    </row>
    <row r="634">
      <c r="A634" s="19"/>
      <c r="B634" s="19"/>
      <c r="C634" s="19"/>
      <c r="D634" s="19"/>
      <c r="E634" s="19"/>
      <c r="F634" s="19"/>
      <c r="G634" s="19"/>
      <c r="H634" s="19"/>
      <c r="I634" s="19"/>
      <c r="J634" s="19"/>
      <c r="K634" s="19"/>
      <c r="L634" s="19"/>
      <c r="M634" s="19"/>
    </row>
    <row r="635">
      <c r="A635" s="19"/>
      <c r="B635" s="19"/>
      <c r="C635" s="19"/>
      <c r="D635" s="19"/>
      <c r="E635" s="19"/>
      <c r="F635" s="19"/>
      <c r="G635" s="19"/>
      <c r="H635" s="19"/>
      <c r="I635" s="19"/>
      <c r="J635" s="19"/>
      <c r="K635" s="19"/>
      <c r="L635" s="19"/>
      <c r="M635" s="19"/>
    </row>
    <row r="636">
      <c r="A636" s="19"/>
      <c r="B636" s="19"/>
      <c r="C636" s="19"/>
      <c r="D636" s="19"/>
      <c r="E636" s="19"/>
      <c r="F636" s="19"/>
      <c r="G636" s="19"/>
      <c r="H636" s="19"/>
      <c r="I636" s="19"/>
      <c r="J636" s="19"/>
      <c r="K636" s="19"/>
      <c r="L636" s="19"/>
      <c r="M636" s="19"/>
    </row>
    <row r="637">
      <c r="A637" s="19"/>
      <c r="B637" s="19"/>
      <c r="C637" s="19"/>
      <c r="D637" s="19"/>
      <c r="E637" s="19"/>
      <c r="F637" s="19"/>
      <c r="G637" s="19"/>
      <c r="H637" s="19"/>
      <c r="I637" s="19"/>
      <c r="J637" s="19"/>
      <c r="K637" s="19"/>
      <c r="L637" s="19"/>
      <c r="M637" s="19"/>
    </row>
    <row r="638">
      <c r="A638" s="19"/>
      <c r="B638" s="19"/>
      <c r="C638" s="19"/>
      <c r="D638" s="19"/>
      <c r="E638" s="19"/>
      <c r="F638" s="19"/>
      <c r="G638" s="19"/>
      <c r="H638" s="19"/>
      <c r="I638" s="19"/>
      <c r="J638" s="19"/>
      <c r="K638" s="19"/>
      <c r="L638" s="19"/>
      <c r="M638" s="19"/>
    </row>
    <row r="639">
      <c r="A639" s="19"/>
      <c r="B639" s="19"/>
      <c r="C639" s="19"/>
      <c r="D639" s="19"/>
      <c r="E639" s="19"/>
      <c r="F639" s="19"/>
      <c r="G639" s="19"/>
      <c r="H639" s="19"/>
      <c r="I639" s="19"/>
      <c r="J639" s="19"/>
      <c r="K639" s="19"/>
      <c r="L639" s="19"/>
      <c r="M639" s="19"/>
    </row>
    <row r="640">
      <c r="A640" s="19"/>
      <c r="B640" s="19"/>
      <c r="C640" s="19"/>
      <c r="D640" s="19"/>
      <c r="E640" s="19"/>
      <c r="F640" s="19"/>
      <c r="G640" s="19"/>
      <c r="H640" s="19"/>
      <c r="I640" s="19"/>
      <c r="J640" s="19"/>
      <c r="K640" s="19"/>
      <c r="L640" s="19"/>
      <c r="M640" s="19"/>
    </row>
    <row r="641">
      <c r="A641" s="19"/>
      <c r="B641" s="19"/>
      <c r="C641" s="19"/>
      <c r="D641" s="19"/>
      <c r="E641" s="19"/>
      <c r="F641" s="19"/>
      <c r="G641" s="19"/>
      <c r="H641" s="19"/>
      <c r="I641" s="19"/>
      <c r="J641" s="19"/>
      <c r="K641" s="19"/>
      <c r="L641" s="19"/>
      <c r="M641" s="19"/>
    </row>
    <row r="642">
      <c r="A642" s="19"/>
      <c r="B642" s="19"/>
      <c r="C642" s="19"/>
      <c r="D642" s="19"/>
      <c r="E642" s="19"/>
      <c r="F642" s="19"/>
      <c r="G642" s="19"/>
      <c r="H642" s="19"/>
      <c r="I642" s="19"/>
      <c r="J642" s="19"/>
      <c r="K642" s="19"/>
      <c r="L642" s="19"/>
      <c r="M642" s="19"/>
    </row>
    <row r="643">
      <c r="A643" s="19"/>
      <c r="B643" s="19"/>
      <c r="C643" s="19"/>
      <c r="D643" s="19"/>
      <c r="E643" s="19"/>
      <c r="F643" s="19"/>
      <c r="G643" s="19"/>
      <c r="H643" s="19"/>
      <c r="I643" s="19"/>
      <c r="J643" s="19"/>
      <c r="K643" s="19"/>
      <c r="L643" s="19"/>
      <c r="M643" s="19"/>
    </row>
    <row r="644">
      <c r="A644" s="19"/>
      <c r="B644" s="19"/>
      <c r="C644" s="19"/>
      <c r="D644" s="19"/>
      <c r="E644" s="19"/>
      <c r="F644" s="19"/>
      <c r="G644" s="19"/>
      <c r="H644" s="19"/>
      <c r="I644" s="19"/>
      <c r="J644" s="19"/>
      <c r="K644" s="19"/>
      <c r="L644" s="19"/>
      <c r="M644" s="19"/>
    </row>
    <row r="645">
      <c r="A645" s="19"/>
      <c r="B645" s="19"/>
      <c r="C645" s="19"/>
      <c r="D645" s="19"/>
      <c r="E645" s="19"/>
      <c r="F645" s="19"/>
      <c r="G645" s="19"/>
      <c r="H645" s="19"/>
      <c r="I645" s="19"/>
      <c r="J645" s="19"/>
      <c r="K645" s="19"/>
      <c r="L645" s="19"/>
      <c r="M645" s="19"/>
    </row>
    <row r="646">
      <c r="A646" s="19"/>
      <c r="B646" s="19"/>
      <c r="C646" s="19"/>
      <c r="D646" s="19"/>
      <c r="E646" s="19"/>
      <c r="F646" s="19"/>
      <c r="G646" s="19"/>
      <c r="H646" s="19"/>
      <c r="I646" s="19"/>
      <c r="J646" s="19"/>
      <c r="K646" s="19"/>
      <c r="L646" s="19"/>
      <c r="M646" s="19"/>
    </row>
    <row r="647">
      <c r="A647" s="19"/>
      <c r="B647" s="19"/>
      <c r="C647" s="19"/>
      <c r="D647" s="19"/>
      <c r="E647" s="19"/>
      <c r="F647" s="19"/>
      <c r="G647" s="19"/>
      <c r="H647" s="19"/>
      <c r="I647" s="19"/>
      <c r="J647" s="19"/>
      <c r="K647" s="19"/>
      <c r="L647" s="19"/>
      <c r="M647" s="19"/>
    </row>
    <row r="648">
      <c r="A648" s="19"/>
      <c r="B648" s="19"/>
      <c r="C648" s="19"/>
      <c r="D648" s="19"/>
      <c r="E648" s="19"/>
      <c r="F648" s="19"/>
      <c r="G648" s="19"/>
      <c r="H648" s="19"/>
      <c r="I648" s="19"/>
      <c r="J648" s="19"/>
      <c r="K648" s="19"/>
      <c r="L648" s="19"/>
      <c r="M648" s="19"/>
    </row>
    <row r="649">
      <c r="A649" s="19"/>
      <c r="B649" s="19"/>
      <c r="C649" s="19"/>
      <c r="D649" s="19"/>
      <c r="E649" s="19"/>
      <c r="F649" s="19"/>
      <c r="G649" s="19"/>
      <c r="H649" s="19"/>
      <c r="I649" s="19"/>
      <c r="J649" s="19"/>
      <c r="K649" s="19"/>
      <c r="L649" s="19"/>
      <c r="M649" s="19"/>
    </row>
    <row r="650">
      <c r="A650" s="19"/>
      <c r="B650" s="19"/>
      <c r="C650" s="19"/>
      <c r="D650" s="19"/>
      <c r="E650" s="19"/>
      <c r="F650" s="19"/>
      <c r="G650" s="19"/>
      <c r="H650" s="19"/>
      <c r="I650" s="19"/>
      <c r="J650" s="19"/>
      <c r="K650" s="19"/>
      <c r="L650" s="19"/>
      <c r="M650" s="19"/>
    </row>
    <row r="651">
      <c r="A651" s="19"/>
      <c r="B651" s="19"/>
      <c r="C651" s="19"/>
      <c r="D651" s="19"/>
      <c r="E651" s="19"/>
      <c r="F651" s="19"/>
      <c r="G651" s="19"/>
      <c r="H651" s="19"/>
      <c r="I651" s="19"/>
      <c r="J651" s="19"/>
      <c r="K651" s="19"/>
      <c r="L651" s="19"/>
      <c r="M651" s="19"/>
    </row>
    <row r="652">
      <c r="A652" s="19"/>
      <c r="B652" s="19"/>
      <c r="C652" s="19"/>
      <c r="D652" s="19"/>
      <c r="E652" s="19"/>
      <c r="F652" s="19"/>
      <c r="G652" s="19"/>
      <c r="H652" s="19"/>
      <c r="I652" s="19"/>
      <c r="J652" s="19"/>
      <c r="K652" s="19"/>
      <c r="L652" s="19"/>
      <c r="M652" s="19"/>
    </row>
    <row r="653">
      <c r="A653" s="19"/>
      <c r="B653" s="19"/>
      <c r="C653" s="19"/>
      <c r="D653" s="19"/>
      <c r="E653" s="19"/>
      <c r="F653" s="19"/>
      <c r="G653" s="19"/>
      <c r="H653" s="19"/>
      <c r="I653" s="19"/>
      <c r="J653" s="19"/>
      <c r="K653" s="19"/>
      <c r="L653" s="19"/>
      <c r="M653" s="19"/>
    </row>
    <row r="654">
      <c r="A654" s="19"/>
      <c r="B654" s="19"/>
      <c r="C654" s="19"/>
      <c r="D654" s="19"/>
      <c r="E654" s="19"/>
      <c r="F654" s="19"/>
      <c r="G654" s="19"/>
      <c r="H654" s="19"/>
      <c r="I654" s="19"/>
      <c r="J654" s="19"/>
      <c r="K654" s="19"/>
      <c r="L654" s="19"/>
      <c r="M654" s="19"/>
    </row>
    <row r="655">
      <c r="A655" s="19"/>
      <c r="B655" s="19"/>
      <c r="C655" s="19"/>
      <c r="D655" s="19"/>
      <c r="E655" s="19"/>
      <c r="F655" s="19"/>
      <c r="G655" s="19"/>
      <c r="H655" s="19"/>
      <c r="I655" s="19"/>
      <c r="J655" s="19"/>
      <c r="K655" s="19"/>
      <c r="L655" s="19"/>
      <c r="M655" s="19"/>
    </row>
    <row r="656">
      <c r="A656" s="19"/>
      <c r="B656" s="19"/>
      <c r="C656" s="19"/>
      <c r="D656" s="19"/>
      <c r="E656" s="19"/>
      <c r="F656" s="19"/>
      <c r="G656" s="19"/>
      <c r="H656" s="19"/>
      <c r="I656" s="19"/>
      <c r="J656" s="19"/>
      <c r="K656" s="19"/>
      <c r="L656" s="19"/>
      <c r="M656" s="19"/>
    </row>
    <row r="657">
      <c r="A657" s="19"/>
      <c r="B657" s="19"/>
      <c r="C657" s="19"/>
      <c r="D657" s="19"/>
      <c r="E657" s="19"/>
      <c r="F657" s="19"/>
      <c r="G657" s="19"/>
      <c r="H657" s="19"/>
      <c r="I657" s="19"/>
      <c r="J657" s="19"/>
      <c r="K657" s="19"/>
      <c r="L657" s="19"/>
      <c r="M657" s="19"/>
    </row>
    <row r="658">
      <c r="A658" s="19"/>
      <c r="B658" s="19"/>
      <c r="C658" s="19"/>
      <c r="D658" s="19"/>
      <c r="E658" s="19"/>
      <c r="F658" s="19"/>
      <c r="G658" s="19"/>
      <c r="H658" s="19"/>
      <c r="I658" s="19"/>
      <c r="J658" s="19"/>
      <c r="K658" s="19"/>
      <c r="L658" s="19"/>
      <c r="M658" s="19"/>
    </row>
    <row r="659">
      <c r="A659" s="19"/>
      <c r="B659" s="19"/>
      <c r="C659" s="19"/>
      <c r="D659" s="19"/>
      <c r="E659" s="19"/>
      <c r="F659" s="19"/>
      <c r="G659" s="19"/>
      <c r="H659" s="19"/>
      <c r="I659" s="19"/>
      <c r="J659" s="19"/>
      <c r="K659" s="19"/>
      <c r="L659" s="19"/>
      <c r="M659" s="19"/>
    </row>
    <row r="660">
      <c r="A660" s="19"/>
      <c r="B660" s="19"/>
      <c r="C660" s="19"/>
      <c r="D660" s="19"/>
      <c r="E660" s="19"/>
      <c r="F660" s="19"/>
      <c r="G660" s="19"/>
      <c r="H660" s="19"/>
      <c r="I660" s="19"/>
      <c r="J660" s="19"/>
      <c r="K660" s="19"/>
      <c r="L660" s="19"/>
      <c r="M660" s="19"/>
    </row>
    <row r="661">
      <c r="A661" s="19"/>
      <c r="B661" s="19"/>
      <c r="C661" s="19"/>
      <c r="D661" s="19"/>
      <c r="E661" s="19"/>
      <c r="F661" s="19"/>
      <c r="G661" s="19"/>
      <c r="H661" s="19"/>
      <c r="I661" s="19"/>
      <c r="J661" s="19"/>
      <c r="K661" s="19"/>
      <c r="L661" s="19"/>
      <c r="M661" s="19"/>
    </row>
    <row r="662">
      <c r="A662" s="19"/>
      <c r="B662" s="19"/>
      <c r="C662" s="19"/>
      <c r="D662" s="19"/>
      <c r="E662" s="19"/>
      <c r="F662" s="19"/>
      <c r="G662" s="19"/>
      <c r="H662" s="19"/>
      <c r="I662" s="19"/>
      <c r="J662" s="19"/>
      <c r="K662" s="19"/>
      <c r="L662" s="19"/>
      <c r="M662" s="19"/>
    </row>
    <row r="663">
      <c r="A663" s="19"/>
      <c r="B663" s="19"/>
      <c r="C663" s="19"/>
      <c r="D663" s="19"/>
      <c r="E663" s="19"/>
      <c r="F663" s="19"/>
      <c r="G663" s="19"/>
      <c r="H663" s="19"/>
      <c r="I663" s="19"/>
      <c r="J663" s="19"/>
      <c r="K663" s="19"/>
      <c r="L663" s="19"/>
      <c r="M663" s="19"/>
    </row>
    <row r="664">
      <c r="A664" s="19"/>
      <c r="B664" s="19"/>
      <c r="C664" s="19"/>
      <c r="D664" s="19"/>
      <c r="E664" s="19"/>
      <c r="F664" s="19"/>
      <c r="G664" s="19"/>
      <c r="H664" s="19"/>
      <c r="I664" s="19"/>
      <c r="J664" s="19"/>
      <c r="K664" s="19"/>
      <c r="L664" s="19"/>
      <c r="M664" s="19"/>
    </row>
    <row r="665">
      <c r="A665" s="19"/>
      <c r="B665" s="19"/>
      <c r="C665" s="19"/>
      <c r="D665" s="19"/>
      <c r="E665" s="19"/>
      <c r="F665" s="19"/>
      <c r="G665" s="19"/>
      <c r="H665" s="19"/>
      <c r="I665" s="19"/>
      <c r="J665" s="19"/>
      <c r="K665" s="19"/>
      <c r="L665" s="19"/>
      <c r="M665" s="19"/>
    </row>
    <row r="666">
      <c r="A666" s="19"/>
      <c r="B666" s="19"/>
      <c r="C666" s="19"/>
      <c r="D666" s="19"/>
      <c r="E666" s="19"/>
      <c r="F666" s="19"/>
      <c r="G666" s="19"/>
      <c r="H666" s="19"/>
      <c r="I666" s="19"/>
      <c r="J666" s="19"/>
      <c r="K666" s="19"/>
      <c r="L666" s="19"/>
      <c r="M666" s="19"/>
    </row>
    <row r="667">
      <c r="A667" s="19"/>
      <c r="B667" s="19"/>
      <c r="C667" s="19"/>
      <c r="D667" s="19"/>
      <c r="E667" s="19"/>
      <c r="F667" s="19"/>
      <c r="G667" s="19"/>
      <c r="H667" s="19"/>
      <c r="I667" s="19"/>
      <c r="J667" s="19"/>
      <c r="K667" s="19"/>
      <c r="L667" s="19"/>
      <c r="M667" s="19"/>
    </row>
    <row r="668">
      <c r="A668" s="19"/>
      <c r="B668" s="19"/>
      <c r="C668" s="19"/>
      <c r="D668" s="19"/>
      <c r="E668" s="19"/>
      <c r="F668" s="19"/>
      <c r="G668" s="19"/>
      <c r="H668" s="19"/>
      <c r="I668" s="19"/>
      <c r="J668" s="19"/>
      <c r="K668" s="19"/>
      <c r="L668" s="19"/>
      <c r="M668" s="19"/>
    </row>
    <row r="669">
      <c r="A669" s="19"/>
      <c r="B669" s="19"/>
      <c r="C669" s="19"/>
      <c r="D669" s="19"/>
      <c r="E669" s="19"/>
      <c r="F669" s="19"/>
      <c r="G669" s="19"/>
      <c r="H669" s="19"/>
      <c r="I669" s="19"/>
      <c r="J669" s="19"/>
      <c r="K669" s="19"/>
      <c r="L669" s="19"/>
      <c r="M669" s="19"/>
    </row>
    <row r="670">
      <c r="A670" s="19"/>
      <c r="B670" s="19"/>
      <c r="C670" s="19"/>
      <c r="D670" s="19"/>
      <c r="E670" s="19"/>
      <c r="F670" s="19"/>
      <c r="G670" s="19"/>
      <c r="H670" s="19"/>
      <c r="I670" s="19"/>
      <c r="J670" s="19"/>
      <c r="K670" s="19"/>
      <c r="L670" s="19"/>
      <c r="M670" s="19"/>
    </row>
    <row r="671">
      <c r="A671" s="19"/>
      <c r="B671" s="19"/>
      <c r="C671" s="19"/>
      <c r="D671" s="19"/>
      <c r="E671" s="19"/>
      <c r="F671" s="19"/>
      <c r="G671" s="19"/>
      <c r="H671" s="19"/>
      <c r="I671" s="19"/>
      <c r="J671" s="19"/>
      <c r="K671" s="19"/>
      <c r="L671" s="19"/>
      <c r="M671" s="19"/>
    </row>
    <row r="672">
      <c r="A672" s="19"/>
      <c r="B672" s="19"/>
      <c r="C672" s="19"/>
      <c r="D672" s="19"/>
      <c r="E672" s="19"/>
      <c r="F672" s="19"/>
      <c r="G672" s="19"/>
      <c r="H672" s="19"/>
      <c r="I672" s="19"/>
      <c r="J672" s="19"/>
      <c r="K672" s="19"/>
      <c r="L672" s="19"/>
      <c r="M672" s="19"/>
    </row>
    <row r="673">
      <c r="A673" s="19"/>
      <c r="B673" s="19"/>
      <c r="C673" s="19"/>
      <c r="D673" s="19"/>
      <c r="E673" s="19"/>
      <c r="F673" s="19"/>
      <c r="G673" s="19"/>
      <c r="H673" s="19"/>
      <c r="I673" s="19"/>
      <c r="J673" s="19"/>
      <c r="K673" s="19"/>
      <c r="L673" s="19"/>
      <c r="M673" s="19"/>
    </row>
    <row r="674">
      <c r="A674" s="19"/>
      <c r="B674" s="19"/>
      <c r="C674" s="19"/>
      <c r="D674" s="19"/>
      <c r="E674" s="19"/>
      <c r="F674" s="19"/>
      <c r="G674" s="19"/>
      <c r="H674" s="19"/>
      <c r="I674" s="19"/>
      <c r="J674" s="19"/>
      <c r="K674" s="19"/>
      <c r="L674" s="19"/>
      <c r="M674" s="19"/>
    </row>
    <row r="675">
      <c r="A675" s="19"/>
      <c r="B675" s="19"/>
      <c r="C675" s="19"/>
      <c r="D675" s="19"/>
      <c r="E675" s="19"/>
      <c r="F675" s="19"/>
      <c r="G675" s="19"/>
      <c r="H675" s="19"/>
      <c r="I675" s="19"/>
      <c r="J675" s="19"/>
      <c r="K675" s="19"/>
      <c r="L675" s="19"/>
      <c r="M675" s="19"/>
    </row>
    <row r="676">
      <c r="A676" s="19"/>
      <c r="B676" s="19"/>
      <c r="C676" s="19"/>
      <c r="D676" s="19"/>
      <c r="E676" s="19"/>
      <c r="F676" s="19"/>
      <c r="G676" s="19"/>
      <c r="H676" s="19"/>
      <c r="I676" s="19"/>
      <c r="J676" s="19"/>
      <c r="K676" s="19"/>
      <c r="L676" s="19"/>
      <c r="M676" s="19"/>
    </row>
    <row r="677">
      <c r="A677" s="19"/>
      <c r="B677" s="19"/>
      <c r="C677" s="19"/>
      <c r="D677" s="19"/>
      <c r="E677" s="19"/>
      <c r="F677" s="19"/>
      <c r="G677" s="19"/>
      <c r="H677" s="19"/>
      <c r="I677" s="19"/>
      <c r="J677" s="19"/>
      <c r="K677" s="19"/>
      <c r="L677" s="19"/>
      <c r="M677" s="19"/>
    </row>
    <row r="678">
      <c r="A678" s="19"/>
      <c r="B678" s="19"/>
      <c r="C678" s="19"/>
      <c r="D678" s="19"/>
      <c r="E678" s="19"/>
      <c r="F678" s="19"/>
      <c r="G678" s="19"/>
      <c r="H678" s="19"/>
      <c r="I678" s="19"/>
      <c r="J678" s="19"/>
      <c r="K678" s="19"/>
      <c r="L678" s="19"/>
      <c r="M678" s="19"/>
    </row>
    <row r="679">
      <c r="A679" s="19"/>
      <c r="B679" s="19"/>
      <c r="C679" s="19"/>
      <c r="D679" s="19"/>
      <c r="E679" s="19"/>
      <c r="F679" s="19"/>
      <c r="G679" s="19"/>
      <c r="H679" s="19"/>
      <c r="I679" s="19"/>
      <c r="J679" s="19"/>
      <c r="K679" s="19"/>
      <c r="L679" s="19"/>
      <c r="M679" s="19"/>
    </row>
    <row r="680">
      <c r="A680" s="19"/>
      <c r="B680" s="19"/>
      <c r="C680" s="19"/>
      <c r="D680" s="19"/>
      <c r="E680" s="19"/>
      <c r="F680" s="19"/>
      <c r="G680" s="19"/>
      <c r="H680" s="19"/>
      <c r="I680" s="19"/>
      <c r="J680" s="19"/>
      <c r="K680" s="19"/>
      <c r="L680" s="19"/>
      <c r="M680" s="19"/>
    </row>
    <row r="681">
      <c r="A681" s="19"/>
      <c r="B681" s="19"/>
      <c r="C681" s="19"/>
      <c r="D681" s="19"/>
      <c r="E681" s="19"/>
      <c r="F681" s="19"/>
      <c r="G681" s="19"/>
      <c r="H681" s="19"/>
      <c r="I681" s="19"/>
      <c r="J681" s="19"/>
      <c r="K681" s="19"/>
      <c r="L681" s="19"/>
      <c r="M681" s="19"/>
    </row>
    <row r="682">
      <c r="A682" s="19"/>
      <c r="B682" s="19"/>
      <c r="C682" s="19"/>
      <c r="D682" s="19"/>
      <c r="E682" s="19"/>
      <c r="F682" s="19"/>
      <c r="G682" s="19"/>
      <c r="H682" s="19"/>
      <c r="I682" s="19"/>
      <c r="J682" s="19"/>
      <c r="K682" s="19"/>
      <c r="L682" s="19"/>
      <c r="M682" s="19"/>
    </row>
    <row r="683">
      <c r="A683" s="19"/>
      <c r="B683" s="19"/>
      <c r="C683" s="19"/>
      <c r="D683" s="19"/>
      <c r="E683" s="19"/>
      <c r="F683" s="19"/>
      <c r="G683" s="19"/>
      <c r="H683" s="19"/>
      <c r="I683" s="19"/>
      <c r="J683" s="19"/>
      <c r="K683" s="19"/>
      <c r="L683" s="19"/>
      <c r="M683" s="19"/>
    </row>
    <row r="684">
      <c r="A684" s="19"/>
      <c r="B684" s="19"/>
      <c r="C684" s="19"/>
      <c r="D684" s="19"/>
      <c r="E684" s="19"/>
      <c r="F684" s="19"/>
      <c r="G684" s="19"/>
      <c r="H684" s="19"/>
      <c r="I684" s="19"/>
      <c r="J684" s="19"/>
      <c r="K684" s="19"/>
      <c r="L684" s="19"/>
      <c r="M684" s="19"/>
    </row>
    <row r="685">
      <c r="A685" s="19"/>
      <c r="B685" s="19"/>
      <c r="C685" s="19"/>
      <c r="D685" s="19"/>
      <c r="E685" s="19"/>
      <c r="F685" s="19"/>
      <c r="G685" s="19"/>
      <c r="H685" s="19"/>
      <c r="I685" s="19"/>
      <c r="J685" s="19"/>
      <c r="K685" s="19"/>
      <c r="L685" s="19"/>
      <c r="M685" s="19"/>
    </row>
    <row r="686">
      <c r="A686" s="19"/>
      <c r="B686" s="19"/>
      <c r="C686" s="19"/>
      <c r="D686" s="19"/>
      <c r="E686" s="19"/>
      <c r="F686" s="19"/>
      <c r="G686" s="19"/>
      <c r="H686" s="19"/>
      <c r="I686" s="19"/>
      <c r="J686" s="19"/>
      <c r="K686" s="19"/>
      <c r="L686" s="19"/>
      <c r="M686" s="19"/>
    </row>
    <row r="687">
      <c r="A687" s="19"/>
      <c r="B687" s="19"/>
      <c r="C687" s="19"/>
      <c r="D687" s="19"/>
      <c r="E687" s="19"/>
      <c r="F687" s="19"/>
      <c r="G687" s="19"/>
      <c r="H687" s="19"/>
      <c r="I687" s="19"/>
      <c r="J687" s="19"/>
      <c r="K687" s="19"/>
      <c r="L687" s="19"/>
      <c r="M687" s="19"/>
    </row>
    <row r="688">
      <c r="A688" s="19"/>
      <c r="B688" s="19"/>
      <c r="C688" s="19"/>
      <c r="D688" s="19"/>
      <c r="E688" s="19"/>
      <c r="F688" s="19"/>
      <c r="G688" s="19"/>
      <c r="H688" s="19"/>
      <c r="I688" s="19"/>
      <c r="J688" s="19"/>
      <c r="K688" s="19"/>
      <c r="L688" s="19"/>
      <c r="M688" s="19"/>
    </row>
    <row r="689">
      <c r="A689" s="19"/>
      <c r="B689" s="19"/>
      <c r="C689" s="19"/>
      <c r="D689" s="19"/>
      <c r="E689" s="19"/>
      <c r="F689" s="19"/>
      <c r="G689" s="19"/>
      <c r="H689" s="19"/>
      <c r="I689" s="19"/>
      <c r="J689" s="19"/>
      <c r="K689" s="19"/>
      <c r="L689" s="19"/>
      <c r="M689" s="19"/>
    </row>
    <row r="690">
      <c r="A690" s="19"/>
      <c r="B690" s="19"/>
      <c r="C690" s="19"/>
      <c r="D690" s="19"/>
      <c r="E690" s="19"/>
      <c r="F690" s="19"/>
      <c r="G690" s="19"/>
      <c r="H690" s="19"/>
      <c r="I690" s="19"/>
      <c r="J690" s="19"/>
      <c r="K690" s="19"/>
      <c r="L690" s="19"/>
      <c r="M690" s="19"/>
    </row>
    <row r="691">
      <c r="A691" s="19"/>
      <c r="B691" s="19"/>
      <c r="C691" s="19"/>
      <c r="D691" s="19"/>
      <c r="E691" s="19"/>
      <c r="F691" s="19"/>
      <c r="G691" s="19"/>
      <c r="H691" s="19"/>
      <c r="I691" s="19"/>
      <c r="J691" s="19"/>
      <c r="K691" s="19"/>
      <c r="L691" s="19"/>
      <c r="M691" s="19"/>
    </row>
    <row r="692">
      <c r="A692" s="19"/>
      <c r="B692" s="19"/>
      <c r="C692" s="19"/>
      <c r="D692" s="19"/>
      <c r="E692" s="19"/>
      <c r="F692" s="19"/>
      <c r="G692" s="19"/>
      <c r="H692" s="19"/>
      <c r="I692" s="19"/>
      <c r="J692" s="19"/>
      <c r="K692" s="19"/>
      <c r="L692" s="19"/>
      <c r="M692" s="19"/>
    </row>
    <row r="693">
      <c r="A693" s="19"/>
      <c r="B693" s="19"/>
      <c r="C693" s="19"/>
      <c r="D693" s="19"/>
      <c r="E693" s="19"/>
      <c r="F693" s="19"/>
      <c r="G693" s="19"/>
      <c r="H693" s="19"/>
      <c r="I693" s="19"/>
      <c r="J693" s="19"/>
      <c r="K693" s="19"/>
      <c r="L693" s="19"/>
      <c r="M693" s="19"/>
    </row>
    <row r="694">
      <c r="A694" s="19"/>
      <c r="B694" s="19"/>
      <c r="C694" s="19"/>
      <c r="D694" s="19"/>
      <c r="E694" s="19"/>
      <c r="F694" s="19"/>
      <c r="G694" s="19"/>
      <c r="H694" s="19"/>
      <c r="I694" s="19"/>
      <c r="J694" s="19"/>
      <c r="K694" s="19"/>
      <c r="L694" s="19"/>
      <c r="M694" s="19"/>
    </row>
    <row r="695">
      <c r="A695" s="19"/>
      <c r="B695" s="19"/>
      <c r="C695" s="19"/>
      <c r="D695" s="19"/>
      <c r="E695" s="19"/>
      <c r="F695" s="19"/>
      <c r="G695" s="19"/>
      <c r="H695" s="19"/>
      <c r="I695" s="19"/>
      <c r="J695" s="19"/>
      <c r="K695" s="19"/>
      <c r="L695" s="19"/>
      <c r="M695" s="19"/>
    </row>
    <row r="696">
      <c r="A696" s="19"/>
      <c r="B696" s="19"/>
      <c r="C696" s="19"/>
      <c r="D696" s="19"/>
      <c r="E696" s="19"/>
      <c r="F696" s="19"/>
      <c r="G696" s="19"/>
      <c r="H696" s="19"/>
      <c r="I696" s="19"/>
      <c r="J696" s="19"/>
      <c r="K696" s="19"/>
      <c r="L696" s="19"/>
      <c r="M696" s="19"/>
    </row>
    <row r="697">
      <c r="A697" s="19"/>
      <c r="B697" s="19"/>
      <c r="C697" s="19"/>
      <c r="D697" s="19"/>
      <c r="E697" s="19"/>
      <c r="F697" s="19"/>
      <c r="G697" s="19"/>
      <c r="H697" s="19"/>
      <c r="I697" s="19"/>
      <c r="J697" s="19"/>
      <c r="K697" s="19"/>
      <c r="L697" s="19"/>
      <c r="M697" s="19"/>
    </row>
    <row r="698">
      <c r="A698" s="19"/>
      <c r="B698" s="19"/>
      <c r="C698" s="19"/>
      <c r="D698" s="19"/>
      <c r="E698" s="19"/>
      <c r="F698" s="19"/>
      <c r="G698" s="19"/>
      <c r="H698" s="19"/>
      <c r="I698" s="19"/>
      <c r="J698" s="19"/>
      <c r="K698" s="19"/>
      <c r="L698" s="19"/>
      <c r="M698" s="19"/>
    </row>
    <row r="699">
      <c r="A699" s="19"/>
      <c r="B699" s="19"/>
      <c r="C699" s="19"/>
      <c r="D699" s="19"/>
      <c r="E699" s="19"/>
      <c r="F699" s="19"/>
      <c r="G699" s="19"/>
      <c r="H699" s="19"/>
      <c r="I699" s="19"/>
      <c r="J699" s="19"/>
      <c r="K699" s="19"/>
      <c r="L699" s="19"/>
      <c r="M699" s="19"/>
    </row>
    <row r="700">
      <c r="A700" s="19"/>
      <c r="B700" s="19"/>
      <c r="C700" s="19"/>
      <c r="D700" s="19"/>
      <c r="E700" s="19"/>
      <c r="F700" s="19"/>
      <c r="G700" s="19"/>
      <c r="H700" s="19"/>
      <c r="I700" s="19"/>
      <c r="J700" s="19"/>
      <c r="K700" s="19"/>
      <c r="L700" s="19"/>
      <c r="M700" s="19"/>
    </row>
    <row r="701">
      <c r="A701" s="19"/>
      <c r="B701" s="19"/>
      <c r="C701" s="19"/>
      <c r="D701" s="19"/>
      <c r="E701" s="19"/>
      <c r="F701" s="19"/>
      <c r="G701" s="19"/>
      <c r="H701" s="19"/>
      <c r="I701" s="19"/>
      <c r="J701" s="19"/>
      <c r="K701" s="19"/>
      <c r="L701" s="19"/>
      <c r="M701" s="19"/>
    </row>
    <row r="702">
      <c r="A702" s="19"/>
      <c r="B702" s="19"/>
      <c r="C702" s="19"/>
      <c r="D702" s="19"/>
      <c r="E702" s="19"/>
      <c r="F702" s="19"/>
      <c r="G702" s="19"/>
      <c r="H702" s="19"/>
      <c r="I702" s="19"/>
      <c r="J702" s="19"/>
      <c r="K702" s="19"/>
      <c r="L702" s="19"/>
      <c r="M702" s="19"/>
    </row>
    <row r="703">
      <c r="A703" s="19"/>
      <c r="B703" s="19"/>
      <c r="C703" s="19"/>
      <c r="D703" s="19"/>
      <c r="E703" s="19"/>
      <c r="F703" s="19"/>
      <c r="G703" s="19"/>
      <c r="H703" s="19"/>
      <c r="I703" s="19"/>
      <c r="J703" s="19"/>
      <c r="K703" s="19"/>
      <c r="L703" s="19"/>
      <c r="M703" s="19"/>
    </row>
    <row r="704">
      <c r="A704" s="19"/>
      <c r="B704" s="19"/>
      <c r="C704" s="19"/>
      <c r="D704" s="19"/>
      <c r="E704" s="19"/>
      <c r="F704" s="19"/>
      <c r="G704" s="19"/>
      <c r="H704" s="19"/>
      <c r="I704" s="19"/>
      <c r="J704" s="19"/>
      <c r="K704" s="19"/>
      <c r="L704" s="19"/>
      <c r="M704" s="19"/>
    </row>
    <row r="705">
      <c r="A705" s="19"/>
      <c r="B705" s="19"/>
      <c r="C705" s="19"/>
      <c r="D705" s="19"/>
      <c r="E705" s="19"/>
      <c r="F705" s="19"/>
      <c r="G705" s="19"/>
      <c r="H705" s="19"/>
      <c r="I705" s="19"/>
      <c r="J705" s="19"/>
      <c r="K705" s="19"/>
      <c r="L705" s="19"/>
      <c r="M705" s="19"/>
    </row>
    <row r="706">
      <c r="A706" s="19"/>
      <c r="B706" s="19"/>
      <c r="C706" s="19"/>
      <c r="D706" s="19"/>
      <c r="E706" s="19"/>
      <c r="F706" s="19"/>
      <c r="G706" s="19"/>
      <c r="H706" s="19"/>
      <c r="I706" s="19"/>
      <c r="J706" s="19"/>
      <c r="K706" s="19"/>
      <c r="L706" s="19"/>
      <c r="M706" s="19"/>
    </row>
    <row r="707">
      <c r="A707" s="19"/>
      <c r="B707" s="19"/>
      <c r="C707" s="19"/>
      <c r="D707" s="19"/>
      <c r="E707" s="19"/>
      <c r="F707" s="19"/>
      <c r="G707" s="19"/>
      <c r="H707" s="19"/>
      <c r="I707" s="19"/>
      <c r="J707" s="19"/>
      <c r="K707" s="19"/>
      <c r="L707" s="19"/>
      <c r="M707" s="19"/>
    </row>
    <row r="708">
      <c r="A708" s="19"/>
      <c r="B708" s="19"/>
      <c r="C708" s="19"/>
      <c r="D708" s="19"/>
      <c r="E708" s="19"/>
      <c r="F708" s="19"/>
      <c r="G708" s="19"/>
      <c r="H708" s="19"/>
      <c r="I708" s="19"/>
      <c r="J708" s="19"/>
      <c r="K708" s="19"/>
      <c r="L708" s="19"/>
      <c r="M708" s="19"/>
    </row>
    <row r="709">
      <c r="A709" s="19"/>
      <c r="B709" s="19"/>
      <c r="C709" s="19"/>
      <c r="D709" s="19"/>
      <c r="E709" s="19"/>
      <c r="F709" s="19"/>
      <c r="G709" s="19"/>
      <c r="H709" s="19"/>
      <c r="I709" s="19"/>
      <c r="J709" s="19"/>
      <c r="K709" s="19"/>
      <c r="L709" s="19"/>
      <c r="M709" s="19"/>
    </row>
    <row r="710">
      <c r="A710" s="19"/>
      <c r="B710" s="19"/>
      <c r="C710" s="19"/>
      <c r="D710" s="19"/>
      <c r="E710" s="19"/>
      <c r="F710" s="19"/>
      <c r="G710" s="19"/>
      <c r="H710" s="19"/>
      <c r="I710" s="19"/>
      <c r="J710" s="19"/>
      <c r="K710" s="19"/>
      <c r="L710" s="19"/>
      <c r="M710" s="19"/>
    </row>
    <row r="711">
      <c r="A711" s="19"/>
      <c r="B711" s="19"/>
      <c r="C711" s="19"/>
      <c r="D711" s="19"/>
      <c r="E711" s="19"/>
      <c r="F711" s="19"/>
      <c r="G711" s="19"/>
      <c r="H711" s="19"/>
      <c r="I711" s="19"/>
      <c r="J711" s="19"/>
      <c r="K711" s="19"/>
      <c r="L711" s="19"/>
      <c r="M711" s="19"/>
    </row>
    <row r="712">
      <c r="A712" s="19"/>
      <c r="B712" s="19"/>
      <c r="C712" s="19"/>
      <c r="D712" s="19"/>
      <c r="E712" s="19"/>
      <c r="F712" s="19"/>
      <c r="G712" s="19"/>
      <c r="H712" s="19"/>
      <c r="I712" s="19"/>
      <c r="J712" s="19"/>
      <c r="K712" s="19"/>
      <c r="L712" s="19"/>
      <c r="M712" s="19"/>
    </row>
    <row r="713">
      <c r="A713" s="19"/>
      <c r="B713" s="19"/>
      <c r="C713" s="19"/>
      <c r="D713" s="19"/>
      <c r="E713" s="19"/>
      <c r="F713" s="19"/>
      <c r="G713" s="19"/>
      <c r="H713" s="19"/>
      <c r="I713" s="19"/>
      <c r="J713" s="19"/>
      <c r="K713" s="19"/>
      <c r="L713" s="19"/>
      <c r="M713" s="19"/>
    </row>
    <row r="714">
      <c r="A714" s="19"/>
      <c r="B714" s="19"/>
      <c r="C714" s="19"/>
      <c r="D714" s="19"/>
      <c r="E714" s="19"/>
      <c r="F714" s="19"/>
      <c r="G714" s="19"/>
      <c r="H714" s="19"/>
      <c r="I714" s="19"/>
      <c r="J714" s="19"/>
      <c r="K714" s="19"/>
      <c r="L714" s="19"/>
      <c r="M714" s="19"/>
    </row>
    <row r="715">
      <c r="A715" s="19"/>
      <c r="B715" s="19"/>
      <c r="C715" s="19"/>
      <c r="D715" s="19"/>
      <c r="E715" s="19"/>
      <c r="F715" s="19"/>
      <c r="G715" s="19"/>
      <c r="H715" s="19"/>
      <c r="I715" s="19"/>
      <c r="J715" s="19"/>
      <c r="K715" s="19"/>
      <c r="L715" s="19"/>
      <c r="M715" s="19"/>
    </row>
    <row r="716">
      <c r="A716" s="19"/>
      <c r="B716" s="19"/>
      <c r="C716" s="19"/>
      <c r="D716" s="19"/>
      <c r="E716" s="19"/>
      <c r="F716" s="19"/>
      <c r="G716" s="19"/>
      <c r="H716" s="19"/>
      <c r="I716" s="19"/>
      <c r="J716" s="19"/>
      <c r="K716" s="19"/>
      <c r="L716" s="19"/>
      <c r="M716" s="19"/>
    </row>
    <row r="717">
      <c r="A717" s="19"/>
      <c r="B717" s="19"/>
      <c r="C717" s="19"/>
      <c r="D717" s="19"/>
      <c r="E717" s="19"/>
      <c r="F717" s="19"/>
      <c r="G717" s="19"/>
      <c r="H717" s="19"/>
      <c r="I717" s="19"/>
      <c r="J717" s="19"/>
      <c r="K717" s="19"/>
      <c r="L717" s="19"/>
      <c r="M717" s="19"/>
    </row>
    <row r="718">
      <c r="A718" s="19"/>
      <c r="B718" s="19"/>
      <c r="C718" s="19"/>
      <c r="D718" s="19"/>
      <c r="E718" s="19"/>
      <c r="F718" s="19"/>
      <c r="G718" s="19"/>
      <c r="H718" s="19"/>
      <c r="I718" s="19"/>
      <c r="J718" s="19"/>
      <c r="K718" s="19"/>
      <c r="L718" s="19"/>
      <c r="M718" s="19"/>
    </row>
    <row r="719">
      <c r="A719" s="19"/>
      <c r="B719" s="19"/>
      <c r="C719" s="19"/>
      <c r="D719" s="19"/>
      <c r="E719" s="19"/>
      <c r="F719" s="19"/>
      <c r="G719" s="19"/>
      <c r="H719" s="19"/>
      <c r="I719" s="19"/>
      <c r="J719" s="19"/>
      <c r="K719" s="19"/>
      <c r="L719" s="19"/>
      <c r="M719" s="19"/>
    </row>
    <row r="720">
      <c r="A720" s="19"/>
      <c r="B720" s="19"/>
      <c r="C720" s="19"/>
      <c r="D720" s="19"/>
      <c r="E720" s="19"/>
      <c r="F720" s="19"/>
      <c r="G720" s="19"/>
      <c r="H720" s="19"/>
      <c r="I720" s="19"/>
      <c r="J720" s="19"/>
      <c r="K720" s="19"/>
      <c r="L720" s="19"/>
      <c r="M720" s="19"/>
    </row>
    <row r="721">
      <c r="A721" s="19"/>
      <c r="B721" s="19"/>
      <c r="C721" s="19"/>
      <c r="D721" s="19"/>
      <c r="E721" s="19"/>
      <c r="F721" s="19"/>
      <c r="G721" s="19"/>
      <c r="H721" s="19"/>
      <c r="I721" s="19"/>
      <c r="J721" s="19"/>
      <c r="K721" s="19"/>
      <c r="L721" s="19"/>
      <c r="M721" s="19"/>
    </row>
    <row r="722">
      <c r="A722" s="19"/>
      <c r="B722" s="19"/>
      <c r="C722" s="19"/>
      <c r="D722" s="19"/>
      <c r="E722" s="19"/>
      <c r="F722" s="19"/>
      <c r="G722" s="19"/>
      <c r="H722" s="19"/>
      <c r="I722" s="19"/>
      <c r="J722" s="19"/>
      <c r="K722" s="19"/>
      <c r="L722" s="19"/>
      <c r="M722" s="19"/>
    </row>
    <row r="723">
      <c r="A723" s="19"/>
      <c r="B723" s="19"/>
      <c r="C723" s="19"/>
      <c r="D723" s="19"/>
      <c r="E723" s="19"/>
      <c r="F723" s="19"/>
      <c r="G723" s="19"/>
      <c r="H723" s="19"/>
      <c r="I723" s="19"/>
      <c r="J723" s="19"/>
      <c r="K723" s="19"/>
      <c r="L723" s="19"/>
      <c r="M723" s="19"/>
    </row>
    <row r="724">
      <c r="A724" s="19"/>
      <c r="B724" s="19"/>
      <c r="C724" s="19"/>
      <c r="D724" s="19"/>
      <c r="E724" s="19"/>
      <c r="F724" s="19"/>
      <c r="G724" s="19"/>
      <c r="H724" s="19"/>
      <c r="I724" s="19"/>
      <c r="J724" s="19"/>
      <c r="K724" s="19"/>
      <c r="L724" s="19"/>
      <c r="M724" s="19"/>
    </row>
    <row r="725">
      <c r="A725" s="19"/>
      <c r="B725" s="19"/>
      <c r="C725" s="19"/>
      <c r="D725" s="19"/>
      <c r="E725" s="19"/>
      <c r="F725" s="19"/>
      <c r="G725" s="19"/>
      <c r="H725" s="19"/>
      <c r="I725" s="19"/>
      <c r="J725" s="19"/>
      <c r="K725" s="19"/>
      <c r="L725" s="19"/>
      <c r="M725" s="19"/>
    </row>
    <row r="726">
      <c r="A726" s="19"/>
      <c r="B726" s="19"/>
      <c r="C726" s="19"/>
      <c r="D726" s="19"/>
      <c r="E726" s="19"/>
      <c r="F726" s="19"/>
      <c r="G726" s="19"/>
      <c r="H726" s="19"/>
      <c r="I726" s="19"/>
      <c r="J726" s="19"/>
      <c r="K726" s="19"/>
      <c r="L726" s="19"/>
      <c r="M726" s="19"/>
    </row>
    <row r="727">
      <c r="A727" s="19"/>
      <c r="B727" s="19"/>
      <c r="C727" s="19"/>
      <c r="D727" s="19"/>
      <c r="E727" s="19"/>
      <c r="F727" s="19"/>
      <c r="G727" s="19"/>
      <c r="H727" s="19"/>
      <c r="I727" s="19"/>
      <c r="J727" s="19"/>
      <c r="K727" s="19"/>
      <c r="L727" s="19"/>
      <c r="M727" s="19"/>
    </row>
    <row r="728">
      <c r="A728" s="19"/>
      <c r="B728" s="19"/>
      <c r="C728" s="19"/>
      <c r="D728" s="19"/>
      <c r="E728" s="19"/>
      <c r="F728" s="19"/>
      <c r="G728" s="19"/>
      <c r="H728" s="19"/>
      <c r="I728" s="19"/>
      <c r="J728" s="19"/>
      <c r="K728" s="19"/>
      <c r="L728" s="19"/>
      <c r="M728" s="19"/>
    </row>
    <row r="729">
      <c r="A729" s="19"/>
      <c r="B729" s="19"/>
      <c r="C729" s="19"/>
      <c r="D729" s="19"/>
      <c r="E729" s="19"/>
      <c r="F729" s="19"/>
      <c r="G729" s="19"/>
      <c r="H729" s="19"/>
      <c r="I729" s="19"/>
      <c r="J729" s="19"/>
      <c r="K729" s="19"/>
      <c r="L729" s="19"/>
      <c r="M729" s="19"/>
    </row>
    <row r="730">
      <c r="A730" s="19"/>
      <c r="B730" s="19"/>
      <c r="C730" s="19"/>
      <c r="D730" s="19"/>
      <c r="E730" s="19"/>
      <c r="F730" s="19"/>
      <c r="G730" s="19"/>
      <c r="H730" s="19"/>
      <c r="I730" s="19"/>
      <c r="J730" s="19"/>
      <c r="K730" s="19"/>
      <c r="L730" s="19"/>
      <c r="M730" s="19"/>
    </row>
    <row r="731">
      <c r="A731" s="19"/>
      <c r="B731" s="19"/>
      <c r="C731" s="19"/>
      <c r="D731" s="19"/>
      <c r="E731" s="19"/>
      <c r="F731" s="19"/>
      <c r="G731" s="19"/>
      <c r="H731" s="19"/>
      <c r="I731" s="19"/>
      <c r="J731" s="19"/>
      <c r="K731" s="19"/>
      <c r="L731" s="19"/>
      <c r="M731" s="19"/>
    </row>
    <row r="732">
      <c r="A732" s="19"/>
      <c r="B732" s="19"/>
      <c r="C732" s="19"/>
      <c r="D732" s="19"/>
      <c r="E732" s="19"/>
      <c r="F732" s="19"/>
      <c r="G732" s="19"/>
      <c r="H732" s="19"/>
      <c r="I732" s="19"/>
      <c r="J732" s="19"/>
      <c r="K732" s="19"/>
      <c r="L732" s="19"/>
      <c r="M732" s="19"/>
    </row>
    <row r="733">
      <c r="A733" s="19"/>
      <c r="B733" s="19"/>
      <c r="C733" s="19"/>
      <c r="D733" s="19"/>
      <c r="E733" s="19"/>
      <c r="F733" s="19"/>
      <c r="G733" s="19"/>
      <c r="H733" s="19"/>
      <c r="I733" s="19"/>
      <c r="J733" s="19"/>
      <c r="K733" s="19"/>
      <c r="L733" s="19"/>
      <c r="M733" s="19"/>
    </row>
    <row r="734">
      <c r="A734" s="19"/>
      <c r="B734" s="19"/>
      <c r="C734" s="19"/>
      <c r="D734" s="19"/>
      <c r="E734" s="19"/>
      <c r="F734" s="19"/>
      <c r="G734" s="19"/>
      <c r="H734" s="19"/>
      <c r="I734" s="19"/>
      <c r="J734" s="19"/>
      <c r="K734" s="19"/>
      <c r="L734" s="19"/>
      <c r="M734" s="19"/>
    </row>
    <row r="735">
      <c r="A735" s="19"/>
      <c r="B735" s="19"/>
      <c r="C735" s="19"/>
      <c r="D735" s="19"/>
      <c r="E735" s="19"/>
      <c r="F735" s="19"/>
      <c r="G735" s="19"/>
      <c r="H735" s="19"/>
      <c r="I735" s="19"/>
      <c r="J735" s="19"/>
      <c r="K735" s="19"/>
      <c r="L735" s="19"/>
      <c r="M735" s="19"/>
    </row>
    <row r="736">
      <c r="A736" s="19"/>
      <c r="B736" s="19"/>
      <c r="C736" s="19"/>
      <c r="D736" s="19"/>
      <c r="E736" s="19"/>
      <c r="F736" s="19"/>
      <c r="G736" s="19"/>
      <c r="H736" s="19"/>
      <c r="I736" s="19"/>
      <c r="J736" s="19"/>
      <c r="K736" s="19"/>
      <c r="L736" s="19"/>
      <c r="M736" s="19"/>
    </row>
    <row r="737">
      <c r="A737" s="19"/>
      <c r="B737" s="19"/>
      <c r="C737" s="19"/>
      <c r="D737" s="19"/>
      <c r="E737" s="19"/>
      <c r="F737" s="19"/>
      <c r="G737" s="19"/>
      <c r="H737" s="19"/>
      <c r="I737" s="19"/>
      <c r="J737" s="19"/>
      <c r="K737" s="19"/>
      <c r="L737" s="19"/>
      <c r="M737" s="19"/>
    </row>
    <row r="738">
      <c r="A738" s="19"/>
      <c r="B738" s="19"/>
      <c r="C738" s="19"/>
      <c r="D738" s="19"/>
      <c r="E738" s="19"/>
      <c r="F738" s="19"/>
      <c r="G738" s="19"/>
      <c r="H738" s="19"/>
      <c r="I738" s="19"/>
      <c r="J738" s="19"/>
      <c r="K738" s="19"/>
      <c r="L738" s="19"/>
      <c r="M738" s="19"/>
    </row>
    <row r="739">
      <c r="A739" s="19"/>
      <c r="B739" s="19"/>
      <c r="C739" s="19"/>
      <c r="D739" s="19"/>
      <c r="E739" s="19"/>
      <c r="F739" s="19"/>
      <c r="G739" s="19"/>
      <c r="H739" s="19"/>
      <c r="I739" s="19"/>
      <c r="J739" s="19"/>
      <c r="K739" s="19"/>
      <c r="L739" s="19"/>
      <c r="M739" s="19"/>
    </row>
    <row r="740">
      <c r="A740" s="19"/>
      <c r="B740" s="19"/>
      <c r="C740" s="19"/>
      <c r="D740" s="19"/>
      <c r="E740" s="19"/>
      <c r="F740" s="19"/>
      <c r="G740" s="19"/>
      <c r="H740" s="19"/>
      <c r="I740" s="19"/>
      <c r="J740" s="19"/>
      <c r="K740" s="19"/>
      <c r="L740" s="19"/>
      <c r="M740" s="19"/>
    </row>
    <row r="741">
      <c r="A741" s="19"/>
      <c r="B741" s="19"/>
      <c r="C741" s="19"/>
      <c r="D741" s="19"/>
      <c r="E741" s="19"/>
      <c r="F741" s="19"/>
      <c r="G741" s="19"/>
      <c r="H741" s="19"/>
      <c r="I741" s="19"/>
      <c r="J741" s="19"/>
      <c r="K741" s="19"/>
      <c r="L741" s="19"/>
      <c r="M741" s="19"/>
    </row>
    <row r="742">
      <c r="A742" s="19"/>
      <c r="B742" s="19"/>
      <c r="C742" s="19"/>
      <c r="D742" s="19"/>
      <c r="E742" s="19"/>
      <c r="F742" s="19"/>
      <c r="G742" s="19"/>
      <c r="H742" s="19"/>
      <c r="I742" s="19"/>
      <c r="J742" s="19"/>
      <c r="K742" s="19"/>
      <c r="L742" s="19"/>
      <c r="M742" s="19"/>
    </row>
    <row r="743">
      <c r="A743" s="19"/>
      <c r="B743" s="19"/>
      <c r="C743" s="19"/>
      <c r="D743" s="19"/>
      <c r="E743" s="19"/>
      <c r="F743" s="19"/>
      <c r="G743" s="19"/>
      <c r="H743" s="19"/>
      <c r="I743" s="19"/>
      <c r="J743" s="19"/>
      <c r="K743" s="19"/>
      <c r="L743" s="19"/>
      <c r="M743" s="19"/>
    </row>
    <row r="744">
      <c r="A744" s="19"/>
      <c r="B744" s="19"/>
      <c r="C744" s="19"/>
      <c r="D744" s="19"/>
      <c r="E744" s="19"/>
      <c r="F744" s="19"/>
      <c r="G744" s="19"/>
      <c r="H744" s="19"/>
      <c r="I744" s="19"/>
      <c r="J744" s="19"/>
      <c r="K744" s="19"/>
      <c r="L744" s="19"/>
      <c r="M744" s="19"/>
    </row>
    <row r="745">
      <c r="A745" s="19"/>
      <c r="B745" s="19"/>
      <c r="C745" s="19"/>
      <c r="D745" s="19"/>
      <c r="E745" s="19"/>
      <c r="F745" s="19"/>
      <c r="G745" s="19"/>
      <c r="H745" s="19"/>
      <c r="I745" s="19"/>
      <c r="J745" s="19"/>
      <c r="K745" s="19"/>
      <c r="L745" s="19"/>
      <c r="M745" s="19"/>
    </row>
    <row r="746">
      <c r="A746" s="19"/>
      <c r="B746" s="19"/>
      <c r="C746" s="19"/>
      <c r="D746" s="19"/>
      <c r="E746" s="19"/>
      <c r="F746" s="19"/>
      <c r="G746" s="19"/>
      <c r="H746" s="19"/>
      <c r="I746" s="19"/>
      <c r="J746" s="19"/>
      <c r="K746" s="19"/>
      <c r="L746" s="19"/>
      <c r="M746" s="19"/>
    </row>
    <row r="747">
      <c r="A747" s="19"/>
      <c r="B747" s="19"/>
      <c r="C747" s="19"/>
      <c r="D747" s="19"/>
      <c r="E747" s="19"/>
      <c r="F747" s="19"/>
      <c r="G747" s="19"/>
      <c r="H747" s="19"/>
      <c r="I747" s="19"/>
      <c r="J747" s="19"/>
      <c r="K747" s="19"/>
      <c r="L747" s="19"/>
      <c r="M747" s="19"/>
    </row>
    <row r="748">
      <c r="A748" s="19"/>
      <c r="B748" s="19"/>
      <c r="C748" s="19"/>
      <c r="D748" s="19"/>
      <c r="E748" s="19"/>
      <c r="F748" s="19"/>
      <c r="G748" s="19"/>
      <c r="H748" s="19"/>
      <c r="I748" s="19"/>
      <c r="J748" s="19"/>
      <c r="K748" s="19"/>
      <c r="L748" s="19"/>
      <c r="M748" s="19"/>
    </row>
    <row r="749">
      <c r="A749" s="19"/>
      <c r="B749" s="19"/>
      <c r="C749" s="19"/>
      <c r="D749" s="19"/>
      <c r="E749" s="19"/>
      <c r="F749" s="19"/>
      <c r="G749" s="19"/>
      <c r="H749" s="19"/>
      <c r="I749" s="19"/>
      <c r="J749" s="19"/>
      <c r="K749" s="19"/>
      <c r="L749" s="19"/>
      <c r="M749" s="19"/>
    </row>
    <row r="750">
      <c r="A750" s="19"/>
      <c r="B750" s="19"/>
      <c r="C750" s="19"/>
      <c r="D750" s="19"/>
      <c r="E750" s="19"/>
      <c r="F750" s="19"/>
      <c r="G750" s="19"/>
      <c r="H750" s="19"/>
      <c r="I750" s="19"/>
      <c r="J750" s="19"/>
      <c r="K750" s="19"/>
      <c r="L750" s="19"/>
      <c r="M750" s="19"/>
    </row>
    <row r="751">
      <c r="A751" s="19"/>
      <c r="B751" s="19"/>
      <c r="C751" s="19"/>
      <c r="D751" s="19"/>
      <c r="E751" s="19"/>
      <c r="F751" s="19"/>
      <c r="G751" s="19"/>
      <c r="H751" s="19"/>
      <c r="I751" s="19"/>
      <c r="J751" s="19"/>
      <c r="K751" s="19"/>
      <c r="L751" s="19"/>
      <c r="M751" s="19"/>
    </row>
    <row r="752">
      <c r="A752" s="19"/>
      <c r="B752" s="19"/>
      <c r="C752" s="19"/>
      <c r="D752" s="19"/>
      <c r="E752" s="19"/>
      <c r="F752" s="19"/>
      <c r="G752" s="19"/>
      <c r="H752" s="19"/>
      <c r="I752" s="19"/>
      <c r="J752" s="19"/>
      <c r="K752" s="19"/>
      <c r="L752" s="19"/>
      <c r="M752" s="19"/>
    </row>
    <row r="753">
      <c r="A753" s="19"/>
      <c r="B753" s="19"/>
      <c r="C753" s="19"/>
      <c r="D753" s="19"/>
      <c r="E753" s="19"/>
      <c r="F753" s="19"/>
      <c r="G753" s="19"/>
      <c r="H753" s="19"/>
      <c r="I753" s="19"/>
      <c r="J753" s="19"/>
      <c r="K753" s="19"/>
      <c r="L753" s="19"/>
      <c r="M753" s="19"/>
    </row>
    <row r="754">
      <c r="A754" s="19"/>
      <c r="B754" s="19"/>
      <c r="C754" s="19"/>
      <c r="D754" s="19"/>
      <c r="E754" s="19"/>
      <c r="F754" s="19"/>
      <c r="G754" s="19"/>
      <c r="H754" s="19"/>
      <c r="I754" s="19"/>
      <c r="J754" s="19"/>
      <c r="K754" s="19"/>
      <c r="L754" s="19"/>
      <c r="M754" s="19"/>
    </row>
    <row r="755">
      <c r="A755" s="19"/>
      <c r="B755" s="19"/>
      <c r="C755" s="19"/>
      <c r="D755" s="19"/>
      <c r="E755" s="19"/>
      <c r="F755" s="19"/>
      <c r="G755" s="19"/>
      <c r="H755" s="19"/>
      <c r="I755" s="19"/>
      <c r="J755" s="19"/>
      <c r="K755" s="19"/>
      <c r="L755" s="19"/>
      <c r="M755" s="19"/>
    </row>
    <row r="756">
      <c r="A756" s="19"/>
      <c r="B756" s="19"/>
      <c r="C756" s="19"/>
      <c r="D756" s="19"/>
      <c r="E756" s="19"/>
      <c r="F756" s="19"/>
      <c r="G756" s="19"/>
      <c r="H756" s="19"/>
      <c r="I756" s="19"/>
      <c r="J756" s="19"/>
      <c r="K756" s="19"/>
      <c r="L756" s="19"/>
      <c r="M756" s="19"/>
    </row>
    <row r="757">
      <c r="A757" s="19"/>
      <c r="B757" s="19"/>
      <c r="C757" s="19"/>
      <c r="D757" s="19"/>
      <c r="E757" s="19"/>
      <c r="F757" s="19"/>
      <c r="G757" s="19"/>
      <c r="H757" s="19"/>
      <c r="I757" s="19"/>
      <c r="J757" s="19"/>
      <c r="K757" s="19"/>
      <c r="L757" s="19"/>
      <c r="M757" s="19"/>
    </row>
    <row r="758">
      <c r="A758" s="19"/>
      <c r="B758" s="19"/>
      <c r="C758" s="19"/>
      <c r="D758" s="19"/>
      <c r="E758" s="19"/>
      <c r="F758" s="19"/>
      <c r="G758" s="19"/>
      <c r="H758" s="19"/>
      <c r="I758" s="19"/>
      <c r="J758" s="19"/>
      <c r="K758" s="19"/>
      <c r="L758" s="19"/>
      <c r="M758" s="19"/>
    </row>
    <row r="759">
      <c r="A759" s="19"/>
      <c r="B759" s="19"/>
      <c r="C759" s="19"/>
      <c r="D759" s="19"/>
      <c r="E759" s="19"/>
      <c r="F759" s="19"/>
      <c r="G759" s="19"/>
      <c r="H759" s="19"/>
      <c r="I759" s="19"/>
      <c r="J759" s="19"/>
      <c r="K759" s="19"/>
      <c r="L759" s="19"/>
      <c r="M759" s="19"/>
    </row>
    <row r="760">
      <c r="A760" s="19"/>
      <c r="B760" s="19"/>
      <c r="C760" s="19"/>
      <c r="D760" s="19"/>
      <c r="E760" s="19"/>
      <c r="F760" s="19"/>
      <c r="G760" s="19"/>
      <c r="H760" s="19"/>
      <c r="I760" s="19"/>
      <c r="J760" s="19"/>
      <c r="K760" s="19"/>
      <c r="L760" s="19"/>
      <c r="M760" s="19"/>
    </row>
    <row r="761">
      <c r="A761" s="19"/>
      <c r="B761" s="19"/>
      <c r="C761" s="19"/>
      <c r="D761" s="19"/>
      <c r="E761" s="19"/>
      <c r="F761" s="19"/>
      <c r="G761" s="19"/>
      <c r="H761" s="19"/>
      <c r="I761" s="19"/>
      <c r="J761" s="19"/>
      <c r="K761" s="19"/>
      <c r="L761" s="19"/>
      <c r="M761" s="19"/>
    </row>
    <row r="762">
      <c r="A762" s="19"/>
      <c r="B762" s="19"/>
      <c r="C762" s="19"/>
      <c r="D762" s="19"/>
      <c r="E762" s="19"/>
      <c r="F762" s="19"/>
      <c r="G762" s="19"/>
      <c r="H762" s="19"/>
      <c r="I762" s="19"/>
      <c r="J762" s="19"/>
      <c r="K762" s="19"/>
      <c r="L762" s="19"/>
      <c r="M762" s="19"/>
    </row>
    <row r="763">
      <c r="A763" s="19"/>
      <c r="B763" s="19"/>
      <c r="C763" s="19"/>
      <c r="D763" s="19"/>
      <c r="E763" s="19"/>
      <c r="F763" s="19"/>
      <c r="G763" s="19"/>
      <c r="H763" s="19"/>
      <c r="I763" s="19"/>
      <c r="J763" s="19"/>
      <c r="K763" s="19"/>
      <c r="L763" s="19"/>
      <c r="M763" s="19"/>
    </row>
    <row r="764">
      <c r="A764" s="19"/>
      <c r="B764" s="19"/>
      <c r="C764" s="19"/>
      <c r="D764" s="19"/>
      <c r="E764" s="19"/>
      <c r="F764" s="19"/>
      <c r="G764" s="19"/>
      <c r="H764" s="19"/>
      <c r="I764" s="19"/>
      <c r="J764" s="19"/>
      <c r="K764" s="19"/>
      <c r="L764" s="19"/>
      <c r="M764" s="19"/>
    </row>
    <row r="765">
      <c r="A765" s="19"/>
      <c r="B765" s="19"/>
      <c r="C765" s="19"/>
      <c r="D765" s="19"/>
      <c r="E765" s="19"/>
      <c r="F765" s="19"/>
      <c r="G765" s="19"/>
      <c r="H765" s="19"/>
      <c r="I765" s="19"/>
      <c r="J765" s="19"/>
      <c r="K765" s="19"/>
      <c r="L765" s="19"/>
      <c r="M765" s="19"/>
    </row>
    <row r="766">
      <c r="A766" s="19"/>
      <c r="B766" s="19"/>
      <c r="C766" s="19"/>
      <c r="D766" s="19"/>
      <c r="E766" s="19"/>
      <c r="F766" s="19"/>
      <c r="G766" s="19"/>
      <c r="H766" s="19"/>
      <c r="I766" s="19"/>
      <c r="J766" s="19"/>
      <c r="K766" s="19"/>
      <c r="L766" s="19"/>
      <c r="M766" s="19"/>
    </row>
    <row r="767">
      <c r="A767" s="19"/>
      <c r="B767" s="19"/>
      <c r="C767" s="19"/>
      <c r="D767" s="19"/>
      <c r="E767" s="19"/>
      <c r="F767" s="19"/>
      <c r="G767" s="19"/>
      <c r="H767" s="19"/>
      <c r="I767" s="19"/>
      <c r="J767" s="19"/>
      <c r="K767" s="19"/>
      <c r="L767" s="19"/>
      <c r="M767" s="19"/>
    </row>
    <row r="768">
      <c r="A768" s="19"/>
      <c r="B768" s="19"/>
      <c r="C768" s="19"/>
      <c r="D768" s="19"/>
      <c r="E768" s="19"/>
      <c r="F768" s="19"/>
      <c r="G768" s="19"/>
      <c r="H768" s="19"/>
      <c r="I768" s="19"/>
      <c r="J768" s="19"/>
      <c r="K768" s="19"/>
      <c r="L768" s="19"/>
      <c r="M768" s="19"/>
    </row>
    <row r="769">
      <c r="A769" s="19"/>
      <c r="B769" s="19"/>
      <c r="C769" s="19"/>
      <c r="D769" s="19"/>
      <c r="E769" s="19"/>
      <c r="F769" s="19"/>
      <c r="G769" s="19"/>
      <c r="H769" s="19"/>
      <c r="I769" s="19"/>
      <c r="J769" s="19"/>
      <c r="K769" s="19"/>
      <c r="L769" s="19"/>
      <c r="M769" s="19"/>
    </row>
    <row r="770">
      <c r="A770" s="19"/>
      <c r="B770" s="19"/>
      <c r="C770" s="19"/>
      <c r="D770" s="19"/>
      <c r="E770" s="19"/>
      <c r="F770" s="19"/>
      <c r="G770" s="19"/>
      <c r="H770" s="19"/>
      <c r="I770" s="19"/>
      <c r="J770" s="19"/>
      <c r="K770" s="19"/>
      <c r="L770" s="19"/>
      <c r="M770" s="19"/>
    </row>
    <row r="771">
      <c r="A771" s="19"/>
      <c r="B771" s="19"/>
      <c r="C771" s="19"/>
      <c r="D771" s="19"/>
      <c r="E771" s="19"/>
      <c r="F771" s="19"/>
      <c r="G771" s="19"/>
      <c r="H771" s="19"/>
      <c r="I771" s="19"/>
      <c r="J771" s="19"/>
      <c r="K771" s="19"/>
      <c r="L771" s="19"/>
      <c r="M771" s="19"/>
    </row>
    <row r="772">
      <c r="A772" s="19"/>
      <c r="B772" s="19"/>
      <c r="C772" s="19"/>
      <c r="D772" s="19"/>
      <c r="E772" s="19"/>
      <c r="F772" s="19"/>
      <c r="G772" s="19"/>
      <c r="H772" s="19"/>
      <c r="I772" s="19"/>
      <c r="J772" s="19"/>
      <c r="K772" s="19"/>
      <c r="L772" s="19"/>
      <c r="M772" s="19"/>
    </row>
    <row r="773">
      <c r="A773" s="19"/>
      <c r="B773" s="19"/>
      <c r="C773" s="19"/>
      <c r="D773" s="19"/>
      <c r="E773" s="19"/>
      <c r="F773" s="19"/>
      <c r="G773" s="19"/>
      <c r="H773" s="19"/>
      <c r="I773" s="19"/>
      <c r="J773" s="19"/>
      <c r="K773" s="19"/>
      <c r="L773" s="19"/>
      <c r="M773" s="19"/>
    </row>
    <row r="774">
      <c r="A774" s="19"/>
      <c r="B774" s="19"/>
      <c r="C774" s="19"/>
      <c r="D774" s="19"/>
      <c r="E774" s="19"/>
      <c r="F774" s="19"/>
      <c r="G774" s="19"/>
      <c r="H774" s="19"/>
      <c r="I774" s="19"/>
      <c r="J774" s="19"/>
      <c r="K774" s="19"/>
      <c r="L774" s="19"/>
      <c r="M774" s="19"/>
    </row>
    <row r="775">
      <c r="A775" s="19"/>
      <c r="B775" s="19"/>
      <c r="C775" s="19"/>
      <c r="D775" s="19"/>
      <c r="E775" s="19"/>
      <c r="F775" s="19"/>
      <c r="G775" s="19"/>
      <c r="H775" s="19"/>
      <c r="I775" s="19"/>
      <c r="J775" s="19"/>
      <c r="K775" s="19"/>
      <c r="L775" s="19"/>
      <c r="M775" s="19"/>
    </row>
    <row r="776">
      <c r="A776" s="19"/>
      <c r="B776" s="19"/>
      <c r="C776" s="19"/>
      <c r="D776" s="19"/>
      <c r="E776" s="19"/>
      <c r="F776" s="19"/>
      <c r="G776" s="19"/>
      <c r="H776" s="19"/>
      <c r="I776" s="19"/>
      <c r="J776" s="19"/>
      <c r="K776" s="19"/>
      <c r="L776" s="19"/>
      <c r="M776" s="19"/>
    </row>
    <row r="777">
      <c r="A777" s="19"/>
      <c r="B777" s="19"/>
      <c r="C777" s="19"/>
      <c r="D777" s="19"/>
      <c r="E777" s="19"/>
      <c r="F777" s="19"/>
      <c r="G777" s="19"/>
      <c r="H777" s="19"/>
      <c r="I777" s="19"/>
      <c r="J777" s="19"/>
      <c r="K777" s="19"/>
      <c r="L777" s="19"/>
      <c r="M777" s="19"/>
    </row>
    <row r="778">
      <c r="A778" s="19"/>
      <c r="B778" s="19"/>
      <c r="C778" s="19"/>
      <c r="D778" s="19"/>
      <c r="E778" s="19"/>
      <c r="F778" s="19"/>
      <c r="G778" s="19"/>
      <c r="H778" s="19"/>
      <c r="I778" s="19"/>
      <c r="J778" s="19"/>
      <c r="K778" s="19"/>
      <c r="L778" s="19"/>
      <c r="M778" s="19"/>
    </row>
    <row r="779">
      <c r="A779" s="19"/>
      <c r="B779" s="19"/>
      <c r="C779" s="19"/>
      <c r="D779" s="19"/>
      <c r="E779" s="19"/>
      <c r="F779" s="19"/>
      <c r="G779" s="19"/>
      <c r="H779" s="19"/>
      <c r="I779" s="19"/>
      <c r="J779" s="19"/>
      <c r="K779" s="19"/>
      <c r="L779" s="19"/>
      <c r="M779" s="19"/>
    </row>
    <row r="780">
      <c r="A780" s="19"/>
      <c r="B780" s="19"/>
      <c r="C780" s="19"/>
      <c r="D780" s="19"/>
      <c r="E780" s="19"/>
      <c r="F780" s="19"/>
      <c r="G780" s="19"/>
      <c r="H780" s="19"/>
      <c r="I780" s="19"/>
      <c r="J780" s="19"/>
      <c r="K780" s="19"/>
      <c r="L780" s="19"/>
      <c r="M780" s="19"/>
    </row>
    <row r="781">
      <c r="A781" s="19"/>
      <c r="B781" s="19"/>
      <c r="C781" s="19"/>
      <c r="D781" s="19"/>
      <c r="E781" s="19"/>
      <c r="F781" s="19"/>
      <c r="G781" s="19"/>
      <c r="H781" s="19"/>
      <c r="I781" s="19"/>
      <c r="J781" s="19"/>
      <c r="K781" s="19"/>
      <c r="L781" s="19"/>
      <c r="M781" s="19"/>
    </row>
    <row r="782">
      <c r="A782" s="19"/>
      <c r="B782" s="19"/>
      <c r="C782" s="19"/>
      <c r="D782" s="19"/>
      <c r="E782" s="19"/>
      <c r="F782" s="19"/>
      <c r="G782" s="19"/>
      <c r="H782" s="19"/>
      <c r="I782" s="19"/>
      <c r="J782" s="19"/>
      <c r="K782" s="19"/>
      <c r="L782" s="19"/>
      <c r="M782" s="19"/>
    </row>
    <row r="783">
      <c r="A783" s="19"/>
      <c r="B783" s="19"/>
      <c r="C783" s="19"/>
      <c r="D783" s="19"/>
      <c r="E783" s="19"/>
      <c r="F783" s="19"/>
      <c r="G783" s="19"/>
      <c r="H783" s="19"/>
      <c r="I783" s="19"/>
      <c r="J783" s="19"/>
      <c r="K783" s="19"/>
      <c r="L783" s="19"/>
      <c r="M783" s="19"/>
    </row>
    <row r="784">
      <c r="A784" s="19"/>
      <c r="B784" s="19"/>
      <c r="C784" s="19"/>
      <c r="D784" s="19"/>
      <c r="E784" s="19"/>
      <c r="F784" s="19"/>
      <c r="G784" s="19"/>
      <c r="H784" s="19"/>
      <c r="I784" s="19"/>
      <c r="J784" s="19"/>
      <c r="K784" s="19"/>
      <c r="L784" s="19"/>
      <c r="M784" s="19"/>
    </row>
    <row r="785">
      <c r="A785" s="19"/>
      <c r="B785" s="19"/>
      <c r="C785" s="19"/>
      <c r="D785" s="19"/>
      <c r="E785" s="19"/>
      <c r="F785" s="19"/>
      <c r="G785" s="19"/>
      <c r="H785" s="19"/>
      <c r="I785" s="19"/>
      <c r="J785" s="19"/>
      <c r="K785" s="19"/>
      <c r="L785" s="19"/>
      <c r="M785" s="19"/>
    </row>
    <row r="786">
      <c r="A786" s="19"/>
      <c r="B786" s="19"/>
      <c r="C786" s="19"/>
      <c r="D786" s="19"/>
      <c r="E786" s="19"/>
      <c r="F786" s="19"/>
      <c r="G786" s="19"/>
      <c r="H786" s="19"/>
      <c r="I786" s="19"/>
      <c r="J786" s="19"/>
      <c r="K786" s="19"/>
      <c r="L786" s="19"/>
      <c r="M786" s="19"/>
    </row>
    <row r="787">
      <c r="A787" s="19"/>
      <c r="B787" s="19"/>
      <c r="C787" s="19"/>
      <c r="D787" s="19"/>
      <c r="E787" s="19"/>
      <c r="F787" s="19"/>
      <c r="G787" s="19"/>
      <c r="H787" s="19"/>
      <c r="I787" s="19"/>
      <c r="J787" s="19"/>
      <c r="K787" s="19"/>
      <c r="L787" s="19"/>
      <c r="M787" s="19"/>
    </row>
    <row r="788">
      <c r="A788" s="19"/>
      <c r="B788" s="19"/>
      <c r="C788" s="19"/>
      <c r="D788" s="19"/>
      <c r="E788" s="19"/>
      <c r="F788" s="19"/>
      <c r="G788" s="19"/>
      <c r="H788" s="19"/>
      <c r="I788" s="19"/>
      <c r="J788" s="19"/>
      <c r="K788" s="19"/>
      <c r="L788" s="19"/>
      <c r="M788" s="19"/>
    </row>
    <row r="789">
      <c r="A789" s="19"/>
      <c r="B789" s="19"/>
      <c r="C789" s="19"/>
      <c r="D789" s="19"/>
      <c r="E789" s="19"/>
      <c r="F789" s="19"/>
      <c r="G789" s="19"/>
      <c r="H789" s="19"/>
      <c r="I789" s="19"/>
      <c r="J789" s="19"/>
      <c r="K789" s="19"/>
      <c r="L789" s="19"/>
      <c r="M789" s="19"/>
    </row>
    <row r="790">
      <c r="A790" s="19"/>
      <c r="B790" s="19"/>
      <c r="C790" s="19"/>
      <c r="D790" s="19"/>
      <c r="E790" s="19"/>
      <c r="F790" s="19"/>
      <c r="G790" s="19"/>
      <c r="H790" s="19"/>
      <c r="I790" s="19"/>
      <c r="J790" s="19"/>
      <c r="K790" s="19"/>
      <c r="L790" s="19"/>
      <c r="M790" s="19"/>
    </row>
    <row r="791">
      <c r="A791" s="19"/>
      <c r="B791" s="19"/>
      <c r="C791" s="19"/>
      <c r="D791" s="19"/>
      <c r="E791" s="19"/>
      <c r="F791" s="19"/>
      <c r="G791" s="19"/>
      <c r="H791" s="19"/>
      <c r="I791" s="19"/>
      <c r="J791" s="19"/>
      <c r="K791" s="19"/>
      <c r="L791" s="19"/>
      <c r="M791" s="19"/>
    </row>
    <row r="792">
      <c r="A792" s="19"/>
      <c r="B792" s="19"/>
      <c r="C792" s="19"/>
      <c r="D792" s="19"/>
      <c r="E792" s="19"/>
      <c r="F792" s="19"/>
      <c r="G792" s="19"/>
      <c r="H792" s="19"/>
      <c r="I792" s="19"/>
      <c r="J792" s="19"/>
      <c r="K792" s="19"/>
      <c r="L792" s="19"/>
      <c r="M792" s="19"/>
    </row>
    <row r="793">
      <c r="A793" s="19"/>
      <c r="B793" s="19"/>
      <c r="C793" s="19"/>
      <c r="D793" s="19"/>
      <c r="E793" s="19"/>
      <c r="F793" s="19"/>
      <c r="G793" s="19"/>
      <c r="H793" s="19"/>
      <c r="I793" s="19"/>
      <c r="J793" s="19"/>
      <c r="K793" s="19"/>
      <c r="L793" s="19"/>
      <c r="M793" s="19"/>
    </row>
    <row r="794">
      <c r="A794" s="19"/>
      <c r="B794" s="19"/>
      <c r="C794" s="19"/>
      <c r="D794" s="19"/>
      <c r="E794" s="19"/>
      <c r="F794" s="19"/>
      <c r="G794" s="19"/>
      <c r="H794" s="19"/>
      <c r="I794" s="19"/>
      <c r="J794" s="19"/>
      <c r="K794" s="19"/>
      <c r="L794" s="19"/>
      <c r="M794" s="19"/>
    </row>
    <row r="795">
      <c r="A795" s="19"/>
      <c r="B795" s="19"/>
      <c r="C795" s="19"/>
      <c r="D795" s="19"/>
      <c r="E795" s="19"/>
      <c r="F795" s="19"/>
      <c r="G795" s="19"/>
      <c r="H795" s="19"/>
      <c r="I795" s="19"/>
      <c r="J795" s="19"/>
      <c r="K795" s="19"/>
      <c r="L795" s="19"/>
      <c r="M795" s="19"/>
    </row>
    <row r="796">
      <c r="A796" s="19"/>
      <c r="B796" s="19"/>
      <c r="C796" s="19"/>
      <c r="D796" s="19"/>
      <c r="E796" s="19"/>
      <c r="F796" s="19"/>
      <c r="G796" s="19"/>
      <c r="H796" s="19"/>
      <c r="I796" s="19"/>
      <c r="J796" s="19"/>
      <c r="K796" s="19"/>
      <c r="L796" s="19"/>
      <c r="M796" s="19"/>
    </row>
    <row r="797">
      <c r="A797" s="19"/>
      <c r="B797" s="19"/>
      <c r="C797" s="19"/>
      <c r="D797" s="19"/>
      <c r="E797" s="19"/>
      <c r="F797" s="19"/>
      <c r="G797" s="19"/>
      <c r="H797" s="19"/>
      <c r="I797" s="19"/>
      <c r="J797" s="19"/>
      <c r="K797" s="19"/>
      <c r="L797" s="19"/>
      <c r="M797" s="19"/>
    </row>
    <row r="798">
      <c r="A798" s="19"/>
      <c r="B798" s="19"/>
      <c r="C798" s="19"/>
      <c r="D798" s="19"/>
      <c r="E798" s="19"/>
      <c r="F798" s="19"/>
      <c r="G798" s="19"/>
      <c r="H798" s="19"/>
      <c r="I798" s="19"/>
      <c r="J798" s="19"/>
      <c r="K798" s="19"/>
      <c r="L798" s="19"/>
      <c r="M798" s="19"/>
    </row>
    <row r="799">
      <c r="A799" s="19"/>
      <c r="B799" s="19"/>
      <c r="C799" s="19"/>
      <c r="D799" s="19"/>
      <c r="E799" s="19"/>
      <c r="F799" s="19"/>
      <c r="G799" s="19"/>
      <c r="H799" s="19"/>
      <c r="I799" s="19"/>
      <c r="J799" s="19"/>
      <c r="K799" s="19"/>
      <c r="L799" s="19"/>
      <c r="M799" s="19"/>
    </row>
    <row r="800">
      <c r="A800" s="19"/>
      <c r="B800" s="19"/>
      <c r="C800" s="19"/>
      <c r="D800" s="19"/>
      <c r="E800" s="19"/>
      <c r="F800" s="19"/>
      <c r="G800" s="19"/>
      <c r="H800" s="19"/>
      <c r="I800" s="19"/>
      <c r="J800" s="19"/>
      <c r="K800" s="19"/>
      <c r="L800" s="19"/>
      <c r="M800" s="19"/>
    </row>
    <row r="801">
      <c r="A801" s="19"/>
      <c r="B801" s="19"/>
      <c r="C801" s="19"/>
      <c r="D801" s="19"/>
      <c r="E801" s="19"/>
      <c r="F801" s="19"/>
      <c r="G801" s="19"/>
      <c r="H801" s="19"/>
      <c r="I801" s="19"/>
      <c r="J801" s="19"/>
      <c r="K801" s="19"/>
      <c r="L801" s="19"/>
      <c r="M801" s="19"/>
    </row>
    <row r="802">
      <c r="A802" s="19"/>
      <c r="B802" s="19"/>
      <c r="C802" s="19"/>
      <c r="D802" s="19"/>
      <c r="E802" s="19"/>
      <c r="F802" s="19"/>
      <c r="G802" s="19"/>
      <c r="H802" s="19"/>
      <c r="I802" s="19"/>
      <c r="J802" s="19"/>
      <c r="K802" s="19"/>
      <c r="L802" s="19"/>
      <c r="M802" s="19"/>
    </row>
    <row r="803">
      <c r="A803" s="19"/>
      <c r="B803" s="19"/>
      <c r="C803" s="19"/>
      <c r="D803" s="19"/>
      <c r="E803" s="19"/>
      <c r="F803" s="19"/>
      <c r="G803" s="19"/>
      <c r="H803" s="19"/>
      <c r="I803" s="19"/>
      <c r="J803" s="19"/>
      <c r="K803" s="19"/>
      <c r="L803" s="19"/>
      <c r="M803" s="19"/>
    </row>
    <row r="804">
      <c r="A804" s="19"/>
      <c r="B804" s="19"/>
      <c r="C804" s="19"/>
      <c r="D804" s="19"/>
      <c r="E804" s="19"/>
      <c r="F804" s="19"/>
      <c r="G804" s="19"/>
      <c r="H804" s="19"/>
      <c r="I804" s="19"/>
      <c r="J804" s="19"/>
      <c r="K804" s="19"/>
      <c r="L804" s="19"/>
      <c r="M804" s="19"/>
    </row>
    <row r="805">
      <c r="A805" s="19"/>
      <c r="B805" s="19"/>
      <c r="C805" s="19"/>
      <c r="D805" s="19"/>
      <c r="E805" s="19"/>
      <c r="F805" s="19"/>
      <c r="G805" s="19"/>
      <c r="H805" s="19"/>
      <c r="I805" s="19"/>
      <c r="J805" s="19"/>
      <c r="K805" s="19"/>
      <c r="L805" s="19"/>
      <c r="M805" s="19"/>
    </row>
    <row r="806">
      <c r="A806" s="19"/>
      <c r="B806" s="19"/>
      <c r="C806" s="19"/>
      <c r="D806" s="19"/>
      <c r="E806" s="19"/>
      <c r="F806" s="19"/>
      <c r="G806" s="19"/>
      <c r="H806" s="19"/>
      <c r="I806" s="19"/>
      <c r="J806" s="19"/>
      <c r="K806" s="19"/>
      <c r="L806" s="19"/>
      <c r="M806" s="19"/>
    </row>
    <row r="807">
      <c r="A807" s="19"/>
      <c r="B807" s="19"/>
      <c r="C807" s="19"/>
      <c r="D807" s="19"/>
      <c r="E807" s="19"/>
      <c r="F807" s="19"/>
      <c r="G807" s="19"/>
      <c r="H807" s="19"/>
      <c r="I807" s="19"/>
      <c r="J807" s="19"/>
      <c r="K807" s="19"/>
      <c r="L807" s="19"/>
      <c r="M807" s="19"/>
    </row>
    <row r="808">
      <c r="A808" s="19"/>
      <c r="B808" s="19"/>
      <c r="C808" s="19"/>
      <c r="D808" s="19"/>
      <c r="E808" s="19"/>
      <c r="F808" s="19"/>
      <c r="G808" s="19"/>
      <c r="H808" s="19"/>
      <c r="I808" s="19"/>
      <c r="J808" s="19"/>
      <c r="K808" s="19"/>
      <c r="L808" s="19"/>
      <c r="M808" s="19"/>
    </row>
    <row r="809">
      <c r="A809" s="19"/>
      <c r="B809" s="19"/>
      <c r="C809" s="19"/>
      <c r="D809" s="19"/>
      <c r="E809" s="19"/>
      <c r="F809" s="19"/>
      <c r="G809" s="19"/>
      <c r="H809" s="19"/>
      <c r="I809" s="19"/>
      <c r="J809" s="19"/>
      <c r="K809" s="19"/>
      <c r="L809" s="19"/>
      <c r="M809" s="19"/>
    </row>
    <row r="810">
      <c r="A810" s="19"/>
      <c r="B810" s="19"/>
      <c r="C810" s="19"/>
      <c r="D810" s="19"/>
      <c r="E810" s="19"/>
      <c r="F810" s="19"/>
      <c r="G810" s="19"/>
      <c r="H810" s="19"/>
      <c r="I810" s="19"/>
      <c r="J810" s="19"/>
      <c r="K810" s="19"/>
      <c r="L810" s="19"/>
      <c r="M810" s="19"/>
    </row>
    <row r="811">
      <c r="A811" s="19"/>
      <c r="B811" s="19"/>
      <c r="C811" s="19"/>
      <c r="D811" s="19"/>
      <c r="E811" s="19"/>
      <c r="F811" s="19"/>
      <c r="G811" s="19"/>
      <c r="H811" s="19"/>
      <c r="I811" s="19"/>
      <c r="J811" s="19"/>
      <c r="K811" s="19"/>
      <c r="L811" s="19"/>
      <c r="M811" s="19"/>
    </row>
    <row r="812">
      <c r="A812" s="19"/>
      <c r="B812" s="19"/>
      <c r="C812" s="19"/>
      <c r="D812" s="19"/>
      <c r="E812" s="19"/>
      <c r="F812" s="19"/>
      <c r="G812" s="19"/>
      <c r="H812" s="19"/>
      <c r="I812" s="19"/>
      <c r="J812" s="19"/>
      <c r="K812" s="19"/>
      <c r="L812" s="19"/>
      <c r="M812" s="19"/>
    </row>
    <row r="813">
      <c r="A813" s="19"/>
      <c r="B813" s="19"/>
      <c r="C813" s="19"/>
      <c r="D813" s="19"/>
      <c r="E813" s="19"/>
      <c r="F813" s="19"/>
      <c r="G813" s="19"/>
      <c r="H813" s="19"/>
      <c r="I813" s="19"/>
      <c r="J813" s="19"/>
      <c r="K813" s="19"/>
      <c r="L813" s="19"/>
      <c r="M813" s="19"/>
    </row>
    <row r="814">
      <c r="A814" s="19"/>
      <c r="B814" s="19"/>
      <c r="C814" s="19"/>
      <c r="D814" s="19"/>
      <c r="E814" s="19"/>
      <c r="F814" s="19"/>
      <c r="G814" s="19"/>
      <c r="H814" s="19"/>
      <c r="I814" s="19"/>
      <c r="J814" s="19"/>
      <c r="K814" s="19"/>
      <c r="L814" s="19"/>
      <c r="M814" s="19"/>
    </row>
    <row r="815">
      <c r="A815" s="19"/>
      <c r="B815" s="19"/>
      <c r="C815" s="19"/>
      <c r="D815" s="19"/>
      <c r="E815" s="19"/>
      <c r="F815" s="19"/>
      <c r="G815" s="19"/>
      <c r="H815" s="19"/>
      <c r="I815" s="19"/>
      <c r="J815" s="19"/>
      <c r="K815" s="19"/>
      <c r="L815" s="19"/>
      <c r="M815" s="19"/>
    </row>
    <row r="816">
      <c r="A816" s="19"/>
      <c r="B816" s="19"/>
      <c r="C816" s="19"/>
      <c r="D816" s="19"/>
      <c r="E816" s="19"/>
      <c r="F816" s="19"/>
      <c r="G816" s="19"/>
      <c r="H816" s="19"/>
      <c r="I816" s="19"/>
      <c r="J816" s="19"/>
      <c r="K816" s="19"/>
      <c r="L816" s="19"/>
      <c r="M816" s="19"/>
    </row>
    <row r="817">
      <c r="A817" s="19"/>
      <c r="B817" s="19"/>
      <c r="C817" s="19"/>
      <c r="D817" s="19"/>
      <c r="E817" s="19"/>
      <c r="F817" s="19"/>
      <c r="G817" s="19"/>
      <c r="H817" s="19"/>
      <c r="I817" s="19"/>
      <c r="J817" s="19"/>
      <c r="K817" s="19"/>
      <c r="L817" s="19"/>
      <c r="M817" s="19"/>
    </row>
    <row r="818">
      <c r="A818" s="19"/>
      <c r="B818" s="19"/>
      <c r="C818" s="19"/>
      <c r="D818" s="19"/>
      <c r="E818" s="19"/>
      <c r="F818" s="19"/>
      <c r="G818" s="19"/>
      <c r="H818" s="19"/>
      <c r="I818" s="19"/>
      <c r="J818" s="19"/>
      <c r="K818" s="19"/>
      <c r="L818" s="19"/>
      <c r="M818" s="19"/>
    </row>
    <row r="819">
      <c r="A819" s="19"/>
      <c r="B819" s="19"/>
      <c r="C819" s="19"/>
      <c r="D819" s="19"/>
      <c r="E819" s="19"/>
      <c r="F819" s="19"/>
      <c r="G819" s="19"/>
      <c r="H819" s="19"/>
      <c r="I819" s="19"/>
      <c r="J819" s="19"/>
      <c r="K819" s="19"/>
      <c r="L819" s="19"/>
      <c r="M819" s="19"/>
    </row>
    <row r="820">
      <c r="A820" s="19"/>
      <c r="B820" s="19"/>
      <c r="C820" s="19"/>
      <c r="D820" s="19"/>
      <c r="E820" s="19"/>
      <c r="F820" s="19"/>
      <c r="G820" s="19"/>
      <c r="H820" s="19"/>
      <c r="I820" s="19"/>
      <c r="J820" s="19"/>
      <c r="K820" s="19"/>
      <c r="L820" s="19"/>
      <c r="M820" s="19"/>
    </row>
    <row r="821">
      <c r="A821" s="19"/>
      <c r="B821" s="19"/>
      <c r="C821" s="19"/>
      <c r="D821" s="19"/>
      <c r="E821" s="19"/>
      <c r="F821" s="19"/>
      <c r="G821" s="19"/>
      <c r="H821" s="19"/>
      <c r="I821" s="19"/>
      <c r="J821" s="19"/>
      <c r="K821" s="19"/>
      <c r="L821" s="19"/>
      <c r="M821" s="19"/>
    </row>
    <row r="822">
      <c r="A822" s="19"/>
      <c r="B822" s="19"/>
      <c r="C822" s="19"/>
      <c r="D822" s="19"/>
      <c r="E822" s="19"/>
      <c r="F822" s="19"/>
      <c r="G822" s="19"/>
      <c r="H822" s="19"/>
      <c r="I822" s="19"/>
      <c r="J822" s="19"/>
      <c r="K822" s="19"/>
      <c r="L822" s="19"/>
      <c r="M822" s="19"/>
    </row>
    <row r="823">
      <c r="A823" s="19"/>
      <c r="B823" s="19"/>
      <c r="C823" s="19"/>
      <c r="D823" s="19"/>
      <c r="E823" s="19"/>
      <c r="F823" s="19"/>
      <c r="G823" s="19"/>
      <c r="H823" s="19"/>
      <c r="I823" s="19"/>
      <c r="J823" s="19"/>
      <c r="K823" s="19"/>
      <c r="L823" s="19"/>
      <c r="M823" s="19"/>
    </row>
    <row r="824">
      <c r="A824" s="19"/>
      <c r="B824" s="19"/>
      <c r="C824" s="19"/>
      <c r="D824" s="19"/>
      <c r="E824" s="19"/>
      <c r="F824" s="19"/>
      <c r="G824" s="19"/>
      <c r="H824" s="19"/>
      <c r="I824" s="19"/>
      <c r="J824" s="19"/>
      <c r="K824" s="19"/>
      <c r="L824" s="19"/>
      <c r="M824" s="19"/>
    </row>
    <row r="825">
      <c r="A825" s="19"/>
      <c r="B825" s="19"/>
      <c r="C825" s="19"/>
      <c r="D825" s="19"/>
      <c r="E825" s="19"/>
      <c r="F825" s="19"/>
      <c r="G825" s="19"/>
      <c r="H825" s="19"/>
      <c r="I825" s="19"/>
      <c r="J825" s="19"/>
      <c r="K825" s="19"/>
      <c r="L825" s="19"/>
      <c r="M825" s="19"/>
    </row>
    <row r="826">
      <c r="A826" s="19"/>
      <c r="B826" s="19"/>
      <c r="C826" s="19"/>
      <c r="D826" s="19"/>
      <c r="E826" s="19"/>
      <c r="F826" s="19"/>
      <c r="G826" s="19"/>
      <c r="H826" s="19"/>
      <c r="I826" s="19"/>
      <c r="J826" s="19"/>
      <c r="K826" s="19"/>
      <c r="L826" s="19"/>
      <c r="M826" s="19"/>
    </row>
    <row r="827">
      <c r="A827" s="19"/>
      <c r="B827" s="19"/>
      <c r="C827" s="19"/>
      <c r="D827" s="19"/>
      <c r="E827" s="19"/>
      <c r="F827" s="19"/>
      <c r="G827" s="19"/>
      <c r="H827" s="19"/>
      <c r="I827" s="19"/>
      <c r="J827" s="19"/>
      <c r="K827" s="19"/>
      <c r="L827" s="19"/>
      <c r="M827" s="19"/>
    </row>
    <row r="828">
      <c r="A828" s="19"/>
      <c r="B828" s="19"/>
      <c r="C828" s="19"/>
      <c r="D828" s="19"/>
      <c r="E828" s="19"/>
      <c r="F828" s="19"/>
      <c r="G828" s="19"/>
      <c r="H828" s="19"/>
      <c r="I828" s="19"/>
      <c r="J828" s="19"/>
      <c r="K828" s="19"/>
      <c r="L828" s="19"/>
      <c r="M828" s="19"/>
    </row>
    <row r="829">
      <c r="A829" s="19"/>
      <c r="B829" s="19"/>
      <c r="C829" s="19"/>
      <c r="D829" s="19"/>
      <c r="E829" s="19"/>
      <c r="F829" s="19"/>
      <c r="G829" s="19"/>
      <c r="H829" s="19"/>
      <c r="I829" s="19"/>
      <c r="J829" s="19"/>
      <c r="K829" s="19"/>
      <c r="L829" s="19"/>
      <c r="M829" s="19"/>
    </row>
    <row r="830">
      <c r="A830" s="19"/>
      <c r="B830" s="19"/>
      <c r="C830" s="19"/>
      <c r="D830" s="19"/>
      <c r="E830" s="19"/>
      <c r="F830" s="19"/>
      <c r="G830" s="19"/>
      <c r="H830" s="19"/>
      <c r="I830" s="19"/>
      <c r="J830" s="19"/>
      <c r="K830" s="19"/>
      <c r="L830" s="19"/>
      <c r="M830" s="19"/>
    </row>
    <row r="831">
      <c r="A831" s="19"/>
      <c r="B831" s="19"/>
      <c r="C831" s="19"/>
      <c r="D831" s="19"/>
      <c r="E831" s="19"/>
      <c r="F831" s="19"/>
      <c r="G831" s="19"/>
      <c r="H831" s="19"/>
      <c r="I831" s="19"/>
      <c r="J831" s="19"/>
      <c r="K831" s="19"/>
      <c r="L831" s="19"/>
      <c r="M831" s="19"/>
    </row>
    <row r="832">
      <c r="A832" s="19"/>
      <c r="B832" s="19"/>
      <c r="C832" s="19"/>
      <c r="D832" s="19"/>
      <c r="E832" s="19"/>
      <c r="F832" s="19"/>
      <c r="G832" s="19"/>
      <c r="H832" s="19"/>
      <c r="I832" s="19"/>
      <c r="J832" s="19"/>
      <c r="K832" s="19"/>
      <c r="L832" s="19"/>
      <c r="M832" s="19"/>
    </row>
    <row r="833">
      <c r="A833" s="19"/>
      <c r="B833" s="19"/>
      <c r="C833" s="19"/>
      <c r="D833" s="19"/>
      <c r="E833" s="19"/>
      <c r="F833" s="19"/>
      <c r="G833" s="19"/>
      <c r="H833" s="19"/>
      <c r="I833" s="19"/>
      <c r="J833" s="19"/>
      <c r="K833" s="19"/>
      <c r="L833" s="19"/>
      <c r="M833" s="19"/>
    </row>
    <row r="834">
      <c r="A834" s="19"/>
      <c r="B834" s="19"/>
      <c r="C834" s="19"/>
      <c r="D834" s="19"/>
      <c r="E834" s="19"/>
      <c r="F834" s="19"/>
      <c r="G834" s="19"/>
      <c r="H834" s="19"/>
      <c r="I834" s="19"/>
      <c r="J834" s="19"/>
      <c r="K834" s="19"/>
      <c r="L834" s="19"/>
      <c r="M834" s="19"/>
    </row>
    <row r="835">
      <c r="A835" s="19"/>
      <c r="B835" s="19"/>
      <c r="C835" s="19"/>
      <c r="D835" s="19"/>
      <c r="E835" s="19"/>
      <c r="F835" s="19"/>
      <c r="G835" s="19"/>
      <c r="H835" s="19"/>
      <c r="I835" s="19"/>
      <c r="J835" s="19"/>
      <c r="K835" s="19"/>
      <c r="L835" s="19"/>
      <c r="M835" s="19"/>
    </row>
    <row r="836">
      <c r="A836" s="19"/>
      <c r="B836" s="19"/>
      <c r="C836" s="19"/>
      <c r="D836" s="19"/>
      <c r="E836" s="19"/>
      <c r="F836" s="19"/>
      <c r="G836" s="19"/>
      <c r="H836" s="19"/>
      <c r="I836" s="19"/>
      <c r="J836" s="19"/>
      <c r="K836" s="19"/>
      <c r="L836" s="19"/>
      <c r="M836" s="19"/>
    </row>
    <row r="837">
      <c r="A837" s="19"/>
      <c r="B837" s="19"/>
      <c r="C837" s="19"/>
      <c r="D837" s="19"/>
      <c r="E837" s="19"/>
      <c r="F837" s="19"/>
      <c r="G837" s="19"/>
      <c r="H837" s="19"/>
      <c r="I837" s="19"/>
      <c r="J837" s="19"/>
      <c r="K837" s="19"/>
      <c r="L837" s="19"/>
      <c r="M837" s="19"/>
    </row>
    <row r="838">
      <c r="A838" s="19"/>
      <c r="B838" s="19"/>
      <c r="C838" s="19"/>
      <c r="D838" s="19"/>
      <c r="E838" s="19"/>
      <c r="F838" s="19"/>
      <c r="G838" s="19"/>
      <c r="H838" s="19"/>
      <c r="I838" s="19"/>
      <c r="J838" s="19"/>
      <c r="K838" s="19"/>
      <c r="L838" s="19"/>
      <c r="M838" s="19"/>
    </row>
    <row r="839">
      <c r="A839" s="19"/>
      <c r="B839" s="19"/>
      <c r="C839" s="19"/>
      <c r="D839" s="19"/>
      <c r="E839" s="19"/>
      <c r="F839" s="19"/>
      <c r="G839" s="19"/>
      <c r="H839" s="19"/>
      <c r="I839" s="19"/>
      <c r="J839" s="19"/>
      <c r="K839" s="19"/>
      <c r="L839" s="19"/>
      <c r="M839" s="19"/>
    </row>
    <row r="840">
      <c r="A840" s="19"/>
      <c r="B840" s="19"/>
      <c r="C840" s="19"/>
      <c r="D840" s="19"/>
      <c r="E840" s="19"/>
      <c r="F840" s="19"/>
      <c r="G840" s="19"/>
      <c r="H840" s="19"/>
      <c r="I840" s="19"/>
      <c r="J840" s="19"/>
      <c r="K840" s="19"/>
      <c r="L840" s="19"/>
      <c r="M840" s="19"/>
    </row>
    <row r="841">
      <c r="A841" s="19"/>
      <c r="B841" s="19"/>
      <c r="C841" s="19"/>
      <c r="D841" s="19"/>
      <c r="E841" s="19"/>
      <c r="F841" s="19"/>
      <c r="G841" s="19"/>
      <c r="H841" s="19"/>
      <c r="I841" s="19"/>
      <c r="J841" s="19"/>
      <c r="K841" s="19"/>
      <c r="L841" s="19"/>
      <c r="M841" s="19"/>
    </row>
    <row r="842">
      <c r="A842" s="19"/>
      <c r="B842" s="19"/>
      <c r="C842" s="19"/>
      <c r="D842" s="19"/>
      <c r="E842" s="19"/>
      <c r="F842" s="19"/>
      <c r="G842" s="19"/>
      <c r="H842" s="19"/>
      <c r="I842" s="19"/>
      <c r="J842" s="19"/>
      <c r="K842" s="19"/>
      <c r="L842" s="19"/>
      <c r="M842" s="19"/>
    </row>
    <row r="843">
      <c r="A843" s="19"/>
      <c r="B843" s="19"/>
      <c r="C843" s="19"/>
      <c r="D843" s="19"/>
      <c r="E843" s="19"/>
      <c r="F843" s="19"/>
      <c r="G843" s="19"/>
      <c r="H843" s="19"/>
      <c r="I843" s="19"/>
      <c r="J843" s="19"/>
      <c r="K843" s="19"/>
      <c r="L843" s="19"/>
      <c r="M843" s="19"/>
    </row>
    <row r="844">
      <c r="A844" s="19"/>
      <c r="B844" s="19"/>
      <c r="C844" s="19"/>
      <c r="D844" s="19"/>
      <c r="E844" s="19"/>
      <c r="F844" s="19"/>
      <c r="G844" s="19"/>
      <c r="H844" s="19"/>
      <c r="I844" s="19"/>
      <c r="J844" s="19"/>
      <c r="K844" s="19"/>
      <c r="L844" s="19"/>
      <c r="M844" s="19"/>
    </row>
    <row r="845">
      <c r="A845" s="19"/>
      <c r="B845" s="19"/>
      <c r="C845" s="19"/>
      <c r="D845" s="19"/>
      <c r="E845" s="19"/>
      <c r="F845" s="19"/>
      <c r="G845" s="19"/>
      <c r="H845" s="19"/>
      <c r="I845" s="19"/>
      <c r="J845" s="19"/>
      <c r="K845" s="19"/>
      <c r="L845" s="19"/>
      <c r="M845" s="19"/>
    </row>
    <row r="846">
      <c r="A846" s="19"/>
      <c r="B846" s="19"/>
      <c r="C846" s="19"/>
      <c r="D846" s="19"/>
      <c r="E846" s="19"/>
      <c r="F846" s="19"/>
      <c r="G846" s="19"/>
      <c r="H846" s="19"/>
      <c r="I846" s="19"/>
      <c r="J846" s="19"/>
      <c r="K846" s="19"/>
      <c r="L846" s="19"/>
      <c r="M846" s="19"/>
    </row>
    <row r="847">
      <c r="A847" s="19"/>
      <c r="B847" s="19"/>
      <c r="C847" s="19"/>
      <c r="D847" s="19"/>
      <c r="E847" s="19"/>
      <c r="F847" s="19"/>
      <c r="G847" s="19"/>
      <c r="H847" s="19"/>
      <c r="I847" s="19"/>
      <c r="J847" s="19"/>
      <c r="K847" s="19"/>
      <c r="L847" s="19"/>
      <c r="M847" s="19"/>
    </row>
    <row r="848">
      <c r="A848" s="19"/>
      <c r="B848" s="19"/>
      <c r="C848" s="19"/>
      <c r="D848" s="19"/>
      <c r="E848" s="19"/>
      <c r="F848" s="19"/>
      <c r="G848" s="19"/>
      <c r="H848" s="19"/>
      <c r="I848" s="19"/>
      <c r="J848" s="19"/>
      <c r="K848" s="19"/>
      <c r="L848" s="19"/>
      <c r="M848" s="19"/>
    </row>
    <row r="849">
      <c r="A849" s="19"/>
      <c r="B849" s="19"/>
      <c r="C849" s="19"/>
      <c r="D849" s="19"/>
      <c r="E849" s="19"/>
      <c r="F849" s="19"/>
      <c r="G849" s="19"/>
      <c r="H849" s="19"/>
      <c r="I849" s="19"/>
      <c r="J849" s="19"/>
      <c r="K849" s="19"/>
      <c r="L849" s="19"/>
      <c r="M849" s="19"/>
    </row>
    <row r="850">
      <c r="A850" s="19"/>
      <c r="B850" s="19"/>
      <c r="C850" s="19"/>
      <c r="D850" s="19"/>
      <c r="E850" s="19"/>
      <c r="F850" s="19"/>
      <c r="G850" s="19"/>
      <c r="H850" s="19"/>
      <c r="I850" s="19"/>
      <c r="J850" s="19"/>
      <c r="K850" s="19"/>
      <c r="L850" s="19"/>
      <c r="M850" s="19"/>
    </row>
    <row r="851">
      <c r="A851" s="19"/>
      <c r="B851" s="19"/>
      <c r="C851" s="19"/>
      <c r="D851" s="19"/>
      <c r="E851" s="19"/>
      <c r="F851" s="19"/>
      <c r="G851" s="19"/>
      <c r="H851" s="19"/>
      <c r="I851" s="19"/>
      <c r="J851" s="19"/>
      <c r="K851" s="19"/>
      <c r="L851" s="19"/>
      <c r="M851" s="19"/>
    </row>
    <row r="852">
      <c r="A852" s="19"/>
      <c r="B852" s="19"/>
      <c r="C852" s="19"/>
      <c r="D852" s="19"/>
      <c r="E852" s="19"/>
      <c r="F852" s="19"/>
      <c r="G852" s="19"/>
      <c r="H852" s="19"/>
      <c r="I852" s="19"/>
      <c r="J852" s="19"/>
      <c r="K852" s="19"/>
      <c r="L852" s="19"/>
      <c r="M852" s="19"/>
    </row>
    <row r="853">
      <c r="A853" s="19"/>
      <c r="B853" s="19"/>
      <c r="C853" s="19"/>
      <c r="D853" s="19"/>
      <c r="E853" s="19"/>
      <c r="F853" s="19"/>
      <c r="G853" s="19"/>
      <c r="H853" s="19"/>
      <c r="I853" s="19"/>
      <c r="J853" s="19"/>
      <c r="K853" s="19"/>
      <c r="L853" s="19"/>
      <c r="M853" s="19"/>
    </row>
    <row r="854">
      <c r="A854" s="19"/>
      <c r="B854" s="19"/>
      <c r="C854" s="19"/>
      <c r="D854" s="19"/>
      <c r="E854" s="19"/>
      <c r="F854" s="19"/>
      <c r="G854" s="19"/>
      <c r="H854" s="19"/>
      <c r="I854" s="19"/>
      <c r="J854" s="19"/>
      <c r="K854" s="19"/>
      <c r="L854" s="19"/>
      <c r="M854" s="19"/>
    </row>
    <row r="855">
      <c r="A855" s="19"/>
      <c r="B855" s="19"/>
      <c r="C855" s="19"/>
      <c r="D855" s="19"/>
      <c r="E855" s="19"/>
      <c r="F855" s="19"/>
      <c r="G855" s="19"/>
      <c r="H855" s="19"/>
      <c r="I855" s="19"/>
      <c r="J855" s="19"/>
      <c r="K855" s="19"/>
      <c r="L855" s="19"/>
      <c r="M855" s="19"/>
    </row>
    <row r="856">
      <c r="A856" s="19"/>
      <c r="B856" s="19"/>
      <c r="C856" s="19"/>
      <c r="D856" s="19"/>
      <c r="E856" s="19"/>
      <c r="F856" s="19"/>
      <c r="G856" s="19"/>
      <c r="H856" s="19"/>
      <c r="I856" s="19"/>
      <c r="J856" s="19"/>
      <c r="K856" s="19"/>
      <c r="L856" s="19"/>
      <c r="M856" s="19"/>
    </row>
    <row r="857">
      <c r="A857" s="19"/>
      <c r="B857" s="19"/>
      <c r="C857" s="19"/>
      <c r="D857" s="19"/>
      <c r="E857" s="19"/>
      <c r="F857" s="19"/>
      <c r="G857" s="19"/>
      <c r="H857" s="19"/>
      <c r="I857" s="19"/>
      <c r="J857" s="19"/>
      <c r="K857" s="19"/>
      <c r="L857" s="19"/>
      <c r="M857" s="19"/>
    </row>
    <row r="858">
      <c r="A858" s="19"/>
      <c r="B858" s="19"/>
      <c r="C858" s="19"/>
      <c r="D858" s="19"/>
      <c r="E858" s="19"/>
      <c r="F858" s="19"/>
      <c r="G858" s="19"/>
      <c r="H858" s="19"/>
      <c r="I858" s="19"/>
      <c r="J858" s="19"/>
      <c r="K858" s="19"/>
      <c r="L858" s="19"/>
      <c r="M858" s="19"/>
    </row>
    <row r="859">
      <c r="A859" s="19"/>
      <c r="B859" s="19"/>
      <c r="C859" s="19"/>
      <c r="D859" s="19"/>
      <c r="E859" s="19"/>
      <c r="F859" s="19"/>
      <c r="G859" s="19"/>
      <c r="H859" s="19"/>
      <c r="I859" s="19"/>
      <c r="J859" s="19"/>
      <c r="K859" s="19"/>
      <c r="L859" s="19"/>
      <c r="M859" s="19"/>
    </row>
    <row r="860">
      <c r="A860" s="19"/>
      <c r="B860" s="19"/>
      <c r="C860" s="19"/>
      <c r="D860" s="19"/>
      <c r="E860" s="19"/>
      <c r="F860" s="19"/>
      <c r="G860" s="19"/>
      <c r="H860" s="19"/>
      <c r="I860" s="19"/>
      <c r="J860" s="19"/>
      <c r="K860" s="19"/>
      <c r="L860" s="19"/>
      <c r="M860" s="19"/>
    </row>
    <row r="861">
      <c r="A861" s="19"/>
      <c r="B861" s="19"/>
      <c r="C861" s="19"/>
      <c r="D861" s="19"/>
      <c r="E861" s="19"/>
      <c r="F861" s="19"/>
      <c r="G861" s="19"/>
      <c r="H861" s="19"/>
      <c r="I861" s="19"/>
      <c r="J861" s="19"/>
      <c r="K861" s="19"/>
      <c r="L861" s="19"/>
      <c r="M861" s="19"/>
    </row>
    <row r="862">
      <c r="A862" s="19"/>
      <c r="B862" s="19"/>
      <c r="C862" s="19"/>
      <c r="D862" s="19"/>
      <c r="E862" s="19"/>
      <c r="F862" s="19"/>
      <c r="G862" s="19"/>
      <c r="H862" s="19"/>
      <c r="I862" s="19"/>
      <c r="J862" s="19"/>
      <c r="K862" s="19"/>
      <c r="L862" s="19"/>
      <c r="M862" s="19"/>
    </row>
    <row r="863">
      <c r="A863" s="19"/>
      <c r="B863" s="19"/>
      <c r="C863" s="19"/>
      <c r="D863" s="19"/>
      <c r="E863" s="19"/>
      <c r="F863" s="19"/>
      <c r="G863" s="19"/>
      <c r="H863" s="19"/>
      <c r="I863" s="19"/>
      <c r="J863" s="19"/>
      <c r="K863" s="19"/>
      <c r="L863" s="19"/>
      <c r="M863" s="19"/>
    </row>
    <row r="864">
      <c r="A864" s="19"/>
      <c r="B864" s="19"/>
      <c r="C864" s="19"/>
      <c r="D864" s="19"/>
      <c r="E864" s="19"/>
      <c r="F864" s="19"/>
      <c r="G864" s="19"/>
      <c r="H864" s="19"/>
      <c r="I864" s="19"/>
      <c r="J864" s="19"/>
      <c r="K864" s="19"/>
      <c r="L864" s="19"/>
      <c r="M864" s="19"/>
    </row>
    <row r="865">
      <c r="A865" s="19"/>
      <c r="B865" s="19"/>
      <c r="C865" s="19"/>
      <c r="D865" s="19"/>
      <c r="E865" s="19"/>
      <c r="F865" s="19"/>
      <c r="G865" s="19"/>
      <c r="H865" s="19"/>
      <c r="I865" s="19"/>
      <c r="J865" s="19"/>
      <c r="K865" s="19"/>
      <c r="L865" s="19"/>
      <c r="M865" s="19"/>
    </row>
    <row r="866">
      <c r="A866" s="19"/>
      <c r="B866" s="19"/>
      <c r="C866" s="19"/>
      <c r="D866" s="19"/>
      <c r="E866" s="19"/>
      <c r="F866" s="19"/>
      <c r="G866" s="19"/>
      <c r="H866" s="19"/>
      <c r="I866" s="19"/>
      <c r="J866" s="19"/>
      <c r="K866" s="19"/>
      <c r="L866" s="19"/>
      <c r="M866" s="19"/>
    </row>
    <row r="867">
      <c r="A867" s="19"/>
      <c r="B867" s="19"/>
      <c r="C867" s="19"/>
      <c r="D867" s="19"/>
      <c r="E867" s="19"/>
      <c r="F867" s="19"/>
      <c r="G867" s="19"/>
      <c r="H867" s="19"/>
      <c r="I867" s="19"/>
      <c r="J867" s="19"/>
      <c r="K867" s="19"/>
      <c r="L867" s="19"/>
      <c r="M867" s="19"/>
    </row>
    <row r="868">
      <c r="A868" s="19"/>
      <c r="B868" s="19"/>
      <c r="C868" s="19"/>
      <c r="D868" s="19"/>
      <c r="E868" s="19"/>
      <c r="F868" s="19"/>
      <c r="G868" s="19"/>
      <c r="H868" s="19"/>
      <c r="I868" s="19"/>
      <c r="J868" s="19"/>
      <c r="K868" s="19"/>
      <c r="L868" s="19"/>
      <c r="M868" s="19"/>
    </row>
    <row r="869">
      <c r="A869" s="19"/>
      <c r="B869" s="19"/>
      <c r="C869" s="19"/>
      <c r="D869" s="19"/>
      <c r="E869" s="19"/>
      <c r="F869" s="19"/>
      <c r="G869" s="19"/>
      <c r="H869" s="19"/>
      <c r="I869" s="19"/>
      <c r="J869" s="19"/>
      <c r="K869" s="19"/>
      <c r="L869" s="19"/>
      <c r="M869" s="19"/>
    </row>
    <row r="870">
      <c r="A870" s="19"/>
      <c r="B870" s="19"/>
      <c r="C870" s="19"/>
      <c r="D870" s="19"/>
      <c r="E870" s="19"/>
      <c r="F870" s="19"/>
      <c r="G870" s="19"/>
      <c r="H870" s="19"/>
      <c r="I870" s="19"/>
      <c r="J870" s="19"/>
      <c r="K870" s="19"/>
      <c r="L870" s="19"/>
      <c r="M870" s="19"/>
    </row>
    <row r="871">
      <c r="A871" s="19"/>
      <c r="B871" s="19"/>
      <c r="C871" s="19"/>
      <c r="D871" s="19"/>
      <c r="E871" s="19"/>
      <c r="F871" s="19"/>
      <c r="G871" s="19"/>
      <c r="H871" s="19"/>
      <c r="I871" s="19"/>
      <c r="J871" s="19"/>
      <c r="K871" s="19"/>
      <c r="L871" s="19"/>
      <c r="M871" s="19"/>
    </row>
    <row r="872">
      <c r="A872" s="19"/>
      <c r="B872" s="19"/>
      <c r="C872" s="19"/>
      <c r="D872" s="19"/>
      <c r="E872" s="19"/>
      <c r="F872" s="19"/>
      <c r="G872" s="19"/>
      <c r="H872" s="19"/>
      <c r="I872" s="19"/>
      <c r="J872" s="19"/>
      <c r="K872" s="19"/>
      <c r="L872" s="19"/>
      <c r="M872" s="19"/>
    </row>
    <row r="873">
      <c r="A873" s="19"/>
      <c r="B873" s="19"/>
      <c r="C873" s="19"/>
      <c r="D873" s="19"/>
      <c r="E873" s="19"/>
      <c r="F873" s="19"/>
      <c r="G873" s="19"/>
      <c r="H873" s="19"/>
      <c r="I873" s="19"/>
      <c r="J873" s="19"/>
      <c r="K873" s="19"/>
      <c r="L873" s="19"/>
      <c r="M873" s="19"/>
    </row>
    <row r="874">
      <c r="A874" s="19"/>
      <c r="B874" s="19"/>
      <c r="C874" s="19"/>
      <c r="D874" s="19"/>
      <c r="E874" s="19"/>
      <c r="F874" s="19"/>
      <c r="G874" s="19"/>
      <c r="H874" s="19"/>
      <c r="I874" s="19"/>
      <c r="J874" s="19"/>
      <c r="K874" s="19"/>
      <c r="L874" s="19"/>
      <c r="M874" s="19"/>
    </row>
    <row r="875">
      <c r="A875" s="19"/>
      <c r="B875" s="19"/>
      <c r="C875" s="19"/>
      <c r="D875" s="19"/>
      <c r="E875" s="19"/>
      <c r="F875" s="19"/>
      <c r="G875" s="19"/>
      <c r="H875" s="19"/>
      <c r="I875" s="19"/>
      <c r="J875" s="19"/>
      <c r="K875" s="19"/>
      <c r="L875" s="19"/>
      <c r="M875" s="19"/>
    </row>
    <row r="876">
      <c r="A876" s="19"/>
      <c r="B876" s="19"/>
      <c r="C876" s="19"/>
      <c r="D876" s="19"/>
      <c r="E876" s="19"/>
      <c r="F876" s="19"/>
      <c r="G876" s="19"/>
      <c r="H876" s="19"/>
      <c r="I876" s="19"/>
      <c r="J876" s="19"/>
      <c r="K876" s="19"/>
      <c r="L876" s="19"/>
      <c r="M876" s="19"/>
    </row>
    <row r="877">
      <c r="A877" s="19"/>
      <c r="B877" s="19"/>
      <c r="C877" s="19"/>
      <c r="D877" s="19"/>
      <c r="E877" s="19"/>
      <c r="F877" s="19"/>
      <c r="G877" s="19"/>
      <c r="H877" s="19"/>
      <c r="I877" s="19"/>
      <c r="J877" s="19"/>
      <c r="K877" s="19"/>
      <c r="L877" s="19"/>
      <c r="M877" s="19"/>
    </row>
    <row r="878">
      <c r="A878" s="19"/>
      <c r="B878" s="19"/>
      <c r="C878" s="19"/>
      <c r="D878" s="19"/>
      <c r="E878" s="19"/>
      <c r="F878" s="19"/>
      <c r="G878" s="19"/>
      <c r="H878" s="19"/>
      <c r="I878" s="19"/>
      <c r="J878" s="19"/>
      <c r="K878" s="19"/>
      <c r="L878" s="19"/>
      <c r="M878" s="19"/>
    </row>
    <row r="879">
      <c r="A879" s="19"/>
      <c r="B879" s="19"/>
      <c r="C879" s="19"/>
      <c r="D879" s="19"/>
      <c r="E879" s="19"/>
      <c r="F879" s="19"/>
      <c r="G879" s="19"/>
      <c r="H879" s="19"/>
      <c r="I879" s="19"/>
      <c r="J879" s="19"/>
      <c r="K879" s="19"/>
      <c r="L879" s="19"/>
      <c r="M879" s="19"/>
    </row>
    <row r="880">
      <c r="A880" s="19"/>
      <c r="B880" s="19"/>
      <c r="C880" s="19"/>
      <c r="D880" s="19"/>
      <c r="E880" s="19"/>
      <c r="F880" s="19"/>
      <c r="G880" s="19"/>
      <c r="H880" s="19"/>
      <c r="I880" s="19"/>
      <c r="J880" s="19"/>
      <c r="K880" s="19"/>
      <c r="L880" s="19"/>
      <c r="M880" s="19"/>
    </row>
    <row r="881">
      <c r="A881" s="19"/>
      <c r="B881" s="19"/>
      <c r="C881" s="19"/>
      <c r="D881" s="19"/>
      <c r="E881" s="19"/>
      <c r="F881" s="19"/>
      <c r="G881" s="19"/>
      <c r="H881" s="19"/>
      <c r="I881" s="19"/>
      <c r="J881" s="19"/>
      <c r="K881" s="19"/>
      <c r="L881" s="19"/>
      <c r="M881" s="19"/>
    </row>
    <row r="882">
      <c r="A882" s="19"/>
      <c r="B882" s="19"/>
      <c r="C882" s="19"/>
      <c r="D882" s="19"/>
      <c r="E882" s="19"/>
      <c r="F882" s="19"/>
      <c r="G882" s="19"/>
      <c r="H882" s="19"/>
      <c r="I882" s="19"/>
      <c r="J882" s="19"/>
      <c r="K882" s="19"/>
      <c r="L882" s="19"/>
      <c r="M882" s="19"/>
    </row>
    <row r="883">
      <c r="A883" s="19"/>
      <c r="B883" s="19"/>
      <c r="C883" s="19"/>
      <c r="D883" s="19"/>
      <c r="E883" s="19"/>
      <c r="F883" s="19"/>
      <c r="G883" s="19"/>
      <c r="H883" s="19"/>
      <c r="I883" s="19"/>
      <c r="J883" s="19"/>
      <c r="K883" s="19"/>
      <c r="L883" s="19"/>
      <c r="M883" s="19"/>
    </row>
    <row r="884">
      <c r="A884" s="19"/>
      <c r="B884" s="19"/>
      <c r="C884" s="19"/>
      <c r="D884" s="19"/>
      <c r="E884" s="19"/>
      <c r="F884" s="19"/>
      <c r="G884" s="19"/>
      <c r="H884" s="19"/>
      <c r="I884" s="19"/>
      <c r="J884" s="19"/>
      <c r="K884" s="19"/>
      <c r="L884" s="19"/>
      <c r="M884" s="19"/>
    </row>
    <row r="885">
      <c r="A885" s="19"/>
      <c r="B885" s="19"/>
      <c r="C885" s="19"/>
      <c r="D885" s="19"/>
      <c r="E885" s="19"/>
      <c r="F885" s="19"/>
      <c r="G885" s="19"/>
      <c r="H885" s="19"/>
      <c r="I885" s="19"/>
      <c r="J885" s="19"/>
      <c r="K885" s="19"/>
      <c r="L885" s="19"/>
      <c r="M885" s="19"/>
    </row>
    <row r="886">
      <c r="A886" s="19"/>
      <c r="B886" s="19"/>
      <c r="C886" s="19"/>
      <c r="D886" s="19"/>
      <c r="E886" s="19"/>
      <c r="F886" s="19"/>
      <c r="G886" s="19"/>
      <c r="H886" s="19"/>
      <c r="I886" s="19"/>
      <c r="J886" s="19"/>
      <c r="K886" s="19"/>
      <c r="L886" s="19"/>
      <c r="M886" s="19"/>
    </row>
    <row r="887">
      <c r="A887" s="19"/>
      <c r="B887" s="19"/>
      <c r="C887" s="19"/>
      <c r="D887" s="19"/>
      <c r="E887" s="19"/>
      <c r="F887" s="19"/>
      <c r="G887" s="19"/>
      <c r="H887" s="19"/>
      <c r="I887" s="19"/>
      <c r="J887" s="19"/>
      <c r="K887" s="19"/>
      <c r="L887" s="19"/>
      <c r="M887" s="19"/>
    </row>
    <row r="888">
      <c r="A888" s="19"/>
      <c r="B888" s="19"/>
      <c r="C888" s="19"/>
      <c r="D888" s="19"/>
      <c r="E888" s="19"/>
      <c r="F888" s="19"/>
      <c r="G888" s="19"/>
      <c r="H888" s="19"/>
      <c r="I888" s="19"/>
      <c r="J888" s="19"/>
      <c r="K888" s="19"/>
      <c r="L888" s="19"/>
      <c r="M888" s="19"/>
    </row>
    <row r="889">
      <c r="A889" s="19"/>
      <c r="B889" s="19"/>
      <c r="C889" s="19"/>
      <c r="D889" s="19"/>
      <c r="E889" s="19"/>
      <c r="F889" s="19"/>
      <c r="G889" s="19"/>
      <c r="H889" s="19"/>
      <c r="I889" s="19"/>
      <c r="J889" s="19"/>
      <c r="K889" s="19"/>
      <c r="L889" s="19"/>
      <c r="M889" s="19"/>
    </row>
    <row r="890">
      <c r="A890" s="19"/>
      <c r="B890" s="19"/>
      <c r="C890" s="19"/>
      <c r="D890" s="19"/>
      <c r="E890" s="19"/>
      <c r="F890" s="19"/>
      <c r="G890" s="19"/>
      <c r="H890" s="19"/>
      <c r="I890" s="19"/>
      <c r="J890" s="19"/>
      <c r="K890" s="19"/>
      <c r="L890" s="19"/>
      <c r="M890" s="19"/>
    </row>
    <row r="891">
      <c r="A891" s="19"/>
      <c r="B891" s="19"/>
      <c r="C891" s="19"/>
      <c r="D891" s="19"/>
      <c r="E891" s="19"/>
      <c r="F891" s="19"/>
      <c r="G891" s="19"/>
      <c r="H891" s="19"/>
      <c r="I891" s="19"/>
      <c r="J891" s="19"/>
      <c r="K891" s="19"/>
      <c r="L891" s="19"/>
      <c r="M891" s="19"/>
    </row>
    <row r="892">
      <c r="A892" s="19"/>
      <c r="B892" s="19"/>
      <c r="C892" s="19"/>
      <c r="D892" s="19"/>
      <c r="E892" s="19"/>
      <c r="F892" s="19"/>
      <c r="G892" s="19"/>
      <c r="H892" s="19"/>
      <c r="I892" s="19"/>
      <c r="J892" s="19"/>
      <c r="K892" s="19"/>
      <c r="L892" s="19"/>
      <c r="M892" s="19"/>
    </row>
    <row r="893">
      <c r="A893" s="19"/>
      <c r="B893" s="19"/>
      <c r="C893" s="19"/>
      <c r="D893" s="19"/>
      <c r="E893" s="19"/>
      <c r="F893" s="19"/>
      <c r="G893" s="19"/>
      <c r="H893" s="19"/>
      <c r="I893" s="19"/>
      <c r="J893" s="19"/>
      <c r="K893" s="19"/>
      <c r="L893" s="19"/>
      <c r="M893" s="19"/>
    </row>
    <row r="894">
      <c r="A894" s="19"/>
      <c r="B894" s="19"/>
      <c r="C894" s="19"/>
      <c r="D894" s="19"/>
      <c r="E894" s="19"/>
      <c r="F894" s="19"/>
      <c r="G894" s="19"/>
      <c r="H894" s="19"/>
      <c r="I894" s="19"/>
      <c r="J894" s="19"/>
      <c r="K894" s="19"/>
      <c r="L894" s="19"/>
      <c r="M894" s="19"/>
    </row>
    <row r="895">
      <c r="A895" s="19"/>
      <c r="B895" s="19"/>
      <c r="C895" s="19"/>
      <c r="D895" s="19"/>
      <c r="E895" s="19"/>
      <c r="F895" s="19"/>
      <c r="G895" s="19"/>
      <c r="H895" s="19"/>
      <c r="I895" s="19"/>
      <c r="J895" s="19"/>
      <c r="K895" s="19"/>
      <c r="L895" s="19"/>
      <c r="M895" s="19"/>
    </row>
    <row r="896">
      <c r="A896" s="19"/>
      <c r="B896" s="19"/>
      <c r="C896" s="19"/>
      <c r="D896" s="19"/>
      <c r="E896" s="19"/>
      <c r="F896" s="19"/>
      <c r="G896" s="19"/>
      <c r="H896" s="19"/>
      <c r="I896" s="19"/>
      <c r="J896" s="19"/>
      <c r="K896" s="19"/>
      <c r="L896" s="19"/>
      <c r="M896" s="19"/>
    </row>
    <row r="897">
      <c r="A897" s="19"/>
      <c r="B897" s="19"/>
      <c r="C897" s="19"/>
      <c r="D897" s="19"/>
      <c r="E897" s="19"/>
      <c r="F897" s="19"/>
      <c r="G897" s="19"/>
      <c r="H897" s="19"/>
      <c r="I897" s="19"/>
      <c r="J897" s="19"/>
      <c r="K897" s="19"/>
      <c r="L897" s="19"/>
      <c r="M897" s="19"/>
    </row>
    <row r="898">
      <c r="A898" s="19"/>
      <c r="B898" s="19"/>
      <c r="C898" s="19"/>
      <c r="D898" s="19"/>
      <c r="E898" s="19"/>
      <c r="F898" s="19"/>
      <c r="G898" s="19"/>
      <c r="H898" s="19"/>
      <c r="I898" s="19"/>
      <c r="J898" s="19"/>
      <c r="K898" s="19"/>
      <c r="L898" s="19"/>
      <c r="M898" s="19"/>
    </row>
    <row r="899">
      <c r="A899" s="19"/>
      <c r="B899" s="19"/>
      <c r="C899" s="19"/>
      <c r="D899" s="19"/>
      <c r="E899" s="19"/>
      <c r="F899" s="19"/>
      <c r="G899" s="19"/>
      <c r="H899" s="19"/>
      <c r="I899" s="19"/>
      <c r="J899" s="19"/>
      <c r="K899" s="19"/>
      <c r="L899" s="19"/>
      <c r="M899" s="19"/>
    </row>
    <row r="900">
      <c r="A900" s="19"/>
      <c r="B900" s="19"/>
      <c r="C900" s="19"/>
      <c r="D900" s="19"/>
      <c r="E900" s="19"/>
      <c r="F900" s="19"/>
      <c r="G900" s="19"/>
      <c r="H900" s="19"/>
      <c r="I900" s="19"/>
      <c r="J900" s="19"/>
      <c r="K900" s="19"/>
      <c r="L900" s="19"/>
      <c r="M900" s="19"/>
    </row>
    <row r="901">
      <c r="A901" s="19"/>
      <c r="B901" s="19"/>
      <c r="C901" s="19"/>
      <c r="D901" s="19"/>
      <c r="E901" s="19"/>
      <c r="F901" s="19"/>
      <c r="G901" s="19"/>
      <c r="H901" s="19"/>
      <c r="I901" s="19"/>
      <c r="J901" s="19"/>
      <c r="K901" s="19"/>
      <c r="L901" s="19"/>
      <c r="M901" s="19"/>
    </row>
    <row r="902">
      <c r="A902" s="19"/>
      <c r="B902" s="19"/>
      <c r="C902" s="19"/>
      <c r="D902" s="19"/>
      <c r="E902" s="19"/>
      <c r="F902" s="19"/>
      <c r="G902" s="19"/>
      <c r="H902" s="19"/>
      <c r="I902" s="19"/>
      <c r="J902" s="19"/>
      <c r="K902" s="19"/>
      <c r="L902" s="19"/>
      <c r="M902" s="19"/>
    </row>
    <row r="903">
      <c r="A903" s="19"/>
      <c r="B903" s="19"/>
      <c r="C903" s="19"/>
      <c r="D903" s="19"/>
      <c r="E903" s="19"/>
      <c r="F903" s="19"/>
      <c r="G903" s="19"/>
      <c r="H903" s="19"/>
      <c r="I903" s="19"/>
      <c r="J903" s="19"/>
      <c r="K903" s="19"/>
      <c r="L903" s="19"/>
      <c r="M903" s="19"/>
    </row>
    <row r="904">
      <c r="A904" s="19"/>
      <c r="B904" s="19"/>
      <c r="C904" s="19"/>
      <c r="D904" s="19"/>
      <c r="E904" s="19"/>
      <c r="F904" s="19"/>
      <c r="G904" s="19"/>
      <c r="H904" s="19"/>
      <c r="I904" s="19"/>
      <c r="J904" s="19"/>
      <c r="K904" s="19"/>
      <c r="L904" s="19"/>
      <c r="M904" s="19"/>
    </row>
    <row r="905">
      <c r="A905" s="19"/>
      <c r="B905" s="19"/>
      <c r="C905" s="19"/>
      <c r="D905" s="19"/>
      <c r="E905" s="19"/>
      <c r="F905" s="19"/>
      <c r="G905" s="19"/>
      <c r="H905" s="19"/>
      <c r="I905" s="19"/>
      <c r="J905" s="19"/>
      <c r="K905" s="19"/>
      <c r="L905" s="19"/>
      <c r="M905" s="19"/>
    </row>
    <row r="906">
      <c r="A906" s="19"/>
      <c r="B906" s="19"/>
      <c r="C906" s="19"/>
      <c r="D906" s="19"/>
      <c r="E906" s="19"/>
      <c r="F906" s="19"/>
      <c r="G906" s="19"/>
      <c r="H906" s="19"/>
      <c r="I906" s="19"/>
      <c r="J906" s="19"/>
      <c r="K906" s="19"/>
      <c r="L906" s="19"/>
      <c r="M906" s="19"/>
    </row>
    <row r="907">
      <c r="A907" s="19"/>
      <c r="B907" s="19"/>
      <c r="C907" s="19"/>
      <c r="D907" s="19"/>
      <c r="E907" s="19"/>
      <c r="F907" s="19"/>
      <c r="G907" s="19"/>
      <c r="H907" s="19"/>
      <c r="I907" s="19"/>
      <c r="J907" s="19"/>
      <c r="K907" s="19"/>
      <c r="L907" s="19"/>
      <c r="M907" s="19"/>
    </row>
    <row r="908">
      <c r="A908" s="19"/>
      <c r="B908" s="19"/>
      <c r="C908" s="19"/>
      <c r="D908" s="19"/>
      <c r="E908" s="19"/>
      <c r="F908" s="19"/>
      <c r="G908" s="19"/>
      <c r="H908" s="19"/>
      <c r="I908" s="19"/>
      <c r="J908" s="19"/>
      <c r="K908" s="19"/>
      <c r="L908" s="19"/>
      <c r="M908" s="19"/>
    </row>
    <row r="909">
      <c r="A909" s="19"/>
      <c r="B909" s="19"/>
      <c r="C909" s="19"/>
      <c r="D909" s="19"/>
      <c r="E909" s="19"/>
      <c r="F909" s="19"/>
      <c r="G909" s="19"/>
      <c r="H909" s="19"/>
      <c r="I909" s="19"/>
      <c r="J909" s="19"/>
      <c r="K909" s="19"/>
      <c r="L909" s="19"/>
      <c r="M909" s="19"/>
    </row>
    <row r="910">
      <c r="A910" s="19"/>
      <c r="B910" s="19"/>
      <c r="C910" s="19"/>
      <c r="D910" s="19"/>
      <c r="E910" s="19"/>
      <c r="F910" s="19"/>
      <c r="G910" s="19"/>
      <c r="H910" s="19"/>
      <c r="I910" s="19"/>
      <c r="J910" s="19"/>
      <c r="K910" s="19"/>
      <c r="L910" s="19"/>
      <c r="M910" s="19"/>
    </row>
    <row r="911">
      <c r="A911" s="19"/>
      <c r="B911" s="19"/>
      <c r="C911" s="19"/>
      <c r="D911" s="19"/>
      <c r="E911" s="19"/>
      <c r="F911" s="19"/>
      <c r="G911" s="19"/>
      <c r="H911" s="19"/>
      <c r="I911" s="19"/>
      <c r="J911" s="19"/>
      <c r="K911" s="19"/>
      <c r="L911" s="19"/>
      <c r="M911" s="19"/>
    </row>
    <row r="912">
      <c r="A912" s="19"/>
      <c r="B912" s="19"/>
      <c r="C912" s="19"/>
      <c r="D912" s="19"/>
      <c r="E912" s="19"/>
      <c r="F912" s="19"/>
      <c r="G912" s="19"/>
      <c r="H912" s="19"/>
      <c r="I912" s="19"/>
      <c r="J912" s="19"/>
      <c r="K912" s="19"/>
      <c r="L912" s="19"/>
      <c r="M912" s="19"/>
    </row>
    <row r="913">
      <c r="A913" s="19"/>
      <c r="B913" s="19"/>
      <c r="C913" s="19"/>
      <c r="D913" s="19"/>
      <c r="E913" s="19"/>
      <c r="F913" s="19"/>
      <c r="G913" s="19"/>
      <c r="H913" s="19"/>
      <c r="I913" s="19"/>
      <c r="J913" s="19"/>
      <c r="K913" s="19"/>
      <c r="L913" s="19"/>
      <c r="M913" s="19"/>
    </row>
    <row r="914">
      <c r="A914" s="19"/>
      <c r="B914" s="19"/>
      <c r="C914" s="19"/>
      <c r="D914" s="19"/>
      <c r="E914" s="19"/>
      <c r="F914" s="19"/>
      <c r="G914" s="19"/>
      <c r="H914" s="19"/>
      <c r="I914" s="19"/>
      <c r="J914" s="19"/>
      <c r="K914" s="19"/>
      <c r="L914" s="19"/>
      <c r="M914" s="19"/>
    </row>
    <row r="915">
      <c r="A915" s="19"/>
      <c r="B915" s="19"/>
      <c r="C915" s="19"/>
      <c r="D915" s="19"/>
      <c r="E915" s="19"/>
      <c r="F915" s="19"/>
      <c r="G915" s="19"/>
      <c r="H915" s="19"/>
      <c r="I915" s="19"/>
      <c r="J915" s="19"/>
      <c r="K915" s="19"/>
      <c r="L915" s="19"/>
      <c r="M915" s="19"/>
    </row>
    <row r="916">
      <c r="A916" s="19"/>
      <c r="B916" s="19"/>
      <c r="C916" s="19"/>
      <c r="D916" s="19"/>
      <c r="E916" s="19"/>
      <c r="F916" s="19"/>
      <c r="G916" s="19"/>
      <c r="H916" s="19"/>
      <c r="I916" s="19"/>
      <c r="J916" s="19"/>
      <c r="K916" s="19"/>
      <c r="L916" s="19"/>
      <c r="M916" s="19"/>
    </row>
    <row r="917">
      <c r="A917" s="19"/>
      <c r="B917" s="19"/>
      <c r="C917" s="19"/>
      <c r="D917" s="19"/>
      <c r="E917" s="19"/>
      <c r="F917" s="19"/>
      <c r="G917" s="19"/>
      <c r="H917" s="19"/>
      <c r="I917" s="19"/>
      <c r="J917" s="19"/>
      <c r="K917" s="19"/>
      <c r="L917" s="19"/>
      <c r="M917" s="19"/>
    </row>
    <row r="918">
      <c r="A918" s="19"/>
      <c r="B918" s="19"/>
      <c r="C918" s="19"/>
      <c r="D918" s="19"/>
      <c r="E918" s="19"/>
      <c r="F918" s="19"/>
      <c r="G918" s="19"/>
      <c r="H918" s="19"/>
      <c r="I918" s="19"/>
      <c r="J918" s="19"/>
      <c r="K918" s="19"/>
      <c r="L918" s="19"/>
      <c r="M918" s="19"/>
    </row>
    <row r="919">
      <c r="A919" s="19"/>
      <c r="B919" s="19"/>
      <c r="C919" s="19"/>
      <c r="D919" s="19"/>
      <c r="E919" s="19"/>
      <c r="F919" s="19"/>
      <c r="G919" s="19"/>
      <c r="H919" s="19"/>
      <c r="I919" s="19"/>
      <c r="J919" s="19"/>
      <c r="K919" s="19"/>
      <c r="L919" s="19"/>
      <c r="M919" s="19"/>
    </row>
    <row r="920">
      <c r="A920" s="19"/>
      <c r="B920" s="19"/>
      <c r="C920" s="19"/>
      <c r="D920" s="19"/>
      <c r="E920" s="19"/>
      <c r="F920" s="19"/>
      <c r="G920" s="19"/>
      <c r="H920" s="19"/>
      <c r="I920" s="19"/>
      <c r="J920" s="19"/>
      <c r="K920" s="19"/>
      <c r="L920" s="19"/>
      <c r="M920" s="19"/>
    </row>
    <row r="921">
      <c r="A921" s="19"/>
      <c r="B921" s="19"/>
      <c r="C921" s="19"/>
      <c r="D921" s="19"/>
      <c r="E921" s="19"/>
      <c r="F921" s="19"/>
      <c r="G921" s="19"/>
      <c r="H921" s="19"/>
      <c r="I921" s="19"/>
      <c r="J921" s="19"/>
      <c r="K921" s="19"/>
      <c r="L921" s="19"/>
      <c r="M921" s="19"/>
    </row>
    <row r="922">
      <c r="A922" s="19"/>
      <c r="B922" s="19"/>
      <c r="C922" s="19"/>
      <c r="D922" s="19"/>
      <c r="E922" s="19"/>
      <c r="F922" s="19"/>
      <c r="G922" s="19"/>
      <c r="H922" s="19"/>
      <c r="I922" s="19"/>
      <c r="J922" s="19"/>
      <c r="K922" s="19"/>
      <c r="L922" s="19"/>
      <c r="M922" s="19"/>
    </row>
    <row r="923">
      <c r="A923" s="19"/>
      <c r="B923" s="19"/>
      <c r="C923" s="19"/>
      <c r="D923" s="19"/>
      <c r="E923" s="19"/>
      <c r="F923" s="19"/>
      <c r="G923" s="19"/>
      <c r="H923" s="19"/>
      <c r="I923" s="19"/>
      <c r="J923" s="19"/>
      <c r="K923" s="19"/>
      <c r="L923" s="19"/>
      <c r="M923" s="19"/>
    </row>
    <row r="924">
      <c r="A924" s="19"/>
      <c r="B924" s="19"/>
      <c r="C924" s="19"/>
      <c r="D924" s="19"/>
      <c r="E924" s="19"/>
      <c r="F924" s="19"/>
      <c r="G924" s="19"/>
      <c r="H924" s="19"/>
      <c r="I924" s="19"/>
      <c r="J924" s="19"/>
      <c r="K924" s="19"/>
      <c r="L924" s="19"/>
      <c r="M924" s="19"/>
    </row>
    <row r="925">
      <c r="A925" s="19"/>
      <c r="B925" s="19"/>
      <c r="C925" s="19"/>
      <c r="D925" s="19"/>
      <c r="E925" s="19"/>
      <c r="F925" s="19"/>
      <c r="G925" s="19"/>
      <c r="H925" s="19"/>
      <c r="I925" s="19"/>
      <c r="J925" s="19"/>
      <c r="K925" s="19"/>
      <c r="L925" s="19"/>
      <c r="M925" s="19"/>
    </row>
    <row r="926">
      <c r="A926" s="19"/>
      <c r="B926" s="19"/>
      <c r="C926" s="19"/>
      <c r="D926" s="19"/>
      <c r="E926" s="19"/>
      <c r="F926" s="19"/>
      <c r="G926" s="19"/>
      <c r="H926" s="19"/>
      <c r="I926" s="19"/>
      <c r="J926" s="19"/>
      <c r="K926" s="19"/>
      <c r="L926" s="19"/>
      <c r="M926" s="19"/>
    </row>
    <row r="927">
      <c r="A927" s="19"/>
      <c r="B927" s="19"/>
      <c r="C927" s="19"/>
      <c r="D927" s="19"/>
      <c r="E927" s="19"/>
      <c r="F927" s="19"/>
      <c r="G927" s="19"/>
      <c r="H927" s="19"/>
      <c r="I927" s="19"/>
      <c r="J927" s="19"/>
      <c r="K927" s="19"/>
      <c r="L927" s="19"/>
      <c r="M927" s="19"/>
    </row>
    <row r="928">
      <c r="A928" s="19"/>
      <c r="B928" s="19"/>
      <c r="C928" s="19"/>
      <c r="D928" s="19"/>
      <c r="E928" s="19"/>
      <c r="F928" s="19"/>
      <c r="G928" s="19"/>
      <c r="H928" s="19"/>
      <c r="I928" s="19"/>
      <c r="J928" s="19"/>
      <c r="K928" s="19"/>
      <c r="L928" s="19"/>
      <c r="M928" s="19"/>
    </row>
    <row r="929">
      <c r="A929" s="19"/>
      <c r="B929" s="19"/>
      <c r="C929" s="19"/>
      <c r="D929" s="19"/>
      <c r="E929" s="19"/>
      <c r="F929" s="19"/>
      <c r="G929" s="19"/>
      <c r="H929" s="19"/>
      <c r="I929" s="19"/>
      <c r="J929" s="19"/>
      <c r="K929" s="19"/>
      <c r="L929" s="19"/>
      <c r="M929" s="19"/>
    </row>
    <row r="930">
      <c r="A930" s="19"/>
      <c r="B930" s="19"/>
      <c r="C930" s="19"/>
      <c r="D930" s="19"/>
      <c r="E930" s="19"/>
      <c r="F930" s="19"/>
      <c r="G930" s="19"/>
      <c r="H930" s="19"/>
      <c r="I930" s="19"/>
      <c r="J930" s="19"/>
      <c r="K930" s="19"/>
      <c r="L930" s="19"/>
      <c r="M930" s="19"/>
    </row>
    <row r="931">
      <c r="A931" s="19"/>
      <c r="B931" s="19"/>
      <c r="C931" s="19"/>
      <c r="D931" s="19"/>
      <c r="E931" s="19"/>
      <c r="F931" s="19"/>
      <c r="G931" s="19"/>
      <c r="H931" s="19"/>
      <c r="I931" s="19"/>
      <c r="J931" s="19"/>
      <c r="K931" s="19"/>
      <c r="L931" s="19"/>
      <c r="M931" s="19"/>
    </row>
    <row r="932">
      <c r="A932" s="19"/>
      <c r="B932" s="19"/>
      <c r="C932" s="19"/>
      <c r="D932" s="19"/>
      <c r="E932" s="19"/>
      <c r="F932" s="19"/>
      <c r="G932" s="19"/>
      <c r="H932" s="19"/>
      <c r="I932" s="19"/>
      <c r="J932" s="19"/>
      <c r="K932" s="19"/>
      <c r="L932" s="19"/>
      <c r="M932" s="19"/>
    </row>
    <row r="933">
      <c r="A933" s="19"/>
      <c r="B933" s="19"/>
      <c r="C933" s="19"/>
      <c r="D933" s="19"/>
      <c r="E933" s="19"/>
      <c r="F933" s="19"/>
      <c r="G933" s="19"/>
      <c r="H933" s="19"/>
      <c r="I933" s="19"/>
      <c r="J933" s="19"/>
      <c r="K933" s="19"/>
      <c r="L933" s="19"/>
      <c r="M933" s="19"/>
    </row>
    <row r="934">
      <c r="A934" s="19"/>
      <c r="B934" s="19"/>
      <c r="C934" s="19"/>
      <c r="D934" s="19"/>
      <c r="E934" s="19"/>
      <c r="F934" s="19"/>
      <c r="G934" s="19"/>
      <c r="H934" s="19"/>
      <c r="I934" s="19"/>
      <c r="J934" s="19"/>
      <c r="K934" s="19"/>
      <c r="L934" s="19"/>
      <c r="M934" s="19"/>
    </row>
    <row r="935">
      <c r="A935" s="19"/>
      <c r="B935" s="19"/>
      <c r="C935" s="19"/>
      <c r="D935" s="19"/>
      <c r="E935" s="19"/>
      <c r="F935" s="19"/>
      <c r="G935" s="19"/>
      <c r="H935" s="19"/>
      <c r="I935" s="19"/>
      <c r="J935" s="19"/>
      <c r="K935" s="19"/>
      <c r="L935" s="19"/>
      <c r="M935" s="19"/>
    </row>
    <row r="936">
      <c r="A936" s="19"/>
      <c r="B936" s="19"/>
      <c r="C936" s="19"/>
      <c r="D936" s="19"/>
      <c r="E936" s="19"/>
      <c r="F936" s="19"/>
      <c r="G936" s="19"/>
      <c r="H936" s="19"/>
      <c r="I936" s="19"/>
      <c r="J936" s="19"/>
      <c r="K936" s="19"/>
      <c r="L936" s="19"/>
      <c r="M936" s="19"/>
    </row>
    <row r="937">
      <c r="A937" s="19"/>
      <c r="B937" s="19"/>
      <c r="C937" s="19"/>
      <c r="D937" s="19"/>
      <c r="E937" s="19"/>
      <c r="F937" s="19"/>
      <c r="G937" s="19"/>
      <c r="H937" s="19"/>
      <c r="I937" s="19"/>
      <c r="J937" s="19"/>
      <c r="K937" s="19"/>
      <c r="L937" s="19"/>
      <c r="M937" s="19"/>
    </row>
    <row r="938">
      <c r="A938" s="19"/>
      <c r="B938" s="19"/>
      <c r="C938" s="19"/>
      <c r="D938" s="19"/>
      <c r="E938" s="19"/>
      <c r="F938" s="19"/>
      <c r="G938" s="19"/>
      <c r="H938" s="19"/>
      <c r="I938" s="19"/>
      <c r="J938" s="19"/>
      <c r="K938" s="19"/>
      <c r="L938" s="19"/>
      <c r="M938" s="19"/>
    </row>
    <row r="939">
      <c r="A939" s="19"/>
      <c r="B939" s="19"/>
      <c r="C939" s="19"/>
      <c r="D939" s="19"/>
      <c r="E939" s="19"/>
      <c r="F939" s="19"/>
      <c r="G939" s="19"/>
      <c r="H939" s="19"/>
      <c r="I939" s="19"/>
      <c r="J939" s="19"/>
      <c r="K939" s="19"/>
      <c r="L939" s="19"/>
      <c r="M939" s="19"/>
    </row>
    <row r="940">
      <c r="A940" s="19"/>
      <c r="B940" s="19"/>
      <c r="C940" s="19"/>
      <c r="D940" s="19"/>
      <c r="E940" s="19"/>
      <c r="F940" s="19"/>
      <c r="G940" s="19"/>
      <c r="H940" s="19"/>
      <c r="I940" s="19"/>
      <c r="J940" s="19"/>
      <c r="K940" s="19"/>
      <c r="L940" s="19"/>
      <c r="M940" s="19"/>
    </row>
    <row r="941">
      <c r="A941" s="19"/>
      <c r="B941" s="19"/>
      <c r="C941" s="19"/>
      <c r="D941" s="19"/>
      <c r="E941" s="19"/>
      <c r="F941" s="19"/>
      <c r="G941" s="19"/>
      <c r="H941" s="19"/>
      <c r="I941" s="19"/>
      <c r="J941" s="19"/>
      <c r="K941" s="19"/>
      <c r="L941" s="19"/>
      <c r="M941" s="19"/>
    </row>
    <row r="942">
      <c r="A942" s="19"/>
      <c r="B942" s="19"/>
      <c r="C942" s="19"/>
      <c r="D942" s="19"/>
      <c r="E942" s="19"/>
      <c r="F942" s="19"/>
      <c r="G942" s="19"/>
      <c r="H942" s="19"/>
      <c r="I942" s="19"/>
      <c r="J942" s="19"/>
      <c r="K942" s="19"/>
      <c r="L942" s="19"/>
      <c r="M942" s="19"/>
    </row>
    <row r="943">
      <c r="A943" s="19"/>
      <c r="B943" s="19"/>
      <c r="C943" s="19"/>
      <c r="D943" s="19"/>
      <c r="E943" s="19"/>
      <c r="F943" s="19"/>
      <c r="G943" s="19"/>
      <c r="H943" s="19"/>
      <c r="I943" s="19"/>
      <c r="J943" s="19"/>
      <c r="K943" s="19"/>
      <c r="L943" s="19"/>
      <c r="M943" s="19"/>
    </row>
    <row r="944">
      <c r="A944" s="19"/>
      <c r="B944" s="19"/>
      <c r="C944" s="19"/>
      <c r="D944" s="19"/>
      <c r="E944" s="19"/>
      <c r="F944" s="19"/>
      <c r="G944" s="19"/>
      <c r="H944" s="19"/>
      <c r="I944" s="19"/>
      <c r="J944" s="19"/>
      <c r="K944" s="19"/>
      <c r="L944" s="19"/>
      <c r="M944" s="19"/>
    </row>
    <row r="945">
      <c r="A945" s="19"/>
      <c r="B945" s="19"/>
      <c r="C945" s="19"/>
      <c r="D945" s="19"/>
      <c r="E945" s="19"/>
      <c r="F945" s="19"/>
      <c r="G945" s="19"/>
      <c r="H945" s="19"/>
      <c r="I945" s="19"/>
      <c r="J945" s="19"/>
      <c r="K945" s="19"/>
      <c r="L945" s="19"/>
      <c r="M945" s="19"/>
    </row>
    <row r="946">
      <c r="A946" s="19"/>
      <c r="B946" s="19"/>
      <c r="C946" s="19"/>
      <c r="D946" s="19"/>
      <c r="E946" s="19"/>
      <c r="F946" s="19"/>
      <c r="G946" s="19"/>
      <c r="H946" s="19"/>
      <c r="I946" s="19"/>
      <c r="J946" s="19"/>
      <c r="K946" s="19"/>
      <c r="L946" s="19"/>
      <c r="M946" s="19"/>
    </row>
    <row r="947">
      <c r="A947" s="19"/>
      <c r="B947" s="19"/>
      <c r="C947" s="19"/>
      <c r="D947" s="19"/>
      <c r="E947" s="19"/>
      <c r="F947" s="19"/>
      <c r="G947" s="19"/>
      <c r="H947" s="19"/>
      <c r="I947" s="19"/>
      <c r="J947" s="19"/>
      <c r="K947" s="19"/>
      <c r="L947" s="19"/>
      <c r="M947" s="19"/>
    </row>
    <row r="948">
      <c r="A948" s="19"/>
      <c r="B948" s="19"/>
      <c r="C948" s="19"/>
      <c r="D948" s="19"/>
      <c r="E948" s="19"/>
      <c r="F948" s="19"/>
      <c r="G948" s="19"/>
      <c r="H948" s="19"/>
      <c r="I948" s="19"/>
      <c r="J948" s="19"/>
      <c r="K948" s="19"/>
      <c r="L948" s="19"/>
      <c r="M948" s="19"/>
    </row>
    <row r="949">
      <c r="A949" s="19"/>
      <c r="B949" s="19"/>
      <c r="C949" s="19"/>
      <c r="D949" s="19"/>
      <c r="E949" s="19"/>
      <c r="F949" s="19"/>
      <c r="G949" s="19"/>
      <c r="H949" s="19"/>
      <c r="I949" s="19"/>
      <c r="J949" s="19"/>
      <c r="K949" s="19"/>
      <c r="L949" s="19"/>
      <c r="M949" s="19"/>
    </row>
    <row r="950">
      <c r="A950" s="19"/>
      <c r="B950" s="19"/>
      <c r="C950" s="19"/>
      <c r="D950" s="19"/>
      <c r="E950" s="19"/>
      <c r="F950" s="19"/>
      <c r="G950" s="19"/>
      <c r="H950" s="19"/>
      <c r="I950" s="19"/>
      <c r="J950" s="19"/>
      <c r="K950" s="19"/>
      <c r="L950" s="19"/>
      <c r="M950" s="19"/>
    </row>
    <row r="951">
      <c r="A951" s="19"/>
      <c r="B951" s="19"/>
      <c r="C951" s="19"/>
      <c r="D951" s="19"/>
      <c r="E951" s="19"/>
      <c r="F951" s="19"/>
      <c r="G951" s="19"/>
      <c r="H951" s="19"/>
      <c r="I951" s="19"/>
      <c r="J951" s="19"/>
      <c r="K951" s="19"/>
      <c r="L951" s="19"/>
      <c r="M951" s="19"/>
    </row>
    <row r="952">
      <c r="A952" s="19"/>
      <c r="B952" s="19"/>
      <c r="C952" s="19"/>
      <c r="D952" s="19"/>
      <c r="E952" s="19"/>
      <c r="F952" s="19"/>
      <c r="G952" s="19"/>
      <c r="H952" s="19"/>
      <c r="I952" s="19"/>
      <c r="J952" s="19"/>
      <c r="K952" s="19"/>
      <c r="L952" s="19"/>
      <c r="M952" s="19"/>
    </row>
    <row r="953">
      <c r="A953" s="19"/>
      <c r="B953" s="19"/>
      <c r="C953" s="19"/>
      <c r="D953" s="19"/>
      <c r="E953" s="19"/>
      <c r="F953" s="19"/>
      <c r="G953" s="19"/>
      <c r="H953" s="19"/>
      <c r="I953" s="19"/>
      <c r="J953" s="19"/>
      <c r="K953" s="19"/>
      <c r="L953" s="19"/>
      <c r="M953" s="19"/>
    </row>
    <row r="954">
      <c r="A954" s="19"/>
      <c r="B954" s="19"/>
      <c r="C954" s="19"/>
      <c r="D954" s="19"/>
      <c r="E954" s="19"/>
      <c r="F954" s="19"/>
      <c r="G954" s="19"/>
      <c r="H954" s="19"/>
      <c r="I954" s="19"/>
      <c r="J954" s="19"/>
      <c r="K954" s="19"/>
      <c r="L954" s="19"/>
      <c r="M954" s="19"/>
    </row>
    <row r="955">
      <c r="A955" s="19"/>
      <c r="B955" s="19"/>
      <c r="C955" s="19"/>
      <c r="D955" s="19"/>
      <c r="E955" s="19"/>
      <c r="F955" s="19"/>
      <c r="G955" s="19"/>
      <c r="H955" s="19"/>
      <c r="I955" s="19"/>
      <c r="J955" s="19"/>
      <c r="K955" s="19"/>
      <c r="L955" s="19"/>
      <c r="M955" s="19"/>
    </row>
    <row r="956">
      <c r="A956" s="19"/>
      <c r="B956" s="19"/>
      <c r="C956" s="19"/>
      <c r="D956" s="19"/>
      <c r="E956" s="19"/>
      <c r="F956" s="19"/>
      <c r="G956" s="19"/>
      <c r="H956" s="19"/>
      <c r="I956" s="19"/>
      <c r="J956" s="19"/>
      <c r="K956" s="19"/>
      <c r="L956" s="19"/>
      <c r="M956" s="19"/>
    </row>
    <row r="957">
      <c r="A957" s="19"/>
      <c r="B957" s="19"/>
      <c r="C957" s="19"/>
      <c r="D957" s="19"/>
      <c r="E957" s="19"/>
      <c r="F957" s="19"/>
      <c r="G957" s="19"/>
      <c r="H957" s="19"/>
      <c r="I957" s="19"/>
      <c r="J957" s="19"/>
      <c r="K957" s="19"/>
      <c r="L957" s="19"/>
      <c r="M957" s="19"/>
    </row>
    <row r="958">
      <c r="A958" s="19"/>
      <c r="B958" s="19"/>
      <c r="C958" s="19"/>
      <c r="D958" s="19"/>
      <c r="E958" s="19"/>
      <c r="F958" s="19"/>
      <c r="G958" s="19"/>
      <c r="H958" s="19"/>
      <c r="I958" s="19"/>
      <c r="J958" s="19"/>
      <c r="K958" s="19"/>
      <c r="L958" s="19"/>
      <c r="M958" s="19"/>
    </row>
    <row r="959">
      <c r="A959" s="19"/>
      <c r="B959" s="19"/>
      <c r="C959" s="19"/>
      <c r="D959" s="19"/>
      <c r="E959" s="19"/>
      <c r="F959" s="19"/>
      <c r="G959" s="19"/>
      <c r="H959" s="19"/>
      <c r="I959" s="19"/>
      <c r="J959" s="19"/>
      <c r="K959" s="19"/>
      <c r="L959" s="19"/>
      <c r="M959" s="19"/>
    </row>
    <row r="960">
      <c r="A960" s="19"/>
      <c r="B960" s="19"/>
      <c r="C960" s="19"/>
      <c r="D960" s="19"/>
      <c r="E960" s="19"/>
      <c r="F960" s="19"/>
      <c r="G960" s="19"/>
      <c r="H960" s="19"/>
      <c r="I960" s="19"/>
      <c r="J960" s="19"/>
      <c r="K960" s="19"/>
      <c r="L960" s="19"/>
      <c r="M960" s="19"/>
    </row>
    <row r="961">
      <c r="A961" s="19"/>
      <c r="B961" s="19"/>
      <c r="C961" s="19"/>
      <c r="D961" s="19"/>
      <c r="E961" s="19"/>
      <c r="F961" s="19"/>
      <c r="G961" s="19"/>
      <c r="H961" s="19"/>
      <c r="I961" s="19"/>
      <c r="J961" s="19"/>
      <c r="K961" s="19"/>
      <c r="L961" s="19"/>
      <c r="M961" s="19"/>
    </row>
    <row r="962">
      <c r="A962" s="19"/>
      <c r="B962" s="19"/>
      <c r="C962" s="19"/>
      <c r="D962" s="19"/>
      <c r="E962" s="19"/>
      <c r="F962" s="19"/>
      <c r="G962" s="19"/>
      <c r="H962" s="19"/>
      <c r="I962" s="19"/>
      <c r="J962" s="19"/>
      <c r="K962" s="19"/>
      <c r="L962" s="19"/>
      <c r="M962" s="19"/>
    </row>
    <row r="963">
      <c r="A963" s="19"/>
      <c r="B963" s="19"/>
      <c r="C963" s="19"/>
      <c r="D963" s="19"/>
      <c r="E963" s="19"/>
      <c r="F963" s="19"/>
      <c r="G963" s="19"/>
      <c r="H963" s="19"/>
      <c r="I963" s="19"/>
      <c r="J963" s="19"/>
      <c r="K963" s="19"/>
      <c r="L963" s="19"/>
      <c r="M963" s="19"/>
    </row>
    <row r="964">
      <c r="A964" s="19"/>
      <c r="B964" s="19"/>
      <c r="C964" s="19"/>
      <c r="D964" s="19"/>
      <c r="E964" s="19"/>
      <c r="F964" s="19"/>
      <c r="G964" s="19"/>
      <c r="H964" s="19"/>
      <c r="I964" s="19"/>
      <c r="J964" s="19"/>
      <c r="K964" s="19"/>
      <c r="L964" s="19"/>
      <c r="M964" s="19"/>
    </row>
    <row r="965">
      <c r="A965" s="19"/>
      <c r="B965" s="19"/>
      <c r="C965" s="19"/>
      <c r="D965" s="19"/>
      <c r="E965" s="19"/>
      <c r="F965" s="19"/>
      <c r="G965" s="19"/>
      <c r="H965" s="19"/>
      <c r="I965" s="19"/>
      <c r="J965" s="19"/>
      <c r="K965" s="19"/>
      <c r="L965" s="19"/>
      <c r="M965" s="19"/>
    </row>
    <row r="966">
      <c r="A966" s="19"/>
      <c r="B966" s="19"/>
      <c r="C966" s="19"/>
      <c r="D966" s="19"/>
      <c r="E966" s="19"/>
      <c r="F966" s="19"/>
      <c r="G966" s="19"/>
      <c r="H966" s="19"/>
      <c r="I966" s="19"/>
      <c r="J966" s="19"/>
      <c r="K966" s="19"/>
      <c r="L966" s="19"/>
      <c r="M966" s="19"/>
    </row>
    <row r="967">
      <c r="A967" s="19"/>
      <c r="B967" s="19"/>
      <c r="C967" s="19"/>
      <c r="D967" s="19"/>
      <c r="E967" s="19"/>
      <c r="F967" s="19"/>
      <c r="G967" s="19"/>
      <c r="H967" s="19"/>
      <c r="I967" s="19"/>
      <c r="J967" s="19"/>
      <c r="K967" s="19"/>
      <c r="L967" s="19"/>
      <c r="M967" s="19"/>
    </row>
    <row r="968">
      <c r="A968" s="19"/>
      <c r="B968" s="19"/>
      <c r="C968" s="19"/>
      <c r="D968" s="19"/>
      <c r="E968" s="19"/>
      <c r="F968" s="19"/>
      <c r="G968" s="19"/>
      <c r="H968" s="19"/>
      <c r="I968" s="19"/>
      <c r="J968" s="19"/>
      <c r="K968" s="19"/>
      <c r="L968" s="19"/>
      <c r="M968" s="19"/>
    </row>
    <row r="969">
      <c r="A969" s="19"/>
      <c r="B969" s="19"/>
      <c r="C969" s="19"/>
      <c r="D969" s="19"/>
      <c r="E969" s="19"/>
      <c r="F969" s="19"/>
      <c r="G969" s="19"/>
      <c r="H969" s="19"/>
      <c r="I969" s="19"/>
      <c r="J969" s="19"/>
      <c r="K969" s="19"/>
      <c r="L969" s="19"/>
      <c r="M969" s="19"/>
    </row>
    <row r="970">
      <c r="A970" s="19"/>
      <c r="B970" s="19"/>
      <c r="C970" s="19"/>
      <c r="D970" s="19"/>
      <c r="E970" s="19"/>
      <c r="F970" s="19"/>
      <c r="G970" s="19"/>
      <c r="H970" s="19"/>
      <c r="I970" s="19"/>
      <c r="J970" s="19"/>
      <c r="K970" s="19"/>
      <c r="L970" s="19"/>
      <c r="M970" s="19"/>
    </row>
    <row r="971">
      <c r="A971" s="19"/>
      <c r="B971" s="19"/>
      <c r="C971" s="19"/>
      <c r="D971" s="19"/>
      <c r="E971" s="19"/>
      <c r="F971" s="19"/>
      <c r="G971" s="19"/>
      <c r="H971" s="19"/>
      <c r="I971" s="19"/>
      <c r="J971" s="19"/>
      <c r="K971" s="19"/>
      <c r="L971" s="19"/>
      <c r="M971" s="19"/>
    </row>
    <row r="972">
      <c r="A972" s="19"/>
      <c r="B972" s="19"/>
      <c r="C972" s="19"/>
      <c r="D972" s="19"/>
      <c r="E972" s="19"/>
      <c r="F972" s="19"/>
      <c r="G972" s="19"/>
      <c r="H972" s="19"/>
      <c r="I972" s="19"/>
      <c r="J972" s="19"/>
      <c r="K972" s="19"/>
      <c r="L972" s="19"/>
      <c r="M972" s="19"/>
    </row>
    <row r="973">
      <c r="A973" s="19"/>
      <c r="B973" s="19"/>
      <c r="C973" s="19"/>
      <c r="D973" s="19"/>
      <c r="E973" s="19"/>
      <c r="F973" s="19"/>
      <c r="G973" s="19"/>
      <c r="H973" s="19"/>
      <c r="I973" s="19"/>
      <c r="J973" s="19"/>
      <c r="K973" s="19"/>
      <c r="L973" s="19"/>
      <c r="M973" s="19"/>
    </row>
    <row r="974">
      <c r="A974" s="19"/>
      <c r="B974" s="19"/>
      <c r="C974" s="19"/>
      <c r="D974" s="19"/>
      <c r="E974" s="19"/>
      <c r="F974" s="19"/>
      <c r="G974" s="19"/>
      <c r="H974" s="19"/>
      <c r="I974" s="19"/>
      <c r="J974" s="19"/>
      <c r="K974" s="19"/>
      <c r="L974" s="19"/>
      <c r="M974" s="19"/>
    </row>
    <row r="975">
      <c r="A975" s="19"/>
      <c r="B975" s="19"/>
      <c r="C975" s="19"/>
      <c r="D975" s="19"/>
      <c r="E975" s="19"/>
      <c r="F975" s="19"/>
      <c r="G975" s="19"/>
      <c r="H975" s="19"/>
      <c r="I975" s="19"/>
      <c r="J975" s="19"/>
      <c r="K975" s="19"/>
      <c r="L975" s="19"/>
      <c r="M975" s="19"/>
    </row>
    <row r="976">
      <c r="A976" s="19"/>
      <c r="B976" s="19"/>
      <c r="C976" s="19"/>
      <c r="D976" s="19"/>
      <c r="E976" s="19"/>
      <c r="F976" s="19"/>
      <c r="G976" s="19"/>
      <c r="H976" s="19"/>
      <c r="I976" s="19"/>
      <c r="J976" s="19"/>
      <c r="K976" s="19"/>
      <c r="L976" s="19"/>
      <c r="M976" s="19"/>
    </row>
    <row r="977">
      <c r="A977" s="19"/>
      <c r="B977" s="19"/>
      <c r="C977" s="19"/>
      <c r="D977" s="19"/>
      <c r="E977" s="19"/>
      <c r="F977" s="19"/>
      <c r="G977" s="19"/>
      <c r="H977" s="19"/>
      <c r="I977" s="19"/>
      <c r="J977" s="19"/>
      <c r="K977" s="19"/>
      <c r="L977" s="19"/>
      <c r="M977" s="19"/>
    </row>
    <row r="978">
      <c r="A978" s="19"/>
      <c r="B978" s="19"/>
      <c r="C978" s="19"/>
      <c r="D978" s="19"/>
      <c r="E978" s="19"/>
      <c r="F978" s="19"/>
      <c r="G978" s="19"/>
      <c r="H978" s="19"/>
      <c r="I978" s="19"/>
      <c r="J978" s="19"/>
      <c r="K978" s="19"/>
      <c r="L978" s="19"/>
      <c r="M978" s="19"/>
    </row>
    <row r="979">
      <c r="A979" s="19"/>
      <c r="B979" s="19"/>
      <c r="C979" s="19"/>
      <c r="D979" s="19"/>
      <c r="E979" s="19"/>
      <c r="F979" s="19"/>
      <c r="G979" s="19"/>
      <c r="H979" s="19"/>
      <c r="I979" s="19"/>
      <c r="J979" s="19"/>
      <c r="K979" s="19"/>
      <c r="L979" s="19"/>
      <c r="M979" s="19"/>
    </row>
    <row r="980">
      <c r="A980" s="19"/>
      <c r="B980" s="19"/>
      <c r="C980" s="19"/>
      <c r="D980" s="19"/>
      <c r="E980" s="19"/>
      <c r="F980" s="19"/>
      <c r="G980" s="19"/>
      <c r="H980" s="19"/>
      <c r="I980" s="19"/>
      <c r="J980" s="19"/>
      <c r="K980" s="19"/>
      <c r="L980" s="19"/>
      <c r="M980" s="19"/>
    </row>
    <row r="981">
      <c r="A981" s="19"/>
      <c r="B981" s="19"/>
      <c r="C981" s="19"/>
      <c r="D981" s="19"/>
      <c r="E981" s="19"/>
      <c r="F981" s="19"/>
      <c r="G981" s="19"/>
      <c r="H981" s="19"/>
      <c r="I981" s="19"/>
      <c r="J981" s="19"/>
      <c r="K981" s="19"/>
      <c r="L981" s="19"/>
      <c r="M981" s="19"/>
    </row>
    <row r="982">
      <c r="A982" s="19"/>
      <c r="B982" s="19"/>
      <c r="C982" s="19"/>
      <c r="D982" s="19"/>
      <c r="E982" s="19"/>
      <c r="F982" s="19"/>
      <c r="G982" s="19"/>
      <c r="H982" s="19"/>
      <c r="I982" s="19"/>
      <c r="J982" s="19"/>
      <c r="K982" s="19"/>
      <c r="L982" s="19"/>
      <c r="M982" s="19"/>
    </row>
    <row r="983">
      <c r="A983" s="19"/>
      <c r="B983" s="19"/>
      <c r="C983" s="19"/>
      <c r="D983" s="19"/>
      <c r="E983" s="19"/>
      <c r="F983" s="19"/>
      <c r="G983" s="19"/>
      <c r="H983" s="19"/>
      <c r="I983" s="19"/>
      <c r="J983" s="19"/>
      <c r="K983" s="19"/>
      <c r="L983" s="19"/>
      <c r="M983" s="19"/>
    </row>
    <row r="984">
      <c r="A984" s="19"/>
      <c r="B984" s="19"/>
      <c r="C984" s="19"/>
      <c r="D984" s="19"/>
      <c r="E984" s="19"/>
      <c r="F984" s="19"/>
      <c r="G984" s="19"/>
      <c r="H984" s="19"/>
      <c r="I984" s="19"/>
      <c r="J984" s="19"/>
      <c r="K984" s="19"/>
      <c r="L984" s="19"/>
      <c r="M984" s="19"/>
    </row>
    <row r="985">
      <c r="A985" s="19"/>
      <c r="B985" s="19"/>
      <c r="C985" s="19"/>
      <c r="D985" s="19"/>
      <c r="E985" s="19"/>
      <c r="F985" s="19"/>
      <c r="G985" s="19"/>
      <c r="H985" s="19"/>
      <c r="I985" s="19"/>
      <c r="J985" s="19"/>
      <c r="K985" s="19"/>
      <c r="L985" s="19"/>
      <c r="M985" s="19"/>
    </row>
    <row r="986">
      <c r="A986" s="19"/>
      <c r="B986" s="19"/>
      <c r="C986" s="19"/>
      <c r="D986" s="19"/>
      <c r="E986" s="19"/>
      <c r="F986" s="19"/>
      <c r="G986" s="19"/>
      <c r="H986" s="19"/>
      <c r="I986" s="19"/>
      <c r="J986" s="19"/>
      <c r="K986" s="19"/>
      <c r="L986" s="19"/>
      <c r="M986" s="19"/>
    </row>
    <row r="987">
      <c r="A987" s="19"/>
      <c r="B987" s="19"/>
      <c r="C987" s="19"/>
      <c r="D987" s="19"/>
      <c r="E987" s="19"/>
      <c r="F987" s="19"/>
      <c r="G987" s="19"/>
      <c r="H987" s="19"/>
      <c r="I987" s="19"/>
      <c r="J987" s="19"/>
      <c r="K987" s="19"/>
      <c r="L987" s="19"/>
      <c r="M987" s="19"/>
    </row>
    <row r="988">
      <c r="A988" s="19"/>
      <c r="B988" s="19"/>
      <c r="C988" s="19"/>
      <c r="D988" s="19"/>
      <c r="E988" s="19"/>
      <c r="F988" s="19"/>
      <c r="G988" s="19"/>
      <c r="H988" s="19"/>
      <c r="I988" s="19"/>
      <c r="J988" s="19"/>
      <c r="K988" s="19"/>
      <c r="L988" s="19"/>
      <c r="M988" s="19"/>
    </row>
    <row r="989">
      <c r="A989" s="19"/>
      <c r="B989" s="19"/>
      <c r="C989" s="19"/>
      <c r="D989" s="19"/>
      <c r="E989" s="19"/>
      <c r="F989" s="19"/>
      <c r="G989" s="19"/>
      <c r="H989" s="19"/>
      <c r="I989" s="19"/>
      <c r="J989" s="19"/>
      <c r="K989" s="19"/>
      <c r="L989" s="19"/>
      <c r="M989" s="19"/>
    </row>
    <row r="990">
      <c r="A990" s="19"/>
      <c r="B990" s="19"/>
      <c r="C990" s="19"/>
      <c r="D990" s="19"/>
      <c r="E990" s="19"/>
      <c r="F990" s="19"/>
      <c r="G990" s="19"/>
      <c r="H990" s="19"/>
      <c r="I990" s="19"/>
      <c r="J990" s="19"/>
      <c r="K990" s="19"/>
      <c r="L990" s="19"/>
      <c r="M990" s="19"/>
    </row>
    <row r="991">
      <c r="A991" s="19"/>
      <c r="B991" s="19"/>
      <c r="C991" s="19"/>
      <c r="D991" s="19"/>
      <c r="E991" s="19"/>
      <c r="F991" s="19"/>
      <c r="G991" s="19"/>
      <c r="H991" s="19"/>
      <c r="I991" s="19"/>
      <c r="J991" s="19"/>
      <c r="K991" s="19"/>
      <c r="L991" s="19"/>
      <c r="M991" s="19"/>
    </row>
    <row r="992">
      <c r="A992" s="19"/>
      <c r="B992" s="19"/>
      <c r="C992" s="19"/>
      <c r="D992" s="19"/>
      <c r="E992" s="19"/>
      <c r="F992" s="19"/>
      <c r="G992" s="19"/>
      <c r="H992" s="19"/>
      <c r="I992" s="19"/>
      <c r="J992" s="19"/>
      <c r="K992" s="19"/>
      <c r="L992" s="19"/>
      <c r="M992" s="19"/>
    </row>
    <row r="993">
      <c r="A993" s="19"/>
      <c r="B993" s="19"/>
      <c r="C993" s="19"/>
      <c r="D993" s="19"/>
      <c r="E993" s="19"/>
      <c r="F993" s="19"/>
      <c r="G993" s="19"/>
      <c r="H993" s="19"/>
      <c r="I993" s="19"/>
      <c r="J993" s="19"/>
      <c r="K993" s="19"/>
      <c r="L993" s="19"/>
      <c r="M993" s="19"/>
    </row>
    <row r="994">
      <c r="A994" s="19"/>
      <c r="B994" s="19"/>
      <c r="C994" s="19"/>
      <c r="D994" s="19"/>
      <c r="E994" s="19"/>
      <c r="F994" s="19"/>
      <c r="G994" s="19"/>
      <c r="H994" s="19"/>
      <c r="I994" s="19"/>
      <c r="J994" s="19"/>
      <c r="K994" s="19"/>
      <c r="L994" s="19"/>
      <c r="M994" s="19"/>
    </row>
    <row r="995">
      <c r="A995" s="19"/>
      <c r="B995" s="19"/>
      <c r="C995" s="19"/>
      <c r="D995" s="19"/>
      <c r="E995" s="19"/>
      <c r="F995" s="19"/>
      <c r="G995" s="19"/>
      <c r="H995" s="19"/>
      <c r="I995" s="19"/>
      <c r="J995" s="19"/>
      <c r="K995" s="19"/>
      <c r="L995" s="19"/>
      <c r="M995" s="19"/>
    </row>
    <row r="996">
      <c r="A996" s="19"/>
      <c r="B996" s="19"/>
      <c r="C996" s="19"/>
      <c r="D996" s="19"/>
      <c r="E996" s="19"/>
      <c r="F996" s="19"/>
      <c r="G996" s="19"/>
      <c r="H996" s="19"/>
      <c r="I996" s="19"/>
      <c r="J996" s="19"/>
      <c r="K996" s="19"/>
      <c r="L996" s="19"/>
      <c r="M996" s="19"/>
    </row>
    <row r="997">
      <c r="A997" s="19"/>
      <c r="B997" s="19"/>
      <c r="C997" s="19"/>
      <c r="D997" s="19"/>
      <c r="E997" s="19"/>
      <c r="F997" s="19"/>
      <c r="G997" s="19"/>
      <c r="H997" s="19"/>
      <c r="I997" s="19"/>
      <c r="J997" s="19"/>
      <c r="K997" s="19"/>
      <c r="L997" s="19"/>
      <c r="M997" s="19"/>
    </row>
    <row r="998">
      <c r="A998" s="19"/>
      <c r="B998" s="19"/>
      <c r="C998" s="19"/>
      <c r="D998" s="19"/>
      <c r="E998" s="19"/>
      <c r="F998" s="19"/>
      <c r="G998" s="19"/>
      <c r="H998" s="19"/>
      <c r="I998" s="19"/>
      <c r="J998" s="19"/>
      <c r="K998" s="19"/>
      <c r="L998" s="19"/>
      <c r="M998" s="19"/>
    </row>
    <row r="999">
      <c r="A999" s="19"/>
      <c r="B999" s="19"/>
      <c r="C999" s="19"/>
      <c r="D999" s="19"/>
      <c r="E999" s="19"/>
      <c r="F999" s="19"/>
      <c r="G999" s="19"/>
      <c r="H999" s="19"/>
      <c r="I999" s="19"/>
      <c r="J999" s="19"/>
      <c r="K999" s="19"/>
      <c r="L999" s="19"/>
      <c r="M999" s="19"/>
    </row>
    <row r="1000">
      <c r="A1000" s="19"/>
      <c r="B1000" s="19"/>
      <c r="C1000" s="19"/>
      <c r="D1000" s="19"/>
      <c r="E1000" s="19"/>
      <c r="F1000" s="19"/>
      <c r="G1000" s="19"/>
      <c r="H1000" s="19"/>
      <c r="I1000" s="19"/>
      <c r="J1000" s="19"/>
      <c r="K1000" s="19"/>
      <c r="L1000" s="19"/>
      <c r="M1000" s="19"/>
    </row>
  </sheetData>
  <mergeCells count="7">
    <mergeCell ref="B2:M2"/>
    <mergeCell ref="B3:M3"/>
    <mergeCell ref="B4:M4"/>
    <mergeCell ref="B5:M5"/>
    <mergeCell ref="B6:M6"/>
    <mergeCell ref="A7:A10"/>
    <mergeCell ref="B10:M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6.13"/>
    <col customWidth="1" min="2" max="2" width="7.88"/>
    <col customWidth="1" min="3" max="3" width="6.0"/>
    <col customWidth="1" min="4" max="4" width="7.88"/>
    <col customWidth="1" min="5" max="5" width="6.0"/>
    <col customWidth="1" min="6" max="6" width="1.5"/>
    <col customWidth="1" min="7" max="7" width="6.13"/>
    <col customWidth="1" min="8" max="8" width="7.63"/>
    <col customWidth="1" min="9" max="9" width="6.0"/>
    <col customWidth="1" min="10" max="10" width="7.88"/>
    <col customWidth="1" min="11" max="11" width="6.0"/>
    <col customWidth="1" min="12" max="12" width="1.5"/>
    <col customWidth="1" min="13" max="13" width="6.13"/>
    <col customWidth="1" min="14" max="14" width="7.88"/>
    <col customWidth="1" min="15" max="15" width="6.0"/>
    <col customWidth="1" min="16" max="16" width="7.88"/>
    <col customWidth="1" min="17" max="17" width="6.0"/>
    <col customWidth="1" min="18" max="18" width="1.5"/>
    <col customWidth="1" min="19" max="19" width="7.75"/>
    <col customWidth="1" min="20" max="20" width="6.25"/>
    <col customWidth="1" min="21" max="21" width="4.75"/>
    <col customWidth="1" min="22" max="23" width="8.0"/>
  </cols>
  <sheetData>
    <row r="1" ht="26.25" customHeight="1">
      <c r="A1" s="67"/>
      <c r="B1" s="67"/>
      <c r="C1" s="67"/>
      <c r="D1" s="67"/>
      <c r="E1" s="67"/>
      <c r="F1" s="67"/>
      <c r="G1" s="67"/>
      <c r="H1" s="67"/>
      <c r="I1" s="67"/>
      <c r="J1" s="67"/>
      <c r="K1" s="68" t="s">
        <v>362</v>
      </c>
      <c r="L1" s="67"/>
      <c r="M1" s="67"/>
      <c r="N1" s="67"/>
      <c r="O1" s="67"/>
      <c r="P1" s="67" t="s">
        <v>1</v>
      </c>
      <c r="Q1" s="67"/>
      <c r="R1" s="67"/>
      <c r="S1" s="67"/>
      <c r="T1" s="67"/>
      <c r="U1" s="67"/>
      <c r="V1" s="67"/>
      <c r="W1" s="69"/>
    </row>
    <row r="2" ht="6.75" customHeight="1">
      <c r="A2" s="27"/>
      <c r="B2" s="27"/>
      <c r="C2" s="27"/>
      <c r="D2" s="27"/>
      <c r="E2" s="27"/>
      <c r="F2" s="27"/>
      <c r="G2" s="27"/>
      <c r="H2" s="27"/>
      <c r="I2" s="27"/>
      <c r="J2" s="27"/>
      <c r="K2" s="27"/>
      <c r="L2" s="27"/>
      <c r="M2" s="27"/>
      <c r="N2" s="27"/>
      <c r="O2" s="27"/>
      <c r="P2" s="27"/>
      <c r="Q2" s="27"/>
      <c r="R2" s="27"/>
      <c r="S2" s="27"/>
      <c r="T2" s="27"/>
      <c r="U2" s="27"/>
      <c r="V2" s="27"/>
      <c r="W2" s="27"/>
    </row>
    <row r="3" ht="12.75" customHeight="1">
      <c r="A3" s="27"/>
      <c r="B3" s="27"/>
      <c r="C3" s="49" t="s">
        <v>73</v>
      </c>
      <c r="D3" s="50"/>
      <c r="E3" s="50"/>
      <c r="F3" s="69"/>
      <c r="G3" s="69"/>
      <c r="H3" s="69"/>
      <c r="I3" s="49" t="s">
        <v>74</v>
      </c>
      <c r="J3" s="50"/>
      <c r="K3" s="50"/>
      <c r="L3" s="27"/>
      <c r="M3" s="27"/>
      <c r="N3" s="49" t="s">
        <v>76</v>
      </c>
      <c r="O3" s="50"/>
      <c r="P3" s="50"/>
      <c r="Q3" s="27"/>
      <c r="R3" s="27"/>
      <c r="S3" s="27"/>
      <c r="T3" s="27"/>
      <c r="U3" s="27"/>
      <c r="V3" s="27"/>
      <c r="W3" s="27"/>
    </row>
    <row r="4" ht="12.75" customHeight="1">
      <c r="A4" s="27"/>
      <c r="B4" s="27"/>
      <c r="C4" s="31" t="s">
        <v>26</v>
      </c>
      <c r="D4" s="31" t="s">
        <v>27</v>
      </c>
      <c r="E4" s="31" t="s">
        <v>28</v>
      </c>
      <c r="F4" s="69"/>
      <c r="G4" s="69"/>
      <c r="H4" s="69"/>
      <c r="I4" s="25" t="s">
        <v>26</v>
      </c>
      <c r="J4" s="25" t="s">
        <v>28</v>
      </c>
      <c r="K4" s="25" t="s">
        <v>78</v>
      </c>
      <c r="L4" s="27"/>
      <c r="M4" s="27"/>
      <c r="N4" s="31" t="s">
        <v>28</v>
      </c>
      <c r="O4" s="31" t="s">
        <v>27</v>
      </c>
      <c r="P4" s="31" t="s">
        <v>26</v>
      </c>
      <c r="Q4" s="27"/>
      <c r="R4" s="27"/>
      <c r="S4" s="54" t="s">
        <v>77</v>
      </c>
      <c r="T4" s="6"/>
      <c r="U4" s="27"/>
      <c r="V4" s="27"/>
      <c r="W4" s="27"/>
    </row>
    <row r="5" ht="12.75" customHeight="1">
      <c r="A5" s="27"/>
      <c r="B5" s="27"/>
      <c r="C5" s="33"/>
      <c r="D5" s="33"/>
      <c r="E5" s="81" t="str">
        <f>IF(OR(D5="",C5=""),"",MROUND((36*C5)/(37-D5),'Start-Options'!B38))</f>
        <v/>
      </c>
      <c r="F5" s="27"/>
      <c r="G5" s="27"/>
      <c r="H5" s="27"/>
      <c r="I5" s="28"/>
      <c r="J5" s="28"/>
      <c r="K5" s="25" t="str">
        <f>IF(OR(I5="",J5=""),"",ROUND(37-(36*I5/J5),0))</f>
        <v/>
      </c>
      <c r="L5" s="27"/>
      <c r="M5" s="27"/>
      <c r="N5" s="28"/>
      <c r="O5" s="38"/>
      <c r="P5" s="84" t="str">
        <f>IF(OR(O5="",N5=""),"",MROUND(N5/(36/(37-O5)),'Start-Options'!B38))</f>
        <v/>
      </c>
      <c r="Q5" s="27"/>
      <c r="R5" s="27"/>
      <c r="S5" s="54" t="s">
        <v>64</v>
      </c>
      <c r="T5" s="6"/>
      <c r="U5" s="27"/>
      <c r="V5" s="27"/>
      <c r="W5" s="27"/>
    </row>
    <row r="6" ht="6.75" customHeight="1">
      <c r="A6" s="27"/>
      <c r="B6" s="27"/>
      <c r="C6" s="27"/>
      <c r="D6" s="27"/>
      <c r="E6" s="27"/>
      <c r="F6" s="27"/>
      <c r="G6" s="27"/>
      <c r="H6" s="27"/>
      <c r="I6" s="27"/>
      <c r="J6" s="27"/>
      <c r="K6" s="27"/>
      <c r="L6" s="27"/>
      <c r="M6" s="27"/>
      <c r="N6" s="27"/>
      <c r="O6" s="27"/>
      <c r="P6" s="27"/>
      <c r="Q6" s="27"/>
      <c r="R6" s="27"/>
      <c r="S6" s="27"/>
      <c r="T6" s="27"/>
      <c r="U6" s="27"/>
      <c r="V6" s="27"/>
      <c r="W6" s="27"/>
    </row>
    <row r="7" ht="21.0" customHeight="1">
      <c r="A7" s="27"/>
      <c r="B7" s="27"/>
      <c r="C7" s="27"/>
      <c r="D7" s="27"/>
      <c r="E7" s="27"/>
      <c r="F7" s="27"/>
      <c r="G7" s="27"/>
      <c r="H7" s="27"/>
      <c r="I7" s="27"/>
      <c r="J7" s="169" t="s">
        <v>83</v>
      </c>
      <c r="L7" s="27"/>
      <c r="M7" s="27"/>
      <c r="N7" s="27"/>
      <c r="O7" s="27"/>
      <c r="P7" s="27"/>
      <c r="Q7" s="27"/>
      <c r="R7" s="27"/>
      <c r="S7" s="27"/>
      <c r="T7" s="27"/>
      <c r="U7" s="27"/>
      <c r="V7" s="27"/>
      <c r="W7" s="27"/>
    </row>
    <row r="8" ht="15.75" customHeight="1">
      <c r="A8" s="293" t="s">
        <v>363</v>
      </c>
      <c r="B8" s="60"/>
      <c r="C8" s="60"/>
      <c r="D8" s="60"/>
      <c r="E8" s="60"/>
      <c r="F8" s="91"/>
      <c r="G8" s="89" t="s">
        <v>364</v>
      </c>
      <c r="H8" s="60"/>
      <c r="I8" s="60"/>
      <c r="J8" s="60"/>
      <c r="K8" s="60"/>
      <c r="L8" s="91"/>
      <c r="M8" s="89" t="s">
        <v>365</v>
      </c>
      <c r="N8" s="60"/>
      <c r="O8" s="60"/>
      <c r="P8" s="60"/>
      <c r="Q8" s="61"/>
      <c r="R8" s="27"/>
      <c r="S8" s="27"/>
      <c r="T8" s="27"/>
      <c r="U8" s="27"/>
      <c r="V8" s="27"/>
      <c r="W8" s="27"/>
    </row>
    <row r="9" ht="25.5" customHeight="1">
      <c r="A9" s="294"/>
      <c r="B9" s="142" t="s">
        <v>26</v>
      </c>
      <c r="C9" s="295" t="s">
        <v>27</v>
      </c>
      <c r="D9" s="296" t="s">
        <v>26</v>
      </c>
      <c r="E9" s="295" t="s">
        <v>366</v>
      </c>
      <c r="F9" s="85"/>
      <c r="G9" s="297"/>
      <c r="H9" s="142" t="s">
        <v>26</v>
      </c>
      <c r="I9" s="296" t="s">
        <v>27</v>
      </c>
      <c r="J9" s="142" t="s">
        <v>26</v>
      </c>
      <c r="K9" s="295" t="s">
        <v>366</v>
      </c>
      <c r="L9" s="85"/>
      <c r="M9" s="297"/>
      <c r="N9" s="142" t="s">
        <v>26</v>
      </c>
      <c r="O9" s="295" t="s">
        <v>27</v>
      </c>
      <c r="P9" s="296" t="s">
        <v>26</v>
      </c>
      <c r="Q9" s="159" t="s">
        <v>366</v>
      </c>
      <c r="R9" s="27"/>
      <c r="S9" s="298" t="s">
        <v>92</v>
      </c>
      <c r="T9" s="42"/>
      <c r="U9" s="27"/>
      <c r="V9" s="27"/>
      <c r="W9" s="27"/>
    </row>
    <row r="10" ht="12.75" customHeight="1">
      <c r="A10" s="299" t="s">
        <v>36</v>
      </c>
      <c r="B10" s="300" t="s">
        <v>367</v>
      </c>
      <c r="C10" s="301"/>
      <c r="D10" s="300" t="s">
        <v>368</v>
      </c>
      <c r="E10" s="301"/>
      <c r="F10" s="27"/>
      <c r="G10" s="197" t="s">
        <v>36</v>
      </c>
      <c r="H10" s="300" t="s">
        <v>367</v>
      </c>
      <c r="I10" s="302"/>
      <c r="J10" s="300" t="s">
        <v>368</v>
      </c>
      <c r="K10" s="301"/>
      <c r="L10" s="27"/>
      <c r="M10" s="197" t="s">
        <v>36</v>
      </c>
      <c r="N10" s="300" t="s">
        <v>367</v>
      </c>
      <c r="O10" s="301"/>
      <c r="P10" s="300" t="s">
        <v>368</v>
      </c>
      <c r="Q10" s="303"/>
      <c r="R10" s="27"/>
      <c r="S10" s="192" t="s">
        <v>30</v>
      </c>
      <c r="T10" s="199">
        <f>'Start-Options'!F4</f>
        <v>50</v>
      </c>
      <c r="U10" s="27"/>
      <c r="V10" s="27"/>
      <c r="W10" s="27"/>
    </row>
    <row r="11" ht="12.75" customHeight="1">
      <c r="A11" s="188"/>
      <c r="B11" s="304">
        <f>IF(T13="","",MROUND(T13*0.65,'Start-Options'!$B$38))</f>
        <v>52.5</v>
      </c>
      <c r="C11" s="78">
        <v>5.0</v>
      </c>
      <c r="D11" s="304">
        <f>IF(T12="","",MROUND(T12*0.55,'Start-Options'!$B$38))</f>
        <v>37.5</v>
      </c>
      <c r="E11" s="305">
        <v>5.0</v>
      </c>
      <c r="F11" s="27"/>
      <c r="G11" s="189"/>
      <c r="H11" s="304">
        <f>IF(T13="","",MROUND(T13*0.7,'Start-Options'!$B$38))</f>
        <v>55</v>
      </c>
      <c r="I11" s="27">
        <v>3.0</v>
      </c>
      <c r="J11" s="304">
        <f t="shared" ref="J11:J13" si="1">IF(D11="","",D11)</f>
        <v>37.5</v>
      </c>
      <c r="K11" s="305">
        <v>5.0</v>
      </c>
      <c r="L11" s="27"/>
      <c r="M11" s="189"/>
      <c r="N11" s="304">
        <f>IF(T13="","",MROUND(T13*0.75,'Start-Options'!$B$38))</f>
        <v>60</v>
      </c>
      <c r="O11" s="78">
        <v>5.0</v>
      </c>
      <c r="P11" s="304">
        <f t="shared" ref="P11:P13" si="2">IF(D11="","",D11)</f>
        <v>37.5</v>
      </c>
      <c r="Q11" s="306">
        <v>5.0</v>
      </c>
      <c r="R11" s="27"/>
      <c r="S11" s="77" t="s">
        <v>31</v>
      </c>
      <c r="T11" s="78">
        <f>'Start-Options'!F5</f>
        <v>110</v>
      </c>
      <c r="U11" s="27"/>
      <c r="V11" s="27"/>
      <c r="W11" s="27"/>
    </row>
    <row r="12" ht="12.75" customHeight="1">
      <c r="A12" s="188"/>
      <c r="B12" s="307">
        <f>IF(T13="","",MROUND(T13*0.75,'Start-Options'!$B$38))</f>
        <v>60</v>
      </c>
      <c r="C12" s="78">
        <v>5.0</v>
      </c>
      <c r="D12" s="307">
        <f>IF(T12="","",MROUND(T12*0.65,'Start-Options'!$B$38))</f>
        <v>45</v>
      </c>
      <c r="E12" s="308"/>
      <c r="F12" s="27"/>
      <c r="G12" s="189"/>
      <c r="H12" s="307">
        <f>IF(T13="","",MROUND(T13*0.8,'Start-Options'!$B$38))</f>
        <v>65</v>
      </c>
      <c r="I12" s="27">
        <v>3.0</v>
      </c>
      <c r="J12" s="307">
        <f t="shared" si="1"/>
        <v>45</v>
      </c>
      <c r="K12" s="308"/>
      <c r="L12" s="27"/>
      <c r="M12" s="189"/>
      <c r="N12" s="307">
        <f>IF(T13="","",MROUND(T13*0.85,'Start-Options'!$B$38))</f>
        <v>67.5</v>
      </c>
      <c r="O12" s="78">
        <v>3.0</v>
      </c>
      <c r="P12" s="307">
        <f t="shared" si="2"/>
        <v>45</v>
      </c>
      <c r="Q12" s="63"/>
      <c r="R12" s="27"/>
      <c r="S12" s="77" t="s">
        <v>32</v>
      </c>
      <c r="T12" s="78">
        <f>'Start-Options'!F6</f>
        <v>70</v>
      </c>
      <c r="U12" s="27"/>
      <c r="V12" s="27"/>
      <c r="W12" s="27"/>
    </row>
    <row r="13" ht="12.75" customHeight="1">
      <c r="A13" s="194"/>
      <c r="B13" s="27">
        <f>IF(T13="","",MROUND(T13*0.85,'Start-Options'!$B$38))</f>
        <v>67.5</v>
      </c>
      <c r="C13" s="147"/>
      <c r="D13" s="309">
        <f>IF(T12="","",MROUND(T12*0.75,'Start-Options'!$B$38))</f>
        <v>52.5</v>
      </c>
      <c r="E13" s="292"/>
      <c r="F13" s="27"/>
      <c r="G13" s="195"/>
      <c r="H13" s="309">
        <f>IF(T13="","",MROUND(T13*0.9,'Start-Options'!$B$38))</f>
        <v>72.5</v>
      </c>
      <c r="I13" s="152"/>
      <c r="J13" s="309">
        <f t="shared" si="1"/>
        <v>52.5</v>
      </c>
      <c r="K13" s="292"/>
      <c r="L13" s="27"/>
      <c r="M13" s="195"/>
      <c r="N13" s="309">
        <f>IF(T13="","",MROUND(T13*0.95,'Start-Options'!$B$38))</f>
        <v>75</v>
      </c>
      <c r="O13" s="155"/>
      <c r="P13" s="309">
        <f t="shared" si="2"/>
        <v>52.5</v>
      </c>
      <c r="Q13" s="310"/>
      <c r="R13" s="27"/>
      <c r="S13" s="82" t="s">
        <v>33</v>
      </c>
      <c r="T13" s="83">
        <f>'Start-Options'!F7</f>
        <v>80</v>
      </c>
      <c r="U13" s="27"/>
      <c r="V13" s="27"/>
      <c r="W13" s="27"/>
    </row>
    <row r="14" ht="12.75" customHeight="1">
      <c r="A14" s="311" t="s">
        <v>44</v>
      </c>
      <c r="B14" s="300" t="s">
        <v>369</v>
      </c>
      <c r="C14" s="301"/>
      <c r="D14" s="300" t="s">
        <v>370</v>
      </c>
      <c r="E14" s="301"/>
      <c r="F14" s="27"/>
      <c r="G14" s="197" t="s">
        <v>44</v>
      </c>
      <c r="H14" s="300" t="s">
        <v>369</v>
      </c>
      <c r="I14" s="302"/>
      <c r="J14" s="300" t="s">
        <v>370</v>
      </c>
      <c r="K14" s="301"/>
      <c r="L14" s="27"/>
      <c r="M14" s="197" t="s">
        <v>44</v>
      </c>
      <c r="N14" s="300" t="s">
        <v>369</v>
      </c>
      <c r="O14" s="301"/>
      <c r="P14" s="300" t="s">
        <v>370</v>
      </c>
      <c r="Q14" s="301"/>
      <c r="R14" s="27"/>
      <c r="S14" s="27"/>
      <c r="T14" s="27"/>
      <c r="U14" s="27"/>
      <c r="V14" s="27"/>
      <c r="W14" s="27"/>
    </row>
    <row r="15" ht="12.75" customHeight="1">
      <c r="A15" s="188"/>
      <c r="B15" s="304">
        <f>IF(T11="","",MROUND(T11*0.65,'Start-Options'!$B$38))</f>
        <v>72.5</v>
      </c>
      <c r="C15" s="78">
        <v>5.0</v>
      </c>
      <c r="D15" s="304">
        <f>IF(T10="","",MROUND(T10*0.65,'Start-Options'!$B$38))</f>
        <v>32.5</v>
      </c>
      <c r="E15" s="78">
        <v>5.0</v>
      </c>
      <c r="F15" s="27"/>
      <c r="G15" s="189"/>
      <c r="H15" s="304">
        <f>IF(T11="","",MROUND(T11*0.7,'Start-Options'!$B$38))</f>
        <v>77.5</v>
      </c>
      <c r="I15" s="27">
        <v>3.0</v>
      </c>
      <c r="J15" s="304">
        <f>IF(T10="","",MROUND(T10*0.7,'Start-Options'!$B$38))</f>
        <v>35</v>
      </c>
      <c r="K15" s="78">
        <v>3.0</v>
      </c>
      <c r="L15" s="27"/>
      <c r="M15" s="189"/>
      <c r="N15" s="304">
        <f>IF(T11="","",MROUND(T11*0.75,'Start-Options'!$B$38))</f>
        <v>82.5</v>
      </c>
      <c r="O15" s="78">
        <v>5.0</v>
      </c>
      <c r="P15" s="304">
        <f>IF(T10="","",MROUND(T10*0.75,'Start-Options'!$B$38))</f>
        <v>37.5</v>
      </c>
      <c r="Q15" s="209">
        <v>5.0</v>
      </c>
      <c r="R15" s="27"/>
      <c r="S15" s="70" t="s">
        <v>93</v>
      </c>
      <c r="T15" s="71"/>
      <c r="U15" s="27"/>
      <c r="V15" s="27"/>
      <c r="W15" s="27"/>
    </row>
    <row r="16" ht="12.75" customHeight="1">
      <c r="A16" s="188"/>
      <c r="B16" s="307">
        <f>IF(T11="","",MROUND(T11*0.75,'Start-Options'!$B$38))</f>
        <v>82.5</v>
      </c>
      <c r="C16" s="78">
        <v>5.0</v>
      </c>
      <c r="D16" s="307">
        <f>IF(T10="","",MROUND(T10*0.75,'Start-Options'!$B$38))</f>
        <v>37.5</v>
      </c>
      <c r="E16" s="78">
        <v>5.0</v>
      </c>
      <c r="F16" s="27"/>
      <c r="G16" s="189"/>
      <c r="H16" s="307">
        <f>IF(T11="","",MROUND(T11*0.8,'Start-Options'!$B$38))</f>
        <v>87.5</v>
      </c>
      <c r="I16" s="27">
        <v>3.0</v>
      </c>
      <c r="J16" s="307">
        <f>IF(T10="","",MROUND(T10*0.8,'Start-Options'!$B$38))</f>
        <v>40</v>
      </c>
      <c r="K16" s="78">
        <v>3.0</v>
      </c>
      <c r="L16" s="27"/>
      <c r="M16" s="189"/>
      <c r="N16" s="307">
        <f>IF(T11="","",MROUND(T11*0.85,'Start-Options'!$B$38))</f>
        <v>92.5</v>
      </c>
      <c r="O16" s="78">
        <v>3.0</v>
      </c>
      <c r="P16" s="307">
        <f>IF(T10="","",MROUND(T10*0.85,'Start-Options'!$B$38))</f>
        <v>42.5</v>
      </c>
      <c r="Q16" s="209">
        <v>3.0</v>
      </c>
      <c r="R16" s="27"/>
      <c r="S16" s="25" t="s">
        <v>94</v>
      </c>
      <c r="T16" s="162"/>
      <c r="U16" s="27"/>
      <c r="V16" s="27"/>
      <c r="W16" s="27"/>
    </row>
    <row r="17" ht="12.75" customHeight="1">
      <c r="A17" s="194"/>
      <c r="B17" s="309">
        <f>IF(T11="","",MROUND(T11*0.85,'Start-Options'!$B$38))</f>
        <v>92.5</v>
      </c>
      <c r="C17" s="147"/>
      <c r="D17" s="309">
        <f>IF(T10="","",MROUND(T10*0.85,'Start-Options'!$B$38))</f>
        <v>42.5</v>
      </c>
      <c r="E17" s="155"/>
      <c r="F17" s="27"/>
      <c r="G17" s="195"/>
      <c r="H17" s="309">
        <f>IF(T11="","",MROUND(T11*0.9,'Start-Options'!$B$38))</f>
        <v>100</v>
      </c>
      <c r="I17" s="152"/>
      <c r="J17" s="309">
        <f>IF(T10="","",MROUND(T10*0.9,'Start-Options'!$B$38))</f>
        <v>45</v>
      </c>
      <c r="K17" s="147"/>
      <c r="L17" s="27"/>
      <c r="M17" s="195"/>
      <c r="N17" s="309">
        <f>IF(T11="","",MROUND(T11*0.95,'Start-Options'!$B$38))</f>
        <v>105</v>
      </c>
      <c r="O17" s="155"/>
      <c r="P17" s="309">
        <f>IF(T10="","",MROUND(T10*0.95,'Start-Options'!$B$38))</f>
        <v>47.5</v>
      </c>
      <c r="Q17" s="206"/>
      <c r="R17" s="27"/>
      <c r="S17" s="77" t="s">
        <v>95</v>
      </c>
      <c r="T17" s="78" t="str">
        <f>IF(T16="","",MROUND(T16*0.4,'Start-Options'!$B$38))</f>
        <v/>
      </c>
      <c r="U17" s="27"/>
      <c r="V17" s="27"/>
      <c r="W17" s="27"/>
    </row>
    <row r="18" ht="12.75" customHeight="1">
      <c r="A18" s="299" t="s">
        <v>48</v>
      </c>
      <c r="B18" s="300" t="s">
        <v>371</v>
      </c>
      <c r="C18" s="301"/>
      <c r="D18" s="300" t="s">
        <v>372</v>
      </c>
      <c r="E18" s="301"/>
      <c r="F18" s="27"/>
      <c r="G18" s="197" t="s">
        <v>48</v>
      </c>
      <c r="H18" s="300" t="s">
        <v>371</v>
      </c>
      <c r="I18" s="302"/>
      <c r="J18" s="300" t="s">
        <v>372</v>
      </c>
      <c r="K18" s="301"/>
      <c r="L18" s="27"/>
      <c r="M18" s="197" t="s">
        <v>48</v>
      </c>
      <c r="N18" s="300" t="s">
        <v>371</v>
      </c>
      <c r="O18" s="301"/>
      <c r="P18" s="300" t="s">
        <v>372</v>
      </c>
      <c r="Q18" s="303"/>
      <c r="R18" s="27"/>
      <c r="S18" s="77" t="s">
        <v>96</v>
      </c>
      <c r="T18" s="78" t="str">
        <f>IF(T16="","",MROUND(T16*0.5,'Start-Options'!$B$38))</f>
        <v/>
      </c>
      <c r="U18" s="27"/>
      <c r="V18" s="27"/>
      <c r="W18" s="27"/>
    </row>
    <row r="19" ht="12.75" customHeight="1">
      <c r="A19" s="188"/>
      <c r="B19" s="304">
        <f>IF(T12="","",MROUND(T12*0.65,'Start-Options'!$B$38))</f>
        <v>45</v>
      </c>
      <c r="C19" s="78">
        <v>5.0</v>
      </c>
      <c r="D19" s="304">
        <f>IF(T13="","",MROUND(T13*0.55,'Start-Options'!$B$38))</f>
        <v>45</v>
      </c>
      <c r="E19" s="305">
        <v>5.0</v>
      </c>
      <c r="F19" s="27"/>
      <c r="G19" s="189"/>
      <c r="H19" s="304">
        <f>IF(T12="","",MROUND(T12*0.7,'Start-Options'!$B$38))</f>
        <v>50</v>
      </c>
      <c r="I19" s="27">
        <v>3.0</v>
      </c>
      <c r="J19" s="304">
        <f t="shared" ref="J19:J21" si="3">IF(D19="","",D19)</f>
        <v>45</v>
      </c>
      <c r="K19" s="305">
        <v>5.0</v>
      </c>
      <c r="L19" s="27"/>
      <c r="M19" s="189"/>
      <c r="N19" s="304">
        <f>IF(T12="","",MROUND(T12*0.75,'Start-Options'!$B$38))</f>
        <v>52.5</v>
      </c>
      <c r="O19" s="78">
        <v>5.0</v>
      </c>
      <c r="P19" s="304">
        <f t="shared" ref="P19:P21" si="4">IF(D19="","",D19)</f>
        <v>45</v>
      </c>
      <c r="Q19" s="306">
        <v>5.0</v>
      </c>
      <c r="R19" s="27"/>
      <c r="S19" s="82" t="s">
        <v>97</v>
      </c>
      <c r="T19" s="83" t="str">
        <f>IF(T16="","",MROUND(T16*0.6,'Start-Options'!$B$38))</f>
        <v/>
      </c>
      <c r="U19" s="27"/>
      <c r="V19" s="27"/>
      <c r="W19" s="27"/>
    </row>
    <row r="20" ht="12.75" customHeight="1">
      <c r="A20" s="188"/>
      <c r="B20" s="307">
        <f>IF(T12="","",MROUND(T12*0.75,'Start-Options'!$B$38))</f>
        <v>52.5</v>
      </c>
      <c r="C20" s="78">
        <v>5.0</v>
      </c>
      <c r="D20" s="307">
        <f>IF(T13="","",MROUND(T13*0.65,'Start-Options'!$B$38))</f>
        <v>52.5</v>
      </c>
      <c r="E20" s="308"/>
      <c r="F20" s="27"/>
      <c r="G20" s="189"/>
      <c r="H20" s="307">
        <f>IF(T12="","",MROUND(T12*0.8,'Start-Options'!$B$38))</f>
        <v>55</v>
      </c>
      <c r="I20" s="27">
        <v>3.0</v>
      </c>
      <c r="J20" s="307">
        <f t="shared" si="3"/>
        <v>52.5</v>
      </c>
      <c r="K20" s="308"/>
      <c r="L20" s="27"/>
      <c r="M20" s="189"/>
      <c r="N20" s="307">
        <f>IF(T12="","",MROUND(T12*0.85,'Start-Options'!$B$38))</f>
        <v>60</v>
      </c>
      <c r="O20" s="78">
        <v>3.0</v>
      </c>
      <c r="P20" s="307">
        <f t="shared" si="4"/>
        <v>52.5</v>
      </c>
      <c r="Q20" s="63"/>
      <c r="R20" s="27"/>
      <c r="S20" s="27"/>
      <c r="T20" s="27"/>
      <c r="U20" s="27"/>
      <c r="V20" s="27"/>
      <c r="W20" s="27"/>
    </row>
    <row r="21" ht="13.5" customHeight="1">
      <c r="A21" s="176"/>
      <c r="B21" s="27">
        <f>IF(T12="","",MROUND(T12*0.85,'Start-Options'!$B$38))</f>
        <v>60</v>
      </c>
      <c r="C21" s="312"/>
      <c r="D21" s="313">
        <f>IF(T13="","",MROUND(T13*0.75,'Start-Options'!$B$38))</f>
        <v>60</v>
      </c>
      <c r="E21" s="314"/>
      <c r="F21" s="158"/>
      <c r="G21" s="225"/>
      <c r="H21" s="313">
        <f>IF(T12="","",MROUND(T12*0.9,'Start-Options'!$B$38))</f>
        <v>62.5</v>
      </c>
      <c r="I21" s="312"/>
      <c r="J21" s="313">
        <f t="shared" si="3"/>
        <v>60</v>
      </c>
      <c r="K21" s="314"/>
      <c r="L21" s="158"/>
      <c r="M21" s="225"/>
      <c r="N21" s="313">
        <f>IF(T12="","",MROUND(T12*0.95,'Start-Options'!$B$38))</f>
        <v>67.5</v>
      </c>
      <c r="O21" s="312"/>
      <c r="P21" s="313">
        <f t="shared" si="4"/>
        <v>60</v>
      </c>
      <c r="Q21" s="66"/>
      <c r="R21" s="27"/>
      <c r="S21" s="27"/>
      <c r="T21" s="27"/>
      <c r="U21" s="27"/>
      <c r="V21" s="27"/>
      <c r="W21" s="27"/>
    </row>
    <row r="22" ht="12.75" customHeight="1">
      <c r="A22" s="27"/>
      <c r="B22" s="91"/>
      <c r="C22" s="27"/>
      <c r="D22" s="27"/>
      <c r="E22" s="27"/>
      <c r="F22" s="27"/>
      <c r="G22" s="27"/>
      <c r="H22" s="91"/>
      <c r="I22" s="27"/>
      <c r="J22" s="91"/>
      <c r="K22" s="27"/>
      <c r="L22" s="27"/>
      <c r="M22" s="27"/>
      <c r="N22" s="91"/>
      <c r="O22" s="27"/>
      <c r="P22" s="27"/>
      <c r="Q22" s="27"/>
      <c r="R22" s="27"/>
      <c r="S22" s="27"/>
      <c r="T22" s="27"/>
      <c r="U22" s="27"/>
      <c r="V22" s="27"/>
      <c r="W22" s="27"/>
    </row>
    <row r="23" ht="21.0" customHeight="1">
      <c r="A23" s="27"/>
      <c r="B23" s="27"/>
      <c r="C23" s="27"/>
      <c r="D23" s="27"/>
      <c r="E23" s="27"/>
      <c r="F23" s="27"/>
      <c r="G23" s="27"/>
      <c r="H23" s="27"/>
      <c r="I23" s="27"/>
      <c r="J23" s="169" t="s">
        <v>98</v>
      </c>
      <c r="L23" s="27"/>
      <c r="M23" s="27"/>
      <c r="N23" s="27"/>
      <c r="O23" s="27"/>
      <c r="P23" s="27"/>
      <c r="Q23" s="27"/>
      <c r="R23" s="27"/>
      <c r="S23" s="27"/>
      <c r="T23" s="27"/>
      <c r="U23" s="27"/>
      <c r="V23" s="27"/>
      <c r="W23" s="27"/>
    </row>
    <row r="24" ht="15.75" customHeight="1">
      <c r="A24" s="293" t="s">
        <v>373</v>
      </c>
      <c r="B24" s="60"/>
      <c r="C24" s="60"/>
      <c r="D24" s="60"/>
      <c r="E24" s="60"/>
      <c r="F24" s="91"/>
      <c r="G24" s="89" t="s">
        <v>374</v>
      </c>
      <c r="H24" s="60"/>
      <c r="I24" s="60"/>
      <c r="J24" s="60"/>
      <c r="K24" s="60"/>
      <c r="L24" s="91"/>
      <c r="M24" s="89" t="s">
        <v>375</v>
      </c>
      <c r="N24" s="60"/>
      <c r="O24" s="60"/>
      <c r="P24" s="60"/>
      <c r="Q24" s="61"/>
      <c r="R24" s="27"/>
      <c r="S24" s="27"/>
      <c r="T24" s="27"/>
      <c r="U24" s="27"/>
      <c r="V24" s="27"/>
      <c r="W24" s="27"/>
    </row>
    <row r="25" ht="25.5" customHeight="1">
      <c r="A25" s="294"/>
      <c r="B25" s="142" t="s">
        <v>26</v>
      </c>
      <c r="C25" s="295" t="s">
        <v>27</v>
      </c>
      <c r="D25" s="296" t="s">
        <v>26</v>
      </c>
      <c r="E25" s="295" t="s">
        <v>366</v>
      </c>
      <c r="F25" s="85"/>
      <c r="G25" s="297"/>
      <c r="H25" s="142" t="s">
        <v>26</v>
      </c>
      <c r="I25" s="296" t="s">
        <v>27</v>
      </c>
      <c r="J25" s="142" t="s">
        <v>26</v>
      </c>
      <c r="K25" s="295" t="s">
        <v>366</v>
      </c>
      <c r="L25" s="85"/>
      <c r="M25" s="297"/>
      <c r="N25" s="142" t="s">
        <v>26</v>
      </c>
      <c r="O25" s="295" t="s">
        <v>27</v>
      </c>
      <c r="P25" s="296" t="s">
        <v>26</v>
      </c>
      <c r="Q25" s="159" t="s">
        <v>366</v>
      </c>
      <c r="R25" s="27"/>
      <c r="S25" s="101" t="s">
        <v>103</v>
      </c>
      <c r="T25" s="71"/>
      <c r="U25" s="142" t="s">
        <v>104</v>
      </c>
      <c r="V25" s="143" t="s">
        <v>105</v>
      </c>
      <c r="W25" s="27"/>
    </row>
    <row r="26" ht="12.75" customHeight="1">
      <c r="A26" s="299" t="s">
        <v>36</v>
      </c>
      <c r="B26" s="300" t="s">
        <v>367</v>
      </c>
      <c r="C26" s="301"/>
      <c r="D26" s="300" t="s">
        <v>368</v>
      </c>
      <c r="E26" s="301"/>
      <c r="F26" s="27"/>
      <c r="G26" s="197" t="s">
        <v>36</v>
      </c>
      <c r="H26" s="300" t="s">
        <v>367</v>
      </c>
      <c r="I26" s="302"/>
      <c r="J26" s="300" t="s">
        <v>368</v>
      </c>
      <c r="K26" s="301"/>
      <c r="L26" s="27"/>
      <c r="M26" s="197" t="s">
        <v>36</v>
      </c>
      <c r="N26" s="300" t="s">
        <v>367</v>
      </c>
      <c r="O26" s="301"/>
      <c r="P26" s="300" t="s">
        <v>368</v>
      </c>
      <c r="Q26" s="303"/>
      <c r="R26" s="27"/>
      <c r="S26" s="37" t="str">
        <f>'Start-Options'!B4</f>
        <v>Military</v>
      </c>
      <c r="T26" s="106">
        <f>IF('Start-Options'!F4="","",'Start-Options'!F4+'Start-Options'!C32)</f>
        <v>52.5</v>
      </c>
      <c r="U26" s="36"/>
      <c r="V26" s="147"/>
      <c r="W26" s="27"/>
    </row>
    <row r="27" ht="12.75" customHeight="1">
      <c r="A27" s="188"/>
      <c r="B27" s="304">
        <f>IF(T29="","",MROUND(T29*0.65,'Start-Options'!$B$38))</f>
        <v>55</v>
      </c>
      <c r="C27" s="78">
        <v>5.0</v>
      </c>
      <c r="D27" s="304">
        <f>IF(T28="","",MROUND(T28*0.55,'Start-Options'!$B$38))</f>
        <v>40</v>
      </c>
      <c r="E27" s="305">
        <v>5.0</v>
      </c>
      <c r="F27" s="27"/>
      <c r="G27" s="189"/>
      <c r="H27" s="304">
        <f>IF(T29="","",MROUND(T29*0.7,'Start-Options'!$B$38))</f>
        <v>60</v>
      </c>
      <c r="I27" s="27">
        <v>3.0</v>
      </c>
      <c r="J27" s="304">
        <f t="shared" ref="J27:J29" si="5">IF(D27="","",D27)</f>
        <v>40</v>
      </c>
      <c r="K27" s="305">
        <v>5.0</v>
      </c>
      <c r="L27" s="27"/>
      <c r="M27" s="189"/>
      <c r="N27" s="304">
        <f>IF(T29="","",MROUND(T29*0.75,'Start-Options'!$B$38))</f>
        <v>65</v>
      </c>
      <c r="O27" s="78">
        <v>5.0</v>
      </c>
      <c r="P27" s="304">
        <f t="shared" ref="P27:P29" si="6">IF(D27="","",D27)</f>
        <v>40</v>
      </c>
      <c r="Q27" s="306">
        <v>5.0</v>
      </c>
      <c r="R27" s="27"/>
      <c r="S27" s="118" t="str">
        <f>'Start-Options'!B5</f>
        <v>Deadlift</v>
      </c>
      <c r="T27" s="114">
        <f>IF('Start-Options'!F5="","",'Start-Options'!F5+'Start-Options'!C33)</f>
        <v>115</v>
      </c>
      <c r="U27" s="151"/>
      <c r="V27" s="147"/>
      <c r="W27" s="27"/>
    </row>
    <row r="28" ht="12.75" customHeight="1">
      <c r="A28" s="188"/>
      <c r="B28" s="307">
        <f>IF(T29="","",MROUND(T29*0.75,'Start-Options'!$B$38))</f>
        <v>65</v>
      </c>
      <c r="C28" s="78">
        <v>5.0</v>
      </c>
      <c r="D28" s="307">
        <f>IF(T28="","",MROUND(T28*0.65,'Start-Options'!$B$38))</f>
        <v>47.5</v>
      </c>
      <c r="E28" s="308"/>
      <c r="F28" s="27"/>
      <c r="G28" s="189"/>
      <c r="H28" s="307">
        <f>IF(T29="","",MROUND(T29*0.8,'Start-Options'!$B$38))</f>
        <v>67.5</v>
      </c>
      <c r="I28" s="27">
        <v>3.0</v>
      </c>
      <c r="J28" s="307">
        <f t="shared" si="5"/>
        <v>47.5</v>
      </c>
      <c r="K28" s="308"/>
      <c r="L28" s="27"/>
      <c r="M28" s="189"/>
      <c r="N28" s="307">
        <f>IF(T29="","",MROUND(T29*0.85,'Start-Options'!$B$38))</f>
        <v>72.5</v>
      </c>
      <c r="O28" s="78">
        <v>3.0</v>
      </c>
      <c r="P28" s="307">
        <f t="shared" si="6"/>
        <v>47.5</v>
      </c>
      <c r="Q28" s="63"/>
      <c r="R28" s="27"/>
      <c r="S28" s="118" t="str">
        <f>'Start-Options'!B6</f>
        <v>Bench</v>
      </c>
      <c r="T28" s="114">
        <f>IF('Start-Options'!F6="","",'Start-Options'!F6+'Start-Options'!C34)</f>
        <v>72.5</v>
      </c>
      <c r="U28" s="151"/>
      <c r="V28" s="147"/>
      <c r="W28" s="27"/>
    </row>
    <row r="29" ht="12.75" customHeight="1">
      <c r="A29" s="194"/>
      <c r="B29" s="27">
        <f>IF(T29="","",MROUND(T29*0.85,'Start-Options'!$B$38))</f>
        <v>72.5</v>
      </c>
      <c r="C29" s="147"/>
      <c r="D29" s="309">
        <f>IF(T28="","",MROUND(T28*0.75,'Start-Options'!$B$38))</f>
        <v>55</v>
      </c>
      <c r="E29" s="292"/>
      <c r="F29" s="27"/>
      <c r="G29" s="195"/>
      <c r="H29" s="309">
        <f>IF(T29="","",MROUND(T29*0.9,'Start-Options'!$B$38))</f>
        <v>77.5</v>
      </c>
      <c r="I29" s="152"/>
      <c r="J29" s="309">
        <f t="shared" si="5"/>
        <v>55</v>
      </c>
      <c r="K29" s="292"/>
      <c r="L29" s="27"/>
      <c r="M29" s="195"/>
      <c r="N29" s="309">
        <f>IF(T29="","",MROUND(T29*0.95,'Start-Options'!$B$38))</f>
        <v>80</v>
      </c>
      <c r="O29" s="155"/>
      <c r="P29" s="309">
        <f t="shared" si="6"/>
        <v>55</v>
      </c>
      <c r="Q29" s="310"/>
      <c r="R29" s="27"/>
      <c r="S29" s="129" t="str">
        <f>'Start-Options'!B7</f>
        <v>Squat</v>
      </c>
      <c r="T29" s="123">
        <f>IF('Start-Options'!F7="","",'Start-Options'!F7+'Start-Options'!C35)</f>
        <v>85</v>
      </c>
      <c r="U29" s="154"/>
      <c r="V29" s="155"/>
      <c r="W29" s="27"/>
    </row>
    <row r="30" ht="12.75" customHeight="1">
      <c r="A30" s="311" t="s">
        <v>44</v>
      </c>
      <c r="B30" s="300" t="s">
        <v>369</v>
      </c>
      <c r="C30" s="301"/>
      <c r="D30" s="300" t="s">
        <v>370</v>
      </c>
      <c r="E30" s="301"/>
      <c r="F30" s="27"/>
      <c r="G30" s="197" t="s">
        <v>44</v>
      </c>
      <c r="H30" s="300" t="s">
        <v>369</v>
      </c>
      <c r="I30" s="302"/>
      <c r="J30" s="300" t="s">
        <v>370</v>
      </c>
      <c r="K30" s="301"/>
      <c r="L30" s="27"/>
      <c r="M30" s="197" t="s">
        <v>44</v>
      </c>
      <c r="N30" s="300" t="s">
        <v>369</v>
      </c>
      <c r="O30" s="301"/>
      <c r="P30" s="300" t="s">
        <v>370</v>
      </c>
      <c r="Q30" s="301"/>
      <c r="R30" s="27"/>
      <c r="S30" s="27"/>
      <c r="T30" s="27"/>
      <c r="U30" s="27"/>
      <c r="V30" s="27"/>
      <c r="W30" s="27"/>
    </row>
    <row r="31" ht="12.75" customHeight="1">
      <c r="A31" s="188"/>
      <c r="B31" s="304">
        <f>IF(T27="","",MROUND(T27*0.65,'Start-Options'!$B$38))</f>
        <v>75</v>
      </c>
      <c r="C31" s="78">
        <v>5.0</v>
      </c>
      <c r="D31" s="304">
        <f>IF(T26="","",MROUND(T26*0.65,'Start-Options'!$B$38))</f>
        <v>35</v>
      </c>
      <c r="E31" s="78">
        <v>5.0</v>
      </c>
      <c r="F31" s="27"/>
      <c r="G31" s="189"/>
      <c r="H31" s="304">
        <f>IF(T27="","",MROUND(T27*0.7,'Start-Options'!$B$38))</f>
        <v>80</v>
      </c>
      <c r="I31" s="27">
        <v>3.0</v>
      </c>
      <c r="J31" s="304">
        <f>IF(T26="","",MROUND(T26*0.7,'Start-Options'!$B$38))</f>
        <v>37.5</v>
      </c>
      <c r="K31" s="78">
        <v>3.0</v>
      </c>
      <c r="L31" s="27"/>
      <c r="M31" s="189"/>
      <c r="N31" s="304">
        <f>IF(T27="","",MROUND(T27*0.75,'Start-Options'!$B$38))</f>
        <v>87.5</v>
      </c>
      <c r="O31" s="78">
        <v>5.0</v>
      </c>
      <c r="P31" s="304">
        <f>IF(T26="","",MROUND(T26*0.75,'Start-Options'!$B$38))</f>
        <v>40</v>
      </c>
      <c r="Q31" s="209">
        <v>5.0</v>
      </c>
      <c r="R31" s="27"/>
      <c r="S31" s="70" t="s">
        <v>93</v>
      </c>
      <c r="T31" s="71"/>
      <c r="U31" s="27"/>
      <c r="V31" s="27"/>
      <c r="W31" s="27"/>
    </row>
    <row r="32" ht="12.75" customHeight="1">
      <c r="A32" s="188"/>
      <c r="B32" s="307">
        <f>IF(T27="","",MROUND(T27*0.75,'Start-Options'!$B$38))</f>
        <v>87.5</v>
      </c>
      <c r="C32" s="78">
        <v>5.0</v>
      </c>
      <c r="D32" s="307">
        <f>IF(T26="","",MROUND(T26*0.75,'Start-Options'!$B$38))</f>
        <v>40</v>
      </c>
      <c r="E32" s="78">
        <v>5.0</v>
      </c>
      <c r="F32" s="27"/>
      <c r="G32" s="189"/>
      <c r="H32" s="307">
        <f>IF(T27="","",MROUND(T27*0.8,'Start-Options'!$B$38))</f>
        <v>92.5</v>
      </c>
      <c r="I32" s="27">
        <v>3.0</v>
      </c>
      <c r="J32" s="307">
        <f>IF(T26="","",MROUND(T26*0.8,'Start-Options'!$B$38))</f>
        <v>42.5</v>
      </c>
      <c r="K32" s="78">
        <v>3.0</v>
      </c>
      <c r="L32" s="27"/>
      <c r="M32" s="189"/>
      <c r="N32" s="307">
        <f>IF(T27="","",MROUND(T27*0.85,'Start-Options'!$B$38))</f>
        <v>97.5</v>
      </c>
      <c r="O32" s="78">
        <v>3.0</v>
      </c>
      <c r="P32" s="307">
        <f>IF(T26="","",MROUND(T26*0.85,'Start-Options'!$B$38))</f>
        <v>45</v>
      </c>
      <c r="Q32" s="209">
        <v>3.0</v>
      </c>
      <c r="R32" s="27"/>
      <c r="S32" s="25" t="s">
        <v>94</v>
      </c>
      <c r="T32" s="162"/>
      <c r="U32" s="27"/>
      <c r="V32" s="27"/>
      <c r="W32" s="27"/>
    </row>
    <row r="33" ht="12.75" customHeight="1">
      <c r="A33" s="194"/>
      <c r="B33" s="309">
        <f>IF(T27="","",MROUND(T27*0.85,'Start-Options'!$B$38))</f>
        <v>97.5</v>
      </c>
      <c r="C33" s="147"/>
      <c r="D33" s="309">
        <f>IF(T26="","",MROUND(T26*0.85,'Start-Options'!$B$38))</f>
        <v>45</v>
      </c>
      <c r="E33" s="155"/>
      <c r="F33" s="27"/>
      <c r="G33" s="195"/>
      <c r="H33" s="309">
        <f>IF(T27="","",MROUND(T27*0.9,'Start-Options'!$B$38))</f>
        <v>102.5</v>
      </c>
      <c r="I33" s="152"/>
      <c r="J33" s="309">
        <f>IF(T26="","",MROUND(T26*0.9,'Start-Options'!$B$38))</f>
        <v>47.5</v>
      </c>
      <c r="K33" s="147"/>
      <c r="L33" s="27"/>
      <c r="M33" s="195"/>
      <c r="N33" s="309">
        <f>IF(T27="","",MROUND(T27*0.95,'Start-Options'!$B$38))</f>
        <v>110</v>
      </c>
      <c r="O33" s="155"/>
      <c r="P33" s="309">
        <f>IF(T26="","",MROUND(T26*0.95,'Start-Options'!$B$38))</f>
        <v>50</v>
      </c>
      <c r="Q33" s="206"/>
      <c r="R33" s="27"/>
      <c r="S33" s="77" t="s">
        <v>95</v>
      </c>
      <c r="T33" s="78" t="str">
        <f>IF(T32="","",MROUND(T32*0.4,'Start-Options'!$B$38))</f>
        <v/>
      </c>
      <c r="U33" s="27"/>
      <c r="V33" s="27"/>
      <c r="W33" s="27"/>
    </row>
    <row r="34" ht="12.75" customHeight="1">
      <c r="A34" s="299" t="s">
        <v>48</v>
      </c>
      <c r="B34" s="300" t="s">
        <v>371</v>
      </c>
      <c r="C34" s="301"/>
      <c r="D34" s="300" t="s">
        <v>372</v>
      </c>
      <c r="E34" s="301"/>
      <c r="F34" s="27"/>
      <c r="G34" s="197" t="s">
        <v>48</v>
      </c>
      <c r="H34" s="300" t="s">
        <v>371</v>
      </c>
      <c r="I34" s="302"/>
      <c r="J34" s="300" t="s">
        <v>372</v>
      </c>
      <c r="K34" s="301"/>
      <c r="L34" s="27"/>
      <c r="M34" s="197" t="s">
        <v>48</v>
      </c>
      <c r="N34" s="300" t="s">
        <v>371</v>
      </c>
      <c r="O34" s="301"/>
      <c r="P34" s="300" t="s">
        <v>372</v>
      </c>
      <c r="Q34" s="303"/>
      <c r="R34" s="27"/>
      <c r="S34" s="77" t="s">
        <v>96</v>
      </c>
      <c r="T34" s="78" t="str">
        <f>IF(T32="","",MROUND(T32*0.5,'Start-Options'!$B$38))</f>
        <v/>
      </c>
      <c r="U34" s="27"/>
      <c r="V34" s="27"/>
      <c r="W34" s="27"/>
    </row>
    <row r="35" ht="12.75" customHeight="1">
      <c r="A35" s="188"/>
      <c r="B35" s="304">
        <f>IF(T28="","",MROUND(T28*0.65,'Start-Options'!$B$38))</f>
        <v>47.5</v>
      </c>
      <c r="C35" s="78">
        <v>5.0</v>
      </c>
      <c r="D35" s="304">
        <f>IF(T29="","",MROUND(T29*0.55,'Start-Options'!$B$38))</f>
        <v>47.5</v>
      </c>
      <c r="E35" s="305">
        <v>5.0</v>
      </c>
      <c r="F35" s="27"/>
      <c r="G35" s="189"/>
      <c r="H35" s="304">
        <f>IF(T28="","",MROUND(T28*0.7,'Start-Options'!$B$38))</f>
        <v>50</v>
      </c>
      <c r="I35" s="27">
        <v>3.0</v>
      </c>
      <c r="J35" s="304">
        <f t="shared" ref="J35:J37" si="7">IF(D35="","",D35)</f>
        <v>47.5</v>
      </c>
      <c r="K35" s="305">
        <v>5.0</v>
      </c>
      <c r="L35" s="27"/>
      <c r="M35" s="189"/>
      <c r="N35" s="304">
        <f>IF(T28="","",MROUND(T28*0.75,'Start-Options'!$B$38))</f>
        <v>55</v>
      </c>
      <c r="O35" s="78">
        <v>5.0</v>
      </c>
      <c r="P35" s="304">
        <f t="shared" ref="P35:P37" si="8">IF(D35="","",D35)</f>
        <v>47.5</v>
      </c>
      <c r="Q35" s="306">
        <v>5.0</v>
      </c>
      <c r="R35" s="27"/>
      <c r="S35" s="82" t="s">
        <v>97</v>
      </c>
      <c r="T35" s="83" t="str">
        <f>IF(T32="","",MROUND(T32*0.6,'Start-Options'!$B$38))</f>
        <v/>
      </c>
      <c r="U35" s="27"/>
      <c r="V35" s="27"/>
      <c r="W35" s="27"/>
    </row>
    <row r="36" ht="12.75" customHeight="1">
      <c r="A36" s="188"/>
      <c r="B36" s="307">
        <f>IF(T28="","",MROUND(T28*0.75,'Start-Options'!$B$38))</f>
        <v>55</v>
      </c>
      <c r="C36" s="78">
        <v>5.0</v>
      </c>
      <c r="D36" s="307">
        <f>IF(T29="","",MROUND(T29*0.65,'Start-Options'!$B$38))</f>
        <v>55</v>
      </c>
      <c r="E36" s="308"/>
      <c r="F36" s="27"/>
      <c r="G36" s="189"/>
      <c r="H36" s="307">
        <f>IF(T28="","",MROUND(T28*0.8,'Start-Options'!$B$38))</f>
        <v>57.5</v>
      </c>
      <c r="I36" s="27">
        <v>3.0</v>
      </c>
      <c r="J36" s="307">
        <f t="shared" si="7"/>
        <v>55</v>
      </c>
      <c r="K36" s="308"/>
      <c r="L36" s="27"/>
      <c r="M36" s="189"/>
      <c r="N36" s="307">
        <f>IF(T28="","",MROUND(T28*0.85,'Start-Options'!$B$38))</f>
        <v>62.5</v>
      </c>
      <c r="O36" s="78">
        <v>3.0</v>
      </c>
      <c r="P36" s="307">
        <f t="shared" si="8"/>
        <v>55</v>
      </c>
      <c r="Q36" s="63"/>
      <c r="R36" s="27"/>
      <c r="S36" s="27"/>
      <c r="T36" s="27"/>
      <c r="U36" s="27"/>
      <c r="V36" s="27"/>
      <c r="W36" s="27"/>
    </row>
    <row r="37" ht="13.5" customHeight="1">
      <c r="A37" s="176"/>
      <c r="B37" s="226">
        <f>IF(T28="","",MROUND(T28*0.85,'Start-Options'!$B$38))</f>
        <v>62.5</v>
      </c>
      <c r="C37" s="312"/>
      <c r="D37" s="313">
        <f>IF(T29="","",MROUND(T29*0.75,'Start-Options'!$B$38))</f>
        <v>65</v>
      </c>
      <c r="E37" s="314"/>
      <c r="F37" s="158"/>
      <c r="G37" s="225"/>
      <c r="H37" s="313">
        <f>IF(T28="","",MROUND(T28*0.9,'Start-Options'!$B$38))</f>
        <v>65</v>
      </c>
      <c r="I37" s="312"/>
      <c r="J37" s="313">
        <f t="shared" si="7"/>
        <v>65</v>
      </c>
      <c r="K37" s="314"/>
      <c r="L37" s="158"/>
      <c r="M37" s="225"/>
      <c r="N37" s="313">
        <f>IF(T28="","",MROUND(T28*0.95,'Start-Options'!$B$38))</f>
        <v>70</v>
      </c>
      <c r="O37" s="312"/>
      <c r="P37" s="313">
        <f t="shared" si="8"/>
        <v>65</v>
      </c>
      <c r="Q37" s="66"/>
      <c r="R37" s="27"/>
      <c r="S37" s="27"/>
      <c r="T37" s="27"/>
      <c r="U37" s="27"/>
      <c r="V37" s="27"/>
      <c r="W37" s="27"/>
    </row>
    <row r="38" ht="12.75" customHeight="1">
      <c r="A38" s="27"/>
      <c r="B38" s="27"/>
      <c r="C38" s="27"/>
      <c r="D38" s="27"/>
      <c r="E38" s="27"/>
      <c r="F38" s="27"/>
      <c r="G38" s="27"/>
      <c r="H38" s="27"/>
      <c r="I38" s="27"/>
      <c r="J38" s="27"/>
      <c r="K38" s="27"/>
      <c r="L38" s="27"/>
      <c r="M38" s="27"/>
      <c r="N38" s="91"/>
      <c r="O38" s="27"/>
      <c r="P38" s="27"/>
      <c r="Q38" s="27"/>
      <c r="R38" s="27"/>
      <c r="S38" s="27"/>
      <c r="T38" s="27"/>
      <c r="U38" s="27"/>
      <c r="V38" s="27"/>
      <c r="W38" s="27"/>
    </row>
    <row r="39" ht="21.0" customHeight="1">
      <c r="A39" s="27"/>
      <c r="B39" s="27"/>
      <c r="C39" s="27"/>
      <c r="D39" s="27"/>
      <c r="E39" s="27"/>
      <c r="F39" s="27"/>
      <c r="G39" s="27"/>
      <c r="H39" s="27"/>
      <c r="I39" s="27"/>
      <c r="J39" s="169" t="s">
        <v>106</v>
      </c>
      <c r="L39" s="27"/>
      <c r="M39" s="27"/>
      <c r="N39" s="27"/>
      <c r="O39" s="27"/>
      <c r="P39" s="27"/>
      <c r="Q39" s="27"/>
      <c r="R39" s="27"/>
      <c r="S39" s="27"/>
      <c r="T39" s="27"/>
      <c r="U39" s="27"/>
      <c r="V39" s="27"/>
      <c r="W39" s="27"/>
    </row>
    <row r="40" ht="15.75" customHeight="1">
      <c r="A40" s="293" t="s">
        <v>376</v>
      </c>
      <c r="B40" s="60"/>
      <c r="C40" s="60"/>
      <c r="D40" s="60"/>
      <c r="E40" s="60"/>
      <c r="F40" s="91"/>
      <c r="G40" s="89" t="s">
        <v>377</v>
      </c>
      <c r="H40" s="60"/>
      <c r="I40" s="60"/>
      <c r="J40" s="60"/>
      <c r="K40" s="60"/>
      <c r="L40" s="91"/>
      <c r="M40" s="89" t="s">
        <v>378</v>
      </c>
      <c r="N40" s="60"/>
      <c r="O40" s="60"/>
      <c r="P40" s="60"/>
      <c r="Q40" s="61"/>
      <c r="R40" s="27"/>
      <c r="S40" s="27"/>
      <c r="T40" s="27"/>
      <c r="U40" s="27"/>
      <c r="V40" s="27"/>
      <c r="W40" s="27"/>
    </row>
    <row r="41" ht="25.5" customHeight="1">
      <c r="A41" s="294"/>
      <c r="B41" s="142" t="s">
        <v>26</v>
      </c>
      <c r="C41" s="295" t="s">
        <v>27</v>
      </c>
      <c r="D41" s="296" t="s">
        <v>26</v>
      </c>
      <c r="E41" s="295" t="s">
        <v>366</v>
      </c>
      <c r="F41" s="85"/>
      <c r="G41" s="297"/>
      <c r="H41" s="142" t="s">
        <v>26</v>
      </c>
      <c r="I41" s="296" t="s">
        <v>27</v>
      </c>
      <c r="J41" s="142" t="s">
        <v>26</v>
      </c>
      <c r="K41" s="295" t="s">
        <v>366</v>
      </c>
      <c r="L41" s="85"/>
      <c r="M41" s="297"/>
      <c r="N41" s="142" t="s">
        <v>26</v>
      </c>
      <c r="O41" s="295" t="s">
        <v>27</v>
      </c>
      <c r="P41" s="296" t="s">
        <v>26</v>
      </c>
      <c r="Q41" s="159" t="s">
        <v>366</v>
      </c>
      <c r="R41" s="27"/>
      <c r="S41" s="101" t="s">
        <v>111</v>
      </c>
      <c r="T41" s="71"/>
      <c r="U41" s="142" t="s">
        <v>104</v>
      </c>
      <c r="V41" s="143" t="s">
        <v>105</v>
      </c>
      <c r="W41" s="27"/>
    </row>
    <row r="42" ht="12.75" customHeight="1">
      <c r="A42" s="299" t="s">
        <v>36</v>
      </c>
      <c r="B42" s="300" t="s">
        <v>367</v>
      </c>
      <c r="C42" s="301"/>
      <c r="D42" s="300" t="s">
        <v>368</v>
      </c>
      <c r="E42" s="301"/>
      <c r="F42" s="27"/>
      <c r="G42" s="197" t="s">
        <v>36</v>
      </c>
      <c r="H42" s="300" t="s">
        <v>367</v>
      </c>
      <c r="I42" s="302"/>
      <c r="J42" s="300" t="s">
        <v>368</v>
      </c>
      <c r="K42" s="301"/>
      <c r="L42" s="27"/>
      <c r="M42" s="197" t="s">
        <v>36</v>
      </c>
      <c r="N42" s="300" t="s">
        <v>367</v>
      </c>
      <c r="O42" s="301"/>
      <c r="P42" s="300" t="s">
        <v>368</v>
      </c>
      <c r="Q42" s="303"/>
      <c r="R42" s="27"/>
      <c r="S42" s="37" t="str">
        <f>'Start-Options'!$B$4</f>
        <v>Military</v>
      </c>
      <c r="T42" s="106">
        <f>IF(T26="","",IF(ISTEXT(U26),T26-V26,T26+'Start-Options'!$C$32))</f>
        <v>55</v>
      </c>
      <c r="U42" s="36"/>
      <c r="V42" s="147"/>
      <c r="W42" s="27"/>
    </row>
    <row r="43" ht="12.75" customHeight="1">
      <c r="A43" s="188"/>
      <c r="B43" s="304">
        <f>IF(T45="","",MROUND(T45*0.65,'Start-Options'!$B$38))</f>
        <v>57.5</v>
      </c>
      <c r="C43" s="78">
        <v>5.0</v>
      </c>
      <c r="D43" s="304">
        <f>IF(T44="","",MROUND(T44*0.55,'Start-Options'!$B$38))</f>
        <v>42.5</v>
      </c>
      <c r="E43" s="305">
        <v>5.0</v>
      </c>
      <c r="F43" s="27"/>
      <c r="G43" s="189"/>
      <c r="H43" s="304">
        <f>IF(T45="","",MROUND(T45*0.7,'Start-Options'!$B$38))</f>
        <v>62.5</v>
      </c>
      <c r="I43" s="27">
        <v>3.0</v>
      </c>
      <c r="J43" s="304">
        <f t="shared" ref="J43:J45" si="9">IF(D43="","",D43)</f>
        <v>42.5</v>
      </c>
      <c r="K43" s="305">
        <v>5.0</v>
      </c>
      <c r="L43" s="27"/>
      <c r="M43" s="189"/>
      <c r="N43" s="304">
        <f>IF(T45="","",MROUND(T45*0.75,'Start-Options'!$B$38))</f>
        <v>67.5</v>
      </c>
      <c r="O43" s="78">
        <v>5.0</v>
      </c>
      <c r="P43" s="304">
        <f t="shared" ref="P43:P45" si="10">IF(D43="","",D43)</f>
        <v>42.5</v>
      </c>
      <c r="Q43" s="306">
        <v>5.0</v>
      </c>
      <c r="R43" s="27"/>
      <c r="S43" s="118" t="str">
        <f>'Start-Options'!$B$5</f>
        <v>Deadlift</v>
      </c>
      <c r="T43" s="114">
        <f>IF(T27="","",IF(ISTEXT(U27),T27-V27,T27+'Start-Options'!$C$33))</f>
        <v>120</v>
      </c>
      <c r="U43" s="151"/>
      <c r="V43" s="147"/>
      <c r="W43" s="27"/>
    </row>
    <row r="44" ht="12.75" customHeight="1">
      <c r="A44" s="188"/>
      <c r="B44" s="307">
        <f>IF(T45="","",MROUND(T45*0.75,'Start-Options'!$B$38))</f>
        <v>67.5</v>
      </c>
      <c r="C44" s="78">
        <v>5.0</v>
      </c>
      <c r="D44" s="307">
        <f>IF(T44="","",MROUND(T44*0.65,'Start-Options'!$B$38))</f>
        <v>50</v>
      </c>
      <c r="E44" s="308"/>
      <c r="F44" s="27"/>
      <c r="G44" s="189"/>
      <c r="H44" s="307">
        <f>IF(T45="","",MROUND(T45*0.8,'Start-Options'!$B$38))</f>
        <v>72.5</v>
      </c>
      <c r="I44" s="27">
        <v>3.0</v>
      </c>
      <c r="J44" s="307">
        <f t="shared" si="9"/>
        <v>50</v>
      </c>
      <c r="K44" s="308"/>
      <c r="L44" s="27"/>
      <c r="M44" s="189"/>
      <c r="N44" s="307">
        <f>IF(T45="","",MROUND(T45*0.85,'Start-Options'!$B$38))</f>
        <v>77.5</v>
      </c>
      <c r="O44" s="78">
        <v>3.0</v>
      </c>
      <c r="P44" s="307">
        <f t="shared" si="10"/>
        <v>50</v>
      </c>
      <c r="Q44" s="63"/>
      <c r="R44" s="27"/>
      <c r="S44" s="118" t="str">
        <f>'Start-Options'!$B$6</f>
        <v>Bench</v>
      </c>
      <c r="T44" s="118">
        <f>IF(T28="","",IF(ISTEXT(U28),T28-V28,T28+'Start-Options'!$C$34))</f>
        <v>75</v>
      </c>
      <c r="U44" s="151"/>
      <c r="V44" s="147"/>
      <c r="W44" s="27"/>
    </row>
    <row r="45" ht="12.75" customHeight="1">
      <c r="A45" s="194"/>
      <c r="B45" s="27">
        <f>IF(T45="","",MROUND(T45*0.85,'Start-Options'!$B$38))</f>
        <v>77.5</v>
      </c>
      <c r="C45" s="147"/>
      <c r="D45" s="309">
        <f>IF(T44="","",MROUND(T44*0.75,'Start-Options'!$B$38))</f>
        <v>57.5</v>
      </c>
      <c r="E45" s="292"/>
      <c r="F45" s="27"/>
      <c r="G45" s="195"/>
      <c r="H45" s="309">
        <f>IF(T45="","",MROUND(T45*0.9,'Start-Options'!$B$38))</f>
        <v>80</v>
      </c>
      <c r="I45" s="152"/>
      <c r="J45" s="309">
        <f t="shared" si="9"/>
        <v>57.5</v>
      </c>
      <c r="K45" s="292"/>
      <c r="L45" s="27"/>
      <c r="M45" s="195"/>
      <c r="N45" s="309">
        <f>IF(T45="","",MROUND(T45*0.95,'Start-Options'!$B$38))</f>
        <v>85</v>
      </c>
      <c r="O45" s="155"/>
      <c r="P45" s="309">
        <f t="shared" si="10"/>
        <v>57.5</v>
      </c>
      <c r="Q45" s="310"/>
      <c r="R45" s="27"/>
      <c r="S45" s="129" t="str">
        <f>'Start-Options'!$B$7</f>
        <v>Squat</v>
      </c>
      <c r="T45" s="129">
        <f>IF(T29="","",IF(ISTEXT(U29),T29-V29,T29+'Start-Options'!$C$35))</f>
        <v>90</v>
      </c>
      <c r="U45" s="154"/>
      <c r="V45" s="155"/>
      <c r="W45" s="27"/>
    </row>
    <row r="46" ht="12.75" customHeight="1">
      <c r="A46" s="311" t="s">
        <v>44</v>
      </c>
      <c r="B46" s="300" t="s">
        <v>369</v>
      </c>
      <c r="C46" s="301"/>
      <c r="D46" s="300" t="s">
        <v>379</v>
      </c>
      <c r="E46" s="301"/>
      <c r="F46" s="27"/>
      <c r="G46" s="197" t="s">
        <v>44</v>
      </c>
      <c r="H46" s="300" t="s">
        <v>369</v>
      </c>
      <c r="I46" s="302"/>
      <c r="J46" s="300" t="s">
        <v>379</v>
      </c>
      <c r="K46" s="301"/>
      <c r="L46" s="27"/>
      <c r="M46" s="197" t="s">
        <v>44</v>
      </c>
      <c r="N46" s="300" t="s">
        <v>369</v>
      </c>
      <c r="O46" s="301"/>
      <c r="P46" s="300" t="s">
        <v>379</v>
      </c>
      <c r="Q46" s="303"/>
      <c r="R46" s="27"/>
      <c r="S46" s="27"/>
      <c r="T46" s="27"/>
      <c r="U46" s="27"/>
      <c r="V46" s="27"/>
      <c r="W46" s="27"/>
    </row>
    <row r="47" ht="12.75" customHeight="1">
      <c r="A47" s="188"/>
      <c r="B47" s="304">
        <f>IF(T43="","",MROUND(T43*0.65,'Start-Options'!$B$38))</f>
        <v>77.5</v>
      </c>
      <c r="C47" s="78">
        <v>5.0</v>
      </c>
      <c r="D47" s="304">
        <f>IF(T42="","",MROUND(T42*0.65,'Start-Options'!$B$38))</f>
        <v>35</v>
      </c>
      <c r="E47" s="78">
        <v>5.0</v>
      </c>
      <c r="F47" s="27"/>
      <c r="G47" s="189"/>
      <c r="H47" s="304">
        <f>IF(T43="","",MROUND(T43*0.7,'Start-Options'!$B$38))</f>
        <v>85</v>
      </c>
      <c r="I47" s="27">
        <v>3.0</v>
      </c>
      <c r="J47" s="304">
        <f>IF(T42="","",MROUND(T42*0.7,'Start-Options'!$B$38))</f>
        <v>37.5</v>
      </c>
      <c r="K47" s="78">
        <v>3.0</v>
      </c>
      <c r="L47" s="27"/>
      <c r="M47" s="189"/>
      <c r="N47" s="304">
        <f>IF(T43="","",MROUND(T43*0.75,'Start-Options'!$B$38))</f>
        <v>90</v>
      </c>
      <c r="O47" s="78">
        <v>5.0</v>
      </c>
      <c r="P47" s="304">
        <f>IF(T42="","",MROUND(T42*0.75,'Start-Options'!$B$38))</f>
        <v>42.5</v>
      </c>
      <c r="Q47" s="209">
        <v>5.0</v>
      </c>
      <c r="R47" s="27"/>
      <c r="S47" s="70" t="s">
        <v>93</v>
      </c>
      <c r="T47" s="71"/>
      <c r="U47" s="27"/>
      <c r="V47" s="27"/>
      <c r="W47" s="27"/>
    </row>
    <row r="48" ht="12.75" customHeight="1">
      <c r="A48" s="188"/>
      <c r="B48" s="307">
        <f>IF(T43="","",MROUND(T43*0.75,'Start-Options'!$B$38))</f>
        <v>90</v>
      </c>
      <c r="C48" s="78">
        <v>5.0</v>
      </c>
      <c r="D48" s="307">
        <f>IF(T42="","",MROUND(T42*0.75,'Start-Options'!$B$38))</f>
        <v>42.5</v>
      </c>
      <c r="E48" s="78">
        <v>5.0</v>
      </c>
      <c r="F48" s="27"/>
      <c r="G48" s="189"/>
      <c r="H48" s="307">
        <f>IF(T43="","",MROUND(T43*0.8,'Start-Options'!$B$38))</f>
        <v>95</v>
      </c>
      <c r="I48" s="27">
        <v>3.0</v>
      </c>
      <c r="J48" s="307">
        <f>IF(T42="","",MROUND(T42*0.8,'Start-Options'!$B$38))</f>
        <v>45</v>
      </c>
      <c r="K48" s="78">
        <v>3.0</v>
      </c>
      <c r="L48" s="27"/>
      <c r="M48" s="189"/>
      <c r="N48" s="307">
        <f>IF(T43="","",MROUND(T43*0.85,'Start-Options'!$B$38))</f>
        <v>102.5</v>
      </c>
      <c r="O48" s="78">
        <v>3.0</v>
      </c>
      <c r="P48" s="307">
        <f>IF(T42="","",MROUND(T42*0.85,'Start-Options'!$B$38))</f>
        <v>47.5</v>
      </c>
      <c r="Q48" s="209">
        <v>3.0</v>
      </c>
      <c r="R48" s="27"/>
      <c r="S48" s="25" t="s">
        <v>94</v>
      </c>
      <c r="T48" s="162"/>
      <c r="U48" s="27"/>
      <c r="V48" s="27"/>
      <c r="W48" s="27"/>
    </row>
    <row r="49" ht="12.75" customHeight="1">
      <c r="A49" s="194"/>
      <c r="B49" s="309">
        <f>IF(T43="","",MROUND(T43*0.85,'Start-Options'!$B$38))</f>
        <v>102.5</v>
      </c>
      <c r="C49" s="147"/>
      <c r="D49" s="309">
        <f>IF(T42="","",MROUND(T42*0.85,'Start-Options'!$B$38))</f>
        <v>47.5</v>
      </c>
      <c r="E49" s="155"/>
      <c r="F49" s="27"/>
      <c r="G49" s="195"/>
      <c r="H49" s="309">
        <f>IF(T43="","",MROUND(T43*0.9,'Start-Options'!$B$38))</f>
        <v>107.5</v>
      </c>
      <c r="I49" s="152"/>
      <c r="J49" s="309">
        <f>IF(T42="","",MROUND(T42*0.9,'Start-Options'!$B$38))</f>
        <v>50</v>
      </c>
      <c r="K49" s="147"/>
      <c r="L49" s="27"/>
      <c r="M49" s="195"/>
      <c r="N49" s="309">
        <f>IF(T43="","",MROUND(T43*0.95,'Start-Options'!$B$38))</f>
        <v>115</v>
      </c>
      <c r="O49" s="155"/>
      <c r="P49" s="309">
        <f>IF(T42="","",MROUND(T42*0.95,'Start-Options'!$B$38))</f>
        <v>52.5</v>
      </c>
      <c r="Q49" s="206"/>
      <c r="R49" s="27"/>
      <c r="S49" s="77" t="s">
        <v>95</v>
      </c>
      <c r="T49" s="78" t="str">
        <f>IF(T48="","",MROUND(T48*0.4,'Start-Options'!$B$38))</f>
        <v/>
      </c>
      <c r="U49" s="27"/>
      <c r="V49" s="27"/>
      <c r="W49" s="27"/>
    </row>
    <row r="50" ht="12.75" customHeight="1">
      <c r="A50" s="299" t="s">
        <v>48</v>
      </c>
      <c r="B50" s="300" t="s">
        <v>371</v>
      </c>
      <c r="C50" s="301"/>
      <c r="D50" s="300" t="s">
        <v>372</v>
      </c>
      <c r="E50" s="301"/>
      <c r="F50" s="27"/>
      <c r="G50" s="197" t="s">
        <v>48</v>
      </c>
      <c r="H50" s="300" t="s">
        <v>371</v>
      </c>
      <c r="I50" s="302"/>
      <c r="J50" s="300" t="s">
        <v>372</v>
      </c>
      <c r="K50" s="301"/>
      <c r="L50" s="27"/>
      <c r="M50" s="197" t="s">
        <v>48</v>
      </c>
      <c r="N50" s="300" t="s">
        <v>371</v>
      </c>
      <c r="O50" s="301"/>
      <c r="P50" s="300" t="s">
        <v>372</v>
      </c>
      <c r="Q50" s="303"/>
      <c r="R50" s="27"/>
      <c r="S50" s="77" t="s">
        <v>96</v>
      </c>
      <c r="T50" s="78" t="str">
        <f>IF(T48="","",MROUND(T48*0.5,'Start-Options'!$B$38))</f>
        <v/>
      </c>
      <c r="U50" s="27"/>
      <c r="V50" s="27"/>
      <c r="W50" s="27"/>
    </row>
    <row r="51" ht="12.75" customHeight="1">
      <c r="A51" s="188"/>
      <c r="B51" s="304">
        <f>IF(T44="","",MROUND(T44*0.65,'Start-Options'!$B$38))</f>
        <v>50</v>
      </c>
      <c r="C51" s="78">
        <v>5.0</v>
      </c>
      <c r="D51" s="304">
        <f>IF(T45="","",MROUND(T45*0.55,'Start-Options'!$B$38))</f>
        <v>50</v>
      </c>
      <c r="E51" s="305">
        <v>5.0</v>
      </c>
      <c r="F51" s="27"/>
      <c r="G51" s="189"/>
      <c r="H51" s="304">
        <f>IF(T44="","",MROUND(T44*0.7,'Start-Options'!$B$38))</f>
        <v>52.5</v>
      </c>
      <c r="I51" s="27">
        <v>3.0</v>
      </c>
      <c r="J51" s="304">
        <f t="shared" ref="J51:J53" si="11">IF(D51="","",D51)</f>
        <v>50</v>
      </c>
      <c r="K51" s="305">
        <v>5.0</v>
      </c>
      <c r="L51" s="27"/>
      <c r="M51" s="189"/>
      <c r="N51" s="304">
        <f>IF(T44="","",MROUND(T44*0.75,'Start-Options'!$B$38))</f>
        <v>57.5</v>
      </c>
      <c r="O51" s="78">
        <v>5.0</v>
      </c>
      <c r="P51" s="304">
        <f t="shared" ref="P51:P53" si="12">IF(D51="","",D51)</f>
        <v>50</v>
      </c>
      <c r="Q51" s="306">
        <v>5.0</v>
      </c>
      <c r="R51" s="27"/>
      <c r="S51" s="82" t="s">
        <v>97</v>
      </c>
      <c r="T51" s="83" t="str">
        <f>IF(T48="","",MROUND(T48*0.6,'Start-Options'!$B$38))</f>
        <v/>
      </c>
      <c r="U51" s="27"/>
      <c r="V51" s="27"/>
      <c r="W51" s="27"/>
    </row>
    <row r="52" ht="12.75" customHeight="1">
      <c r="A52" s="188"/>
      <c r="B52" s="307">
        <f>IF(T44="","",MROUND(T44*0.75,'Start-Options'!$B$38))</f>
        <v>57.5</v>
      </c>
      <c r="C52" s="78">
        <v>5.0</v>
      </c>
      <c r="D52" s="307">
        <f>IF(T45="","",MROUND(T45*0.65,'Start-Options'!$B$38))</f>
        <v>57.5</v>
      </c>
      <c r="E52" s="308"/>
      <c r="F52" s="27"/>
      <c r="G52" s="189"/>
      <c r="H52" s="307">
        <f>IF(T44="","",MROUND(T44*0.8,'Start-Options'!$B$38))</f>
        <v>60</v>
      </c>
      <c r="I52" s="27">
        <v>3.0</v>
      </c>
      <c r="J52" s="307">
        <f t="shared" si="11"/>
        <v>57.5</v>
      </c>
      <c r="K52" s="308"/>
      <c r="L52" s="27"/>
      <c r="M52" s="189"/>
      <c r="N52" s="307">
        <f>IF(T44="","",MROUND(T44*0.85,'Start-Options'!$B$38))</f>
        <v>65</v>
      </c>
      <c r="O52" s="78">
        <v>3.0</v>
      </c>
      <c r="P52" s="307">
        <f t="shared" si="12"/>
        <v>57.5</v>
      </c>
      <c r="Q52" s="63"/>
      <c r="R52" s="27"/>
      <c r="S52" s="27"/>
      <c r="T52" s="27"/>
      <c r="U52" s="27"/>
      <c r="V52" s="27"/>
      <c r="W52" s="27"/>
    </row>
    <row r="53" ht="13.5" customHeight="1">
      <c r="A53" s="176"/>
      <c r="B53" s="27">
        <f>IF(T44="","",MROUND(T44*0.85,'Start-Options'!$B$38))</f>
        <v>65</v>
      </c>
      <c r="C53" s="312"/>
      <c r="D53" s="313">
        <f>IF(T45="","",MROUND(T45*0.75,'Start-Options'!$B$38))</f>
        <v>67.5</v>
      </c>
      <c r="E53" s="314"/>
      <c r="F53" s="158"/>
      <c r="G53" s="225"/>
      <c r="H53" s="313">
        <f>IF(T44="","",MROUND(T44*0.9,'Start-Options'!$B$38))</f>
        <v>67.5</v>
      </c>
      <c r="I53" s="312"/>
      <c r="J53" s="313">
        <f t="shared" si="11"/>
        <v>67.5</v>
      </c>
      <c r="K53" s="314"/>
      <c r="L53" s="158"/>
      <c r="M53" s="225"/>
      <c r="N53" s="313">
        <f>IF(T44="","",MROUND(T44*0.95,'Start-Options'!$B$38))</f>
        <v>72.5</v>
      </c>
      <c r="O53" s="312"/>
      <c r="P53" s="313">
        <f t="shared" si="12"/>
        <v>67.5</v>
      </c>
      <c r="Q53" s="66"/>
      <c r="R53" s="27"/>
      <c r="S53" s="27"/>
      <c r="T53" s="27"/>
      <c r="U53" s="27"/>
      <c r="V53" s="27"/>
      <c r="W53" s="27"/>
    </row>
    <row r="54" ht="12.75" customHeight="1">
      <c r="A54" s="27"/>
      <c r="B54" s="91"/>
      <c r="C54" s="27"/>
      <c r="D54" s="27"/>
      <c r="E54" s="27"/>
      <c r="F54" s="27"/>
      <c r="G54" s="27"/>
      <c r="H54" s="91"/>
      <c r="I54" s="27"/>
      <c r="J54" s="27"/>
      <c r="K54" s="27"/>
      <c r="L54" s="27"/>
      <c r="M54" s="27"/>
      <c r="N54" s="27"/>
      <c r="O54" s="27"/>
      <c r="P54" s="27"/>
      <c r="Q54" s="27"/>
      <c r="R54" s="27"/>
      <c r="S54" s="27"/>
      <c r="T54" s="27"/>
      <c r="U54" s="27"/>
      <c r="V54" s="27"/>
      <c r="W54" s="27"/>
    </row>
    <row r="55" ht="21.0" customHeight="1">
      <c r="A55" s="27"/>
      <c r="B55" s="27"/>
      <c r="C55" s="27"/>
      <c r="D55" s="27"/>
      <c r="E55" s="27"/>
      <c r="F55" s="27"/>
      <c r="G55" s="27"/>
      <c r="H55" s="27"/>
      <c r="I55" s="27"/>
      <c r="J55" s="169" t="s">
        <v>112</v>
      </c>
      <c r="L55" s="27"/>
      <c r="M55" s="27"/>
      <c r="N55" s="27"/>
      <c r="O55" s="27"/>
      <c r="P55" s="27"/>
      <c r="Q55" s="27"/>
      <c r="R55" s="27"/>
      <c r="S55" s="27"/>
      <c r="T55" s="27"/>
      <c r="U55" s="27"/>
      <c r="V55" s="27"/>
      <c r="W55" s="27"/>
    </row>
    <row r="56" ht="15.75" customHeight="1">
      <c r="A56" s="293" t="s">
        <v>380</v>
      </c>
      <c r="B56" s="60"/>
      <c r="C56" s="60"/>
      <c r="D56" s="60"/>
      <c r="E56" s="60"/>
      <c r="F56" s="91"/>
      <c r="G56" s="89" t="s">
        <v>381</v>
      </c>
      <c r="H56" s="60"/>
      <c r="I56" s="60"/>
      <c r="J56" s="60"/>
      <c r="K56" s="60"/>
      <c r="L56" s="91"/>
      <c r="M56" s="89" t="s">
        <v>382</v>
      </c>
      <c r="N56" s="60"/>
      <c r="O56" s="60"/>
      <c r="P56" s="60"/>
      <c r="Q56" s="61"/>
      <c r="R56" s="27"/>
      <c r="S56" s="27"/>
      <c r="T56" s="27"/>
      <c r="U56" s="27"/>
      <c r="V56" s="27"/>
      <c r="W56" s="27"/>
    </row>
    <row r="57" ht="25.5" customHeight="1">
      <c r="A57" s="294"/>
      <c r="B57" s="142" t="s">
        <v>26</v>
      </c>
      <c r="C57" s="295" t="s">
        <v>27</v>
      </c>
      <c r="D57" s="296" t="s">
        <v>26</v>
      </c>
      <c r="E57" s="295" t="s">
        <v>366</v>
      </c>
      <c r="F57" s="85"/>
      <c r="G57" s="297"/>
      <c r="H57" s="142" t="s">
        <v>26</v>
      </c>
      <c r="I57" s="296" t="s">
        <v>27</v>
      </c>
      <c r="J57" s="142" t="s">
        <v>26</v>
      </c>
      <c r="K57" s="295" t="s">
        <v>366</v>
      </c>
      <c r="L57" s="85"/>
      <c r="M57" s="297"/>
      <c r="N57" s="142" t="s">
        <v>26</v>
      </c>
      <c r="O57" s="295" t="s">
        <v>27</v>
      </c>
      <c r="P57" s="296" t="s">
        <v>26</v>
      </c>
      <c r="Q57" s="159" t="s">
        <v>366</v>
      </c>
      <c r="R57" s="27"/>
      <c r="S57" s="101" t="s">
        <v>117</v>
      </c>
      <c r="T57" s="71"/>
      <c r="U57" s="142" t="s">
        <v>104</v>
      </c>
      <c r="V57" s="143" t="s">
        <v>105</v>
      </c>
      <c r="W57" s="27"/>
    </row>
    <row r="58" ht="12.75" customHeight="1">
      <c r="A58" s="299" t="s">
        <v>36</v>
      </c>
      <c r="B58" s="300" t="s">
        <v>367</v>
      </c>
      <c r="C58" s="301"/>
      <c r="D58" s="300" t="s">
        <v>368</v>
      </c>
      <c r="E58" s="301"/>
      <c r="F58" s="27"/>
      <c r="G58" s="197" t="s">
        <v>36</v>
      </c>
      <c r="H58" s="300" t="s">
        <v>367</v>
      </c>
      <c r="I58" s="302"/>
      <c r="J58" s="300" t="s">
        <v>368</v>
      </c>
      <c r="K58" s="301"/>
      <c r="L58" s="27"/>
      <c r="M58" s="197" t="s">
        <v>36</v>
      </c>
      <c r="N58" s="300" t="s">
        <v>367</v>
      </c>
      <c r="O58" s="301"/>
      <c r="P58" s="300" t="s">
        <v>368</v>
      </c>
      <c r="Q58" s="303"/>
      <c r="R58" s="27"/>
      <c r="S58" s="37" t="str">
        <f>'Start-Options'!$B$4</f>
        <v>Military</v>
      </c>
      <c r="T58" s="106">
        <f>IF(T42="","",IF(ISTEXT(U42),T42-V42,T42+'Start-Options'!$C$32))</f>
        <v>57.5</v>
      </c>
      <c r="U58" s="36"/>
      <c r="V58" s="147"/>
      <c r="W58" s="27"/>
    </row>
    <row r="59" ht="12.75" customHeight="1">
      <c r="A59" s="188"/>
      <c r="B59" s="304">
        <f>IF(T61="","",MROUND(T61*0.65,'Start-Options'!$B$38))</f>
        <v>62.5</v>
      </c>
      <c r="C59" s="78">
        <v>5.0</v>
      </c>
      <c r="D59" s="304">
        <f>IF(T60="","",MROUND(T60*0.55,'Start-Options'!$B$38))</f>
        <v>42.5</v>
      </c>
      <c r="E59" s="305">
        <v>5.0</v>
      </c>
      <c r="F59" s="27"/>
      <c r="G59" s="189"/>
      <c r="H59" s="304">
        <f>IF(T61="","",MROUND(T61*0.7,'Start-Options'!$B$38))</f>
        <v>67.5</v>
      </c>
      <c r="I59" s="27">
        <v>3.0</v>
      </c>
      <c r="J59" s="304">
        <f t="shared" ref="J59:J61" si="13">IF(D59="","",D59)</f>
        <v>42.5</v>
      </c>
      <c r="K59" s="305">
        <v>5.0</v>
      </c>
      <c r="L59" s="27"/>
      <c r="M59" s="189"/>
      <c r="N59" s="304">
        <f>IF(T61="","",MROUND(T61*0.75,'Start-Options'!$B$38))</f>
        <v>72.5</v>
      </c>
      <c r="O59" s="78">
        <v>5.0</v>
      </c>
      <c r="P59" s="304">
        <f t="shared" ref="P59:P61" si="14">IF(D59="","",D59)</f>
        <v>42.5</v>
      </c>
      <c r="Q59" s="306">
        <v>5.0</v>
      </c>
      <c r="R59" s="27"/>
      <c r="S59" s="118" t="str">
        <f>'Start-Options'!$B$5</f>
        <v>Deadlift</v>
      </c>
      <c r="T59" s="114">
        <f>IF(T43="","",IF(ISTEXT(U43),T43-V43,T43+'Start-Options'!$C$33))</f>
        <v>125</v>
      </c>
      <c r="U59" s="151"/>
      <c r="V59" s="147"/>
      <c r="W59" s="27"/>
    </row>
    <row r="60" ht="12.75" customHeight="1">
      <c r="A60" s="188"/>
      <c r="B60" s="307">
        <f>IF(T61="","",MROUND(T61*0.75,'Start-Options'!$B$38))</f>
        <v>72.5</v>
      </c>
      <c r="C60" s="78">
        <v>5.0</v>
      </c>
      <c r="D60" s="307">
        <f>IF(T60="","",MROUND(T60*0.65,'Start-Options'!$B$38))</f>
        <v>50</v>
      </c>
      <c r="E60" s="308"/>
      <c r="F60" s="27"/>
      <c r="G60" s="189"/>
      <c r="H60" s="307">
        <f>IF(T61="","",MROUND(T61*0.8,'Start-Options'!$B$38))</f>
        <v>75</v>
      </c>
      <c r="I60" s="27">
        <v>3.0</v>
      </c>
      <c r="J60" s="307">
        <f t="shared" si="13"/>
        <v>50</v>
      </c>
      <c r="K60" s="308"/>
      <c r="L60" s="27"/>
      <c r="M60" s="189"/>
      <c r="N60" s="307">
        <f>IF(T61="","",MROUND(T61*0.85,'Start-Options'!$B$38))</f>
        <v>80</v>
      </c>
      <c r="O60" s="78">
        <v>3.0</v>
      </c>
      <c r="P60" s="307">
        <f t="shared" si="14"/>
        <v>50</v>
      </c>
      <c r="Q60" s="63"/>
      <c r="R60" s="27"/>
      <c r="S60" s="118" t="str">
        <f>'Start-Options'!$B$6</f>
        <v>Bench</v>
      </c>
      <c r="T60" s="118">
        <f>IF(T44="","",IF(ISTEXT(U44),T44-V44,T44+'Start-Options'!$C$34))</f>
        <v>77.5</v>
      </c>
      <c r="U60" s="151"/>
      <c r="V60" s="147"/>
      <c r="W60" s="27"/>
    </row>
    <row r="61" ht="12.75" customHeight="1">
      <c r="A61" s="194"/>
      <c r="B61" s="27">
        <f>IF(T61="","",MROUND(T61*0.85,'Start-Options'!$B$38))</f>
        <v>80</v>
      </c>
      <c r="C61" s="147"/>
      <c r="D61" s="309">
        <f>IF(T60="","",MROUND(T60*0.75,'Start-Options'!$B$38))</f>
        <v>57.5</v>
      </c>
      <c r="E61" s="292"/>
      <c r="F61" s="27"/>
      <c r="G61" s="195"/>
      <c r="H61" s="309">
        <f>IF(T61="","",MROUND(T61*0.9,'Start-Options'!$B$38))</f>
        <v>85</v>
      </c>
      <c r="I61" s="152"/>
      <c r="J61" s="309">
        <f t="shared" si="13"/>
        <v>57.5</v>
      </c>
      <c r="K61" s="292"/>
      <c r="L61" s="27"/>
      <c r="M61" s="195"/>
      <c r="N61" s="309">
        <f>IF(T61="","",MROUND(T61*0.95,'Start-Options'!$B$38))</f>
        <v>90</v>
      </c>
      <c r="O61" s="155"/>
      <c r="P61" s="309">
        <f t="shared" si="14"/>
        <v>57.5</v>
      </c>
      <c r="Q61" s="310"/>
      <c r="R61" s="27"/>
      <c r="S61" s="129" t="str">
        <f>'Start-Options'!$B$7</f>
        <v>Squat</v>
      </c>
      <c r="T61" s="129">
        <f>IF(T45="","",IF(ISTEXT(U45),T45-V45,T45+'Start-Options'!$C$35))</f>
        <v>95</v>
      </c>
      <c r="U61" s="154"/>
      <c r="V61" s="155"/>
      <c r="W61" s="27"/>
    </row>
    <row r="62" ht="12.75" customHeight="1">
      <c r="A62" s="311" t="s">
        <v>44</v>
      </c>
      <c r="B62" s="300" t="s">
        <v>369</v>
      </c>
      <c r="C62" s="301"/>
      <c r="D62" s="300" t="s">
        <v>370</v>
      </c>
      <c r="E62" s="301"/>
      <c r="F62" s="27"/>
      <c r="G62" s="197" t="s">
        <v>44</v>
      </c>
      <c r="H62" s="300" t="s">
        <v>369</v>
      </c>
      <c r="I62" s="302"/>
      <c r="J62" s="300" t="s">
        <v>370</v>
      </c>
      <c r="K62" s="301"/>
      <c r="L62" s="27"/>
      <c r="M62" s="197" t="s">
        <v>44</v>
      </c>
      <c r="N62" s="300" t="s">
        <v>369</v>
      </c>
      <c r="O62" s="301"/>
      <c r="P62" s="300" t="s">
        <v>370</v>
      </c>
      <c r="Q62" s="301"/>
      <c r="R62" s="27"/>
      <c r="S62" s="27"/>
      <c r="T62" s="27"/>
      <c r="U62" s="27"/>
      <c r="V62" s="27"/>
      <c r="W62" s="27"/>
    </row>
    <row r="63" ht="12.75" customHeight="1">
      <c r="A63" s="188"/>
      <c r="B63" s="304">
        <f>IF(T59="","",MROUND(T59*0.65,'Start-Options'!$B$38))</f>
        <v>82.5</v>
      </c>
      <c r="C63" s="78">
        <v>5.0</v>
      </c>
      <c r="D63" s="304">
        <f>IF(T58="","",MROUND(T58*0.65,'Start-Options'!$B$38))</f>
        <v>37.5</v>
      </c>
      <c r="E63" s="78">
        <v>5.0</v>
      </c>
      <c r="F63" s="27"/>
      <c r="G63" s="189"/>
      <c r="H63" s="304">
        <f>IF(T59="","",MROUND(T59*0.7,'Start-Options'!$B$38))</f>
        <v>87.5</v>
      </c>
      <c r="I63" s="27">
        <v>3.0</v>
      </c>
      <c r="J63" s="304">
        <f>IF(T58="","",MROUND(T58*0.7,'Start-Options'!$B$38))</f>
        <v>40</v>
      </c>
      <c r="K63" s="78">
        <v>3.0</v>
      </c>
      <c r="L63" s="27"/>
      <c r="M63" s="189"/>
      <c r="N63" s="304">
        <f>IF(T59="","",MROUND(T59*0.75,'Start-Options'!$B$38))</f>
        <v>95</v>
      </c>
      <c r="O63" s="78">
        <v>5.0</v>
      </c>
      <c r="P63" s="304">
        <f>IF(T58="","",MROUND(T58*0.75,'Start-Options'!$B$38))</f>
        <v>42.5</v>
      </c>
      <c r="Q63" s="209">
        <v>5.0</v>
      </c>
      <c r="R63" s="27"/>
      <c r="S63" s="70" t="s">
        <v>93</v>
      </c>
      <c r="T63" s="71"/>
      <c r="U63" s="27"/>
      <c r="V63" s="27"/>
      <c r="W63" s="27"/>
    </row>
    <row r="64" ht="12.75" customHeight="1">
      <c r="A64" s="188"/>
      <c r="B64" s="307">
        <f>IF(T59="","",MROUND(T59*0.75,'Start-Options'!$B$38))</f>
        <v>95</v>
      </c>
      <c r="C64" s="78">
        <v>5.0</v>
      </c>
      <c r="D64" s="307">
        <f>IF(T58="","",MROUND(T58*0.75,'Start-Options'!$B$38))</f>
        <v>42.5</v>
      </c>
      <c r="E64" s="78">
        <v>5.0</v>
      </c>
      <c r="F64" s="27"/>
      <c r="G64" s="189"/>
      <c r="H64" s="307">
        <f>IF(T59="","",MROUND(T59*0.8,'Start-Options'!$B$38))</f>
        <v>100</v>
      </c>
      <c r="I64" s="27">
        <v>3.0</v>
      </c>
      <c r="J64" s="307">
        <f>IF(T58="","",MROUND(T58*0.8,'Start-Options'!$B$38))</f>
        <v>45</v>
      </c>
      <c r="K64" s="78">
        <v>3.0</v>
      </c>
      <c r="L64" s="27"/>
      <c r="M64" s="189"/>
      <c r="N64" s="307">
        <f>IF(T59="","",MROUND(T59*0.85,'Start-Options'!$B$38))</f>
        <v>107.5</v>
      </c>
      <c r="O64" s="78">
        <v>3.0</v>
      </c>
      <c r="P64" s="307">
        <f>IF(T58="","",MROUND(T58*0.85,'Start-Options'!$B$38))</f>
        <v>50</v>
      </c>
      <c r="Q64" s="209">
        <v>3.0</v>
      </c>
      <c r="R64" s="27"/>
      <c r="S64" s="25" t="s">
        <v>94</v>
      </c>
      <c r="T64" s="162"/>
      <c r="U64" s="27"/>
      <c r="V64" s="27"/>
      <c r="W64" s="27"/>
    </row>
    <row r="65" ht="12.75" customHeight="1">
      <c r="A65" s="194"/>
      <c r="B65" s="309">
        <f>IF(T59="","",MROUND(T59*0.85,'Start-Options'!$B$38))</f>
        <v>107.5</v>
      </c>
      <c r="C65" s="147"/>
      <c r="D65" s="309">
        <f>IF(T58="","",MROUND(T58*0.85,'Start-Options'!$B$38))</f>
        <v>50</v>
      </c>
      <c r="E65" s="155"/>
      <c r="F65" s="27"/>
      <c r="G65" s="195"/>
      <c r="H65" s="309">
        <f>IF(T59="","",MROUND(T59*0.9,'Start-Options'!$B$38))</f>
        <v>112.5</v>
      </c>
      <c r="I65" s="152"/>
      <c r="J65" s="309">
        <f>IF(T58="","",MROUND(T58*0.9,'Start-Options'!$B$38))</f>
        <v>52.5</v>
      </c>
      <c r="K65" s="147"/>
      <c r="L65" s="27"/>
      <c r="M65" s="195"/>
      <c r="N65" s="309">
        <f>IF(T59="","",MROUND(T59*0.95,'Start-Options'!$B$38))</f>
        <v>120</v>
      </c>
      <c r="O65" s="155"/>
      <c r="P65" s="309">
        <f>IF(T58="","",MROUND(T58*0.95,'Start-Options'!$B$38))</f>
        <v>55</v>
      </c>
      <c r="Q65" s="206"/>
      <c r="R65" s="27"/>
      <c r="S65" s="77" t="s">
        <v>95</v>
      </c>
      <c r="T65" s="78" t="str">
        <f>IF(T64="","",MROUND(T64*0.4,'Start-Options'!$B$38))</f>
        <v/>
      </c>
      <c r="U65" s="27"/>
      <c r="V65" s="27"/>
      <c r="W65" s="27"/>
    </row>
    <row r="66" ht="12.75" customHeight="1">
      <c r="A66" s="299" t="s">
        <v>48</v>
      </c>
      <c r="B66" s="300" t="s">
        <v>371</v>
      </c>
      <c r="C66" s="301"/>
      <c r="D66" s="300" t="s">
        <v>372</v>
      </c>
      <c r="E66" s="301"/>
      <c r="F66" s="27"/>
      <c r="G66" s="197" t="s">
        <v>48</v>
      </c>
      <c r="H66" s="300" t="s">
        <v>371</v>
      </c>
      <c r="I66" s="302"/>
      <c r="J66" s="300" t="s">
        <v>372</v>
      </c>
      <c r="K66" s="301"/>
      <c r="L66" s="27"/>
      <c r="M66" s="197" t="s">
        <v>48</v>
      </c>
      <c r="N66" s="300" t="s">
        <v>371</v>
      </c>
      <c r="O66" s="301"/>
      <c r="P66" s="300" t="s">
        <v>372</v>
      </c>
      <c r="Q66" s="303"/>
      <c r="R66" s="27"/>
      <c r="S66" s="77" t="s">
        <v>96</v>
      </c>
      <c r="T66" s="78" t="str">
        <f>IF(T64="","",MROUND(T64*0.5,'Start-Options'!$B$38))</f>
        <v/>
      </c>
      <c r="U66" s="27"/>
      <c r="V66" s="27"/>
      <c r="W66" s="27"/>
    </row>
    <row r="67" ht="12.75" customHeight="1">
      <c r="A67" s="188"/>
      <c r="B67" s="304">
        <f>IF(T60="","",MROUND(T60*0.65,'Start-Options'!$B$38))</f>
        <v>50</v>
      </c>
      <c r="C67" s="78">
        <v>5.0</v>
      </c>
      <c r="D67" s="304">
        <f>IF(T61="","",MROUND(T61*0.55,'Start-Options'!$B$38))</f>
        <v>52.5</v>
      </c>
      <c r="E67" s="305">
        <v>5.0</v>
      </c>
      <c r="F67" s="27"/>
      <c r="G67" s="189"/>
      <c r="H67" s="304">
        <f>IF(T60="","",MROUND(T60*0.7,'Start-Options'!$B$38))</f>
        <v>55</v>
      </c>
      <c r="I67" s="27">
        <v>3.0</v>
      </c>
      <c r="J67" s="304">
        <f t="shared" ref="J67:J69" si="15">IF(D67="","",D67)</f>
        <v>52.5</v>
      </c>
      <c r="K67" s="305">
        <v>5.0</v>
      </c>
      <c r="L67" s="27"/>
      <c r="M67" s="189"/>
      <c r="N67" s="304">
        <f>IF(T60="","",MROUND(T60*0.75,'Start-Options'!$B$38))</f>
        <v>57.5</v>
      </c>
      <c r="O67" s="78">
        <v>5.0</v>
      </c>
      <c r="P67" s="304">
        <f t="shared" ref="P67:P69" si="16">IF(D67="","",D67)</f>
        <v>52.5</v>
      </c>
      <c r="Q67" s="306">
        <v>5.0</v>
      </c>
      <c r="R67" s="27"/>
      <c r="S67" s="82" t="s">
        <v>97</v>
      </c>
      <c r="T67" s="83" t="str">
        <f>IF(T64="","",MROUND(T64*0.6,'Start-Options'!$B$38))</f>
        <v/>
      </c>
      <c r="U67" s="27"/>
      <c r="V67" s="27"/>
      <c r="W67" s="27"/>
    </row>
    <row r="68" ht="12.75" customHeight="1">
      <c r="A68" s="188"/>
      <c r="B68" s="307">
        <f>IF(T60="","",MROUND(T60*0.75,'Start-Options'!$B$38))</f>
        <v>57.5</v>
      </c>
      <c r="C68" s="78">
        <v>5.0</v>
      </c>
      <c r="D68" s="307">
        <f>IF(T61="","",MROUND(T61*0.65,'Start-Options'!$B$38))</f>
        <v>62.5</v>
      </c>
      <c r="E68" s="308"/>
      <c r="F68" s="27"/>
      <c r="G68" s="189"/>
      <c r="H68" s="307">
        <f>IF(T60="","",MROUND(T60*0.8,'Start-Options'!$B$38))</f>
        <v>62.5</v>
      </c>
      <c r="I68" s="27">
        <v>3.0</v>
      </c>
      <c r="J68" s="307">
        <f t="shared" si="15"/>
        <v>62.5</v>
      </c>
      <c r="K68" s="308"/>
      <c r="L68" s="27"/>
      <c r="M68" s="189"/>
      <c r="N68" s="307">
        <f>IF(T60="","",MROUND(T60*0.85,'Start-Options'!$B$38))</f>
        <v>65</v>
      </c>
      <c r="O68" s="78">
        <v>3.0</v>
      </c>
      <c r="P68" s="307">
        <f t="shared" si="16"/>
        <v>62.5</v>
      </c>
      <c r="Q68" s="63"/>
      <c r="R68" s="27"/>
      <c r="S68" s="27"/>
      <c r="T68" s="27"/>
      <c r="U68" s="27"/>
      <c r="V68" s="27"/>
      <c r="W68" s="27"/>
    </row>
    <row r="69" ht="13.5" customHeight="1">
      <c r="A69" s="176"/>
      <c r="B69" s="27">
        <f>IF(T60="","",MROUND(T60*0.85,'Start-Options'!$B$38))</f>
        <v>65</v>
      </c>
      <c r="C69" s="312"/>
      <c r="D69" s="313">
        <f>IF(T61="","",MROUND(T61*0.75,'Start-Options'!$B$38))</f>
        <v>72.5</v>
      </c>
      <c r="E69" s="314"/>
      <c r="F69" s="158"/>
      <c r="G69" s="225"/>
      <c r="H69" s="313">
        <f>IF(T60="","",MROUND(T60*0.9,'Start-Options'!$B$38))</f>
        <v>70</v>
      </c>
      <c r="I69" s="312"/>
      <c r="J69" s="313">
        <f t="shared" si="15"/>
        <v>72.5</v>
      </c>
      <c r="K69" s="314"/>
      <c r="L69" s="158"/>
      <c r="M69" s="225"/>
      <c r="N69" s="313">
        <f>IF(T60="","",MROUND(T60*0.95,'Start-Options'!$B$38))</f>
        <v>72.5</v>
      </c>
      <c r="O69" s="312"/>
      <c r="P69" s="313">
        <f t="shared" si="16"/>
        <v>72.5</v>
      </c>
      <c r="Q69" s="66"/>
      <c r="R69" s="27"/>
      <c r="S69" s="27"/>
      <c r="T69" s="27"/>
      <c r="U69" s="27"/>
      <c r="V69" s="27"/>
      <c r="W69" s="27"/>
    </row>
    <row r="70" ht="12.75" customHeight="1">
      <c r="A70" s="27"/>
      <c r="B70" s="91"/>
      <c r="C70" s="27"/>
      <c r="D70" s="27"/>
      <c r="E70" s="27"/>
      <c r="F70" s="27"/>
      <c r="G70" s="27"/>
      <c r="H70" s="27"/>
      <c r="I70" s="27"/>
      <c r="J70" s="27"/>
      <c r="K70" s="27"/>
      <c r="L70" s="27"/>
      <c r="M70" s="27"/>
      <c r="N70" s="27"/>
      <c r="O70" s="27"/>
      <c r="P70" s="27"/>
      <c r="Q70" s="27"/>
      <c r="R70" s="27"/>
      <c r="S70" s="27"/>
      <c r="T70" s="27"/>
      <c r="U70" s="27"/>
      <c r="V70" s="27"/>
      <c r="W70" s="27"/>
    </row>
    <row r="71" ht="21.0" customHeight="1">
      <c r="A71" s="27"/>
      <c r="B71" s="27"/>
      <c r="C71" s="27"/>
      <c r="D71" s="27"/>
      <c r="E71" s="27"/>
      <c r="F71" s="27"/>
      <c r="G71" s="27"/>
      <c r="H71" s="27"/>
      <c r="I71" s="27"/>
      <c r="J71" s="169" t="s">
        <v>118</v>
      </c>
      <c r="L71" s="27"/>
      <c r="M71" s="27"/>
      <c r="N71" s="27"/>
      <c r="O71" s="27"/>
      <c r="P71" s="27"/>
      <c r="Q71" s="27"/>
      <c r="R71" s="27"/>
      <c r="S71" s="27"/>
      <c r="T71" s="27"/>
      <c r="U71" s="27"/>
      <c r="V71" s="27"/>
      <c r="W71" s="27"/>
    </row>
    <row r="72" ht="15.75" customHeight="1">
      <c r="A72" s="293" t="s">
        <v>383</v>
      </c>
      <c r="B72" s="60"/>
      <c r="C72" s="60"/>
      <c r="D72" s="60"/>
      <c r="E72" s="60"/>
      <c r="F72" s="91"/>
      <c r="G72" s="89" t="s">
        <v>384</v>
      </c>
      <c r="H72" s="60"/>
      <c r="I72" s="60"/>
      <c r="J72" s="60"/>
      <c r="K72" s="60"/>
      <c r="L72" s="91"/>
      <c r="M72" s="89" t="s">
        <v>385</v>
      </c>
      <c r="N72" s="60"/>
      <c r="O72" s="60"/>
      <c r="P72" s="60"/>
      <c r="Q72" s="61"/>
      <c r="R72" s="27"/>
      <c r="S72" s="27"/>
      <c r="T72" s="27"/>
      <c r="U72" s="27"/>
      <c r="V72" s="27"/>
      <c r="W72" s="27"/>
    </row>
    <row r="73" ht="25.5" customHeight="1">
      <c r="A73" s="294"/>
      <c r="B73" s="142" t="s">
        <v>26</v>
      </c>
      <c r="C73" s="295" t="s">
        <v>27</v>
      </c>
      <c r="D73" s="296" t="s">
        <v>26</v>
      </c>
      <c r="E73" s="295" t="s">
        <v>366</v>
      </c>
      <c r="F73" s="85"/>
      <c r="G73" s="297"/>
      <c r="H73" s="142" t="s">
        <v>26</v>
      </c>
      <c r="I73" s="296" t="s">
        <v>27</v>
      </c>
      <c r="J73" s="142" t="s">
        <v>26</v>
      </c>
      <c r="K73" s="295" t="s">
        <v>366</v>
      </c>
      <c r="L73" s="85"/>
      <c r="M73" s="297"/>
      <c r="N73" s="142" t="s">
        <v>26</v>
      </c>
      <c r="O73" s="295" t="s">
        <v>27</v>
      </c>
      <c r="P73" s="296" t="s">
        <v>26</v>
      </c>
      <c r="Q73" s="159" t="s">
        <v>366</v>
      </c>
      <c r="R73" s="27"/>
      <c r="S73" s="101" t="s">
        <v>123</v>
      </c>
      <c r="T73" s="71"/>
      <c r="U73" s="142" t="s">
        <v>104</v>
      </c>
      <c r="V73" s="143" t="s">
        <v>105</v>
      </c>
      <c r="W73" s="27"/>
    </row>
    <row r="74" ht="12.75" customHeight="1">
      <c r="A74" s="299" t="s">
        <v>36</v>
      </c>
      <c r="B74" s="300" t="s">
        <v>367</v>
      </c>
      <c r="C74" s="301"/>
      <c r="D74" s="300" t="s">
        <v>368</v>
      </c>
      <c r="E74" s="301"/>
      <c r="F74" s="27"/>
      <c r="G74" s="197" t="s">
        <v>36</v>
      </c>
      <c r="H74" s="300" t="s">
        <v>367</v>
      </c>
      <c r="I74" s="302"/>
      <c r="J74" s="300" t="s">
        <v>368</v>
      </c>
      <c r="K74" s="301"/>
      <c r="L74" s="27"/>
      <c r="M74" s="197" t="s">
        <v>36</v>
      </c>
      <c r="N74" s="300" t="s">
        <v>367</v>
      </c>
      <c r="O74" s="301"/>
      <c r="P74" s="300" t="s">
        <v>368</v>
      </c>
      <c r="Q74" s="303"/>
      <c r="R74" s="27"/>
      <c r="S74" s="37" t="str">
        <f>'Start-Options'!$B$4</f>
        <v>Military</v>
      </c>
      <c r="T74" s="106">
        <f>IF(T58="","",IF(ISTEXT(U58),T58-V58,T58+'Start-Options'!$C$32))</f>
        <v>60</v>
      </c>
      <c r="U74" s="36"/>
      <c r="V74" s="147"/>
      <c r="W74" s="27"/>
    </row>
    <row r="75" ht="12.75" customHeight="1">
      <c r="A75" s="188"/>
      <c r="B75" s="304">
        <f>IF(T77="","",MROUND(T77*0.65,'Start-Options'!$B$38))</f>
        <v>65</v>
      </c>
      <c r="C75" s="78">
        <v>5.0</v>
      </c>
      <c r="D75" s="304">
        <f>IF(T76="","",MROUND(T76*0.55,'Start-Options'!$B$38))</f>
        <v>45</v>
      </c>
      <c r="E75" s="305">
        <v>5.0</v>
      </c>
      <c r="F75" s="27"/>
      <c r="G75" s="189"/>
      <c r="H75" s="304">
        <f>IF(T77="","",MROUND(T77*0.7,'Start-Options'!$B$38))</f>
        <v>70</v>
      </c>
      <c r="I75" s="27">
        <v>3.0</v>
      </c>
      <c r="J75" s="304">
        <f t="shared" ref="J75:J77" si="17">IF(D75="","",D75)</f>
        <v>45</v>
      </c>
      <c r="K75" s="305">
        <v>5.0</v>
      </c>
      <c r="L75" s="27"/>
      <c r="M75" s="189"/>
      <c r="N75" s="304">
        <f>IF(T77="","",MROUND(T77*0.75,'Start-Options'!$B$38))</f>
        <v>75</v>
      </c>
      <c r="O75" s="78">
        <v>5.0</v>
      </c>
      <c r="P75" s="304">
        <f t="shared" ref="P75:P77" si="18">IF(D75="","",D75)</f>
        <v>45</v>
      </c>
      <c r="Q75" s="306">
        <v>5.0</v>
      </c>
      <c r="R75" s="27"/>
      <c r="S75" s="118" t="str">
        <f>'Start-Options'!$B$5</f>
        <v>Deadlift</v>
      </c>
      <c r="T75" s="114">
        <f>IF(T59="","",IF(ISTEXT(U59),T59-V59,T59+'Start-Options'!$C$33))</f>
        <v>130</v>
      </c>
      <c r="U75" s="151"/>
      <c r="V75" s="147"/>
      <c r="W75" s="27"/>
    </row>
    <row r="76" ht="12.75" customHeight="1">
      <c r="A76" s="188"/>
      <c r="B76" s="307">
        <f>IF(T77="","",MROUND(T77*0.75,'Start-Options'!$B$38))</f>
        <v>75</v>
      </c>
      <c r="C76" s="78">
        <v>5.0</v>
      </c>
      <c r="D76" s="307">
        <f>IF(T76="","",MROUND(T76*0.65,'Start-Options'!$B$38))</f>
        <v>52.5</v>
      </c>
      <c r="E76" s="308"/>
      <c r="F76" s="27"/>
      <c r="G76" s="189"/>
      <c r="H76" s="307">
        <f>IF(T77="","",MROUND(T77*0.8,'Start-Options'!$B$38))</f>
        <v>80</v>
      </c>
      <c r="I76" s="27">
        <v>3.0</v>
      </c>
      <c r="J76" s="307">
        <f t="shared" si="17"/>
        <v>52.5</v>
      </c>
      <c r="K76" s="308"/>
      <c r="L76" s="27"/>
      <c r="M76" s="189"/>
      <c r="N76" s="307">
        <f>IF(T77="","",MROUND(T77*0.85,'Start-Options'!$B$38))</f>
        <v>85</v>
      </c>
      <c r="O76" s="78">
        <v>3.0</v>
      </c>
      <c r="P76" s="307">
        <f t="shared" si="18"/>
        <v>52.5</v>
      </c>
      <c r="Q76" s="63"/>
      <c r="R76" s="27"/>
      <c r="S76" s="118" t="str">
        <f>'Start-Options'!$B$6</f>
        <v>Bench</v>
      </c>
      <c r="T76" s="118">
        <f>IF(T60="","",IF(ISTEXT(U60),T60-V60,T60+'Start-Options'!$C$34))</f>
        <v>80</v>
      </c>
      <c r="U76" s="151"/>
      <c r="V76" s="147"/>
      <c r="W76" s="27"/>
    </row>
    <row r="77" ht="12.75" customHeight="1">
      <c r="A77" s="194"/>
      <c r="B77" s="27">
        <f>IF(T77="","",MROUND(T77*0.85,'Start-Options'!$B$38))</f>
        <v>85</v>
      </c>
      <c r="C77" s="147"/>
      <c r="D77" s="309">
        <f>IF(T76="","",MROUND(T76*0.75,'Start-Options'!$B$38))</f>
        <v>60</v>
      </c>
      <c r="E77" s="292"/>
      <c r="F77" s="27"/>
      <c r="G77" s="195"/>
      <c r="H77" s="309">
        <f>IF(T77="","",MROUND(T77*0.9,'Start-Options'!$B$38))</f>
        <v>90</v>
      </c>
      <c r="I77" s="152"/>
      <c r="J77" s="309">
        <f t="shared" si="17"/>
        <v>60</v>
      </c>
      <c r="K77" s="292"/>
      <c r="L77" s="27"/>
      <c r="M77" s="195"/>
      <c r="N77" s="309">
        <f>IF(T77="","",MROUND(T77*0.95,'Start-Options'!$B$38))</f>
        <v>95</v>
      </c>
      <c r="O77" s="155"/>
      <c r="P77" s="309">
        <f t="shared" si="18"/>
        <v>60</v>
      </c>
      <c r="Q77" s="310"/>
      <c r="R77" s="27"/>
      <c r="S77" s="129" t="str">
        <f>'Start-Options'!$B$7</f>
        <v>Squat</v>
      </c>
      <c r="T77" s="129">
        <f>IF(T61="","",IF(ISTEXT(U61),T61-V61,T61+'Start-Options'!$C$35))</f>
        <v>100</v>
      </c>
      <c r="U77" s="154"/>
      <c r="V77" s="155"/>
      <c r="W77" s="27"/>
    </row>
    <row r="78" ht="12.75" customHeight="1">
      <c r="A78" s="311" t="s">
        <v>44</v>
      </c>
      <c r="B78" s="300" t="s">
        <v>369</v>
      </c>
      <c r="C78" s="301"/>
      <c r="D78" s="300" t="s">
        <v>370</v>
      </c>
      <c r="E78" s="301"/>
      <c r="F78" s="27"/>
      <c r="G78" s="197" t="s">
        <v>44</v>
      </c>
      <c r="H78" s="300" t="s">
        <v>369</v>
      </c>
      <c r="I78" s="302"/>
      <c r="J78" s="300" t="s">
        <v>370</v>
      </c>
      <c r="K78" s="301"/>
      <c r="L78" s="27"/>
      <c r="M78" s="197" t="s">
        <v>44</v>
      </c>
      <c r="N78" s="300" t="s">
        <v>369</v>
      </c>
      <c r="O78" s="301"/>
      <c r="P78" s="300" t="s">
        <v>370</v>
      </c>
      <c r="Q78" s="301"/>
      <c r="R78" s="27"/>
      <c r="S78" s="27"/>
      <c r="T78" s="27"/>
      <c r="U78" s="27"/>
      <c r="V78" s="27"/>
      <c r="W78" s="27"/>
    </row>
    <row r="79" ht="12.75" customHeight="1">
      <c r="A79" s="188"/>
      <c r="B79" s="304">
        <f>IF(T75="","",MROUND(T75*0.65,'Start-Options'!$B$38))</f>
        <v>85</v>
      </c>
      <c r="C79" s="78">
        <v>5.0</v>
      </c>
      <c r="D79" s="304">
        <f>IF(T74="","",MROUND(T74*0.65,'Start-Options'!$B$38))</f>
        <v>40</v>
      </c>
      <c r="E79" s="78">
        <v>5.0</v>
      </c>
      <c r="F79" s="27"/>
      <c r="G79" s="189"/>
      <c r="H79" s="304">
        <f>IF(T75="","",MROUND(T75*0.7,'Start-Options'!$B$38))</f>
        <v>90</v>
      </c>
      <c r="I79" s="27">
        <v>3.0</v>
      </c>
      <c r="J79" s="304">
        <f>IF(T74="","",MROUND(T74*0.7,'Start-Options'!$B$38))</f>
        <v>42.5</v>
      </c>
      <c r="K79" s="78">
        <v>3.0</v>
      </c>
      <c r="L79" s="27"/>
      <c r="M79" s="189"/>
      <c r="N79" s="304">
        <f>IF(T75="","",MROUND(T75*0.75,'Start-Options'!$B$38))</f>
        <v>97.5</v>
      </c>
      <c r="O79" s="78">
        <v>5.0</v>
      </c>
      <c r="P79" s="304">
        <f>IF(T74="","",MROUND(T74*0.75,'Start-Options'!$B$38))</f>
        <v>45</v>
      </c>
      <c r="Q79" s="209">
        <v>5.0</v>
      </c>
      <c r="R79" s="27"/>
      <c r="S79" s="70" t="s">
        <v>93</v>
      </c>
      <c r="T79" s="71"/>
      <c r="U79" s="27"/>
      <c r="V79" s="27"/>
      <c r="W79" s="27"/>
    </row>
    <row r="80" ht="12.75" customHeight="1">
      <c r="A80" s="188"/>
      <c r="B80" s="307">
        <f>IF(T75="","",MROUND(T75*0.75,'Start-Options'!$B$38))</f>
        <v>97.5</v>
      </c>
      <c r="C80" s="78">
        <v>5.0</v>
      </c>
      <c r="D80" s="307">
        <f>IF(T74="","",MROUND(T74*0.75,'Start-Options'!$B$38))</f>
        <v>45</v>
      </c>
      <c r="E80" s="78">
        <v>5.0</v>
      </c>
      <c r="F80" s="27"/>
      <c r="G80" s="189"/>
      <c r="H80" s="307">
        <f>IF(T75="","",MROUND(T75*0.8,'Start-Options'!$B$38))</f>
        <v>105</v>
      </c>
      <c r="I80" s="27">
        <v>3.0</v>
      </c>
      <c r="J80" s="307">
        <f>IF(T74="","",MROUND(T74*0.8,'Start-Options'!$B$38))</f>
        <v>47.5</v>
      </c>
      <c r="K80" s="78">
        <v>3.0</v>
      </c>
      <c r="L80" s="27"/>
      <c r="M80" s="189"/>
      <c r="N80" s="307">
        <f>IF(T75="","",MROUND(T75*0.85,'Start-Options'!$B$38))</f>
        <v>110</v>
      </c>
      <c r="O80" s="78">
        <v>3.0</v>
      </c>
      <c r="P80" s="307">
        <f>IF(T74="","",MROUND(T74*0.85,'Start-Options'!$B$38))</f>
        <v>50</v>
      </c>
      <c r="Q80" s="209">
        <v>3.0</v>
      </c>
      <c r="R80" s="27"/>
      <c r="S80" s="25" t="s">
        <v>94</v>
      </c>
      <c r="T80" s="162"/>
      <c r="U80" s="27"/>
      <c r="V80" s="27"/>
      <c r="W80" s="27"/>
    </row>
    <row r="81" ht="12.75" customHeight="1">
      <c r="A81" s="194"/>
      <c r="B81" s="309">
        <f>IF(T75="","",MROUND(T75*0.85,'Start-Options'!$B$38))</f>
        <v>110</v>
      </c>
      <c r="C81" s="147"/>
      <c r="D81" s="309">
        <f>IF(T74="","",MROUND(T74*0.85,'Start-Options'!$B$38))</f>
        <v>50</v>
      </c>
      <c r="E81" s="155"/>
      <c r="F81" s="27"/>
      <c r="G81" s="195"/>
      <c r="H81" s="309">
        <f>IF(T75="","",MROUND(T75*0.9,'Start-Options'!$B$38))</f>
        <v>117.5</v>
      </c>
      <c r="I81" s="152"/>
      <c r="J81" s="309">
        <f>IF(T74="","",MROUND(T74*0.9,'Start-Options'!$B$38))</f>
        <v>55</v>
      </c>
      <c r="K81" s="147"/>
      <c r="L81" s="27"/>
      <c r="M81" s="195"/>
      <c r="N81" s="309">
        <f>IF(T75="","",MROUND(T75*0.95,'Start-Options'!$B$38))</f>
        <v>122.5</v>
      </c>
      <c r="O81" s="155"/>
      <c r="P81" s="309">
        <f>IF(T74="","",MROUND(T74*0.95,'Start-Options'!$B$38))</f>
        <v>57.5</v>
      </c>
      <c r="Q81" s="206"/>
      <c r="R81" s="27"/>
      <c r="S81" s="77" t="s">
        <v>95</v>
      </c>
      <c r="T81" s="78" t="str">
        <f>IF(T80="","",MROUND(T80*0.4,'Start-Options'!$B$38))</f>
        <v/>
      </c>
      <c r="U81" s="27"/>
      <c r="V81" s="27"/>
      <c r="W81" s="27"/>
    </row>
    <row r="82" ht="12.75" customHeight="1">
      <c r="A82" s="299" t="s">
        <v>48</v>
      </c>
      <c r="B82" s="300" t="s">
        <v>371</v>
      </c>
      <c r="C82" s="301"/>
      <c r="D82" s="300" t="s">
        <v>372</v>
      </c>
      <c r="E82" s="301"/>
      <c r="F82" s="27"/>
      <c r="G82" s="197" t="s">
        <v>48</v>
      </c>
      <c r="H82" s="300" t="s">
        <v>371</v>
      </c>
      <c r="I82" s="302"/>
      <c r="J82" s="300" t="s">
        <v>372</v>
      </c>
      <c r="K82" s="301"/>
      <c r="L82" s="27"/>
      <c r="M82" s="197" t="s">
        <v>48</v>
      </c>
      <c r="N82" s="300" t="s">
        <v>371</v>
      </c>
      <c r="O82" s="301"/>
      <c r="P82" s="300" t="s">
        <v>372</v>
      </c>
      <c r="Q82" s="303"/>
      <c r="R82" s="27"/>
      <c r="S82" s="77" t="s">
        <v>96</v>
      </c>
      <c r="T82" s="78" t="str">
        <f>IF(T80="","",MROUND(T80*0.5,'Start-Options'!$B$38))</f>
        <v/>
      </c>
      <c r="U82" s="27"/>
      <c r="V82" s="27"/>
      <c r="W82" s="27"/>
    </row>
    <row r="83" ht="12.75" customHeight="1">
      <c r="A83" s="188"/>
      <c r="B83" s="304">
        <f>IF(T76="","",MROUND(T76*0.65,'Start-Options'!$B$38))</f>
        <v>52.5</v>
      </c>
      <c r="C83" s="78">
        <v>5.0</v>
      </c>
      <c r="D83" s="304">
        <f>IF(T77="","",MROUND(T77*0.55,'Start-Options'!$B$38))</f>
        <v>55</v>
      </c>
      <c r="E83" s="305">
        <v>5.0</v>
      </c>
      <c r="F83" s="27"/>
      <c r="G83" s="189"/>
      <c r="H83" s="304">
        <f>IF(T76="","",MROUND(T76*0.7,'Start-Options'!$B$38))</f>
        <v>55</v>
      </c>
      <c r="I83" s="27">
        <v>3.0</v>
      </c>
      <c r="J83" s="304">
        <f t="shared" ref="J83:J85" si="19">IF(D83="","",D83)</f>
        <v>55</v>
      </c>
      <c r="K83" s="305">
        <v>5.0</v>
      </c>
      <c r="L83" s="27"/>
      <c r="M83" s="189"/>
      <c r="N83" s="304">
        <f>IF(T76="","",MROUND(T76*0.75,'Start-Options'!$B$38))</f>
        <v>60</v>
      </c>
      <c r="O83" s="78">
        <v>5.0</v>
      </c>
      <c r="P83" s="304">
        <f t="shared" ref="P83:P85" si="20">IF(D83="","",D83)</f>
        <v>55</v>
      </c>
      <c r="Q83" s="306">
        <v>5.0</v>
      </c>
      <c r="R83" s="27"/>
      <c r="S83" s="82" t="s">
        <v>97</v>
      </c>
      <c r="T83" s="83" t="str">
        <f>IF(T80="","",MROUND(T80*0.6,'Start-Options'!$B$38))</f>
        <v/>
      </c>
      <c r="U83" s="27"/>
      <c r="V83" s="27"/>
      <c r="W83" s="27"/>
    </row>
    <row r="84" ht="12.75" customHeight="1">
      <c r="A84" s="188"/>
      <c r="B84" s="307">
        <f>IF(T76="","",MROUND(T76*0.75,'Start-Options'!$B$38))</f>
        <v>60</v>
      </c>
      <c r="C84" s="78">
        <v>5.0</v>
      </c>
      <c r="D84" s="307">
        <f>IF(T77="","",MROUND(T77*0.65,'Start-Options'!$B$38))</f>
        <v>65</v>
      </c>
      <c r="E84" s="308"/>
      <c r="F84" s="27"/>
      <c r="G84" s="189"/>
      <c r="H84" s="307">
        <f>IF(T76="","",MROUND(T76*0.8,'Start-Options'!$B$38))</f>
        <v>65</v>
      </c>
      <c r="I84" s="27">
        <v>3.0</v>
      </c>
      <c r="J84" s="307">
        <f t="shared" si="19"/>
        <v>65</v>
      </c>
      <c r="K84" s="308"/>
      <c r="L84" s="27"/>
      <c r="M84" s="189"/>
      <c r="N84" s="307">
        <f>IF(T76="","",MROUND(T76*0.85,'Start-Options'!$B$38))</f>
        <v>67.5</v>
      </c>
      <c r="O84" s="78">
        <v>3.0</v>
      </c>
      <c r="P84" s="307">
        <f t="shared" si="20"/>
        <v>65</v>
      </c>
      <c r="Q84" s="63"/>
      <c r="R84" s="27"/>
      <c r="S84" s="27"/>
      <c r="T84" s="27"/>
      <c r="U84" s="27"/>
      <c r="V84" s="27"/>
      <c r="W84" s="27"/>
    </row>
    <row r="85" ht="13.5" customHeight="1">
      <c r="A85" s="176"/>
      <c r="B85" s="27">
        <f>IF(T76="","",MROUND(T76*0.85,'Start-Options'!$B$38))</f>
        <v>67.5</v>
      </c>
      <c r="C85" s="312"/>
      <c r="D85" s="313">
        <f>IF(T77="","",MROUND(T77*0.75,'Start-Options'!$B$38))</f>
        <v>75</v>
      </c>
      <c r="E85" s="314"/>
      <c r="F85" s="158"/>
      <c r="G85" s="225"/>
      <c r="H85" s="313">
        <f>IF(T76="","",MROUND(T76*0.9,'Start-Options'!$B$38))</f>
        <v>72.5</v>
      </c>
      <c r="I85" s="312"/>
      <c r="J85" s="313">
        <f t="shared" si="19"/>
        <v>75</v>
      </c>
      <c r="K85" s="314"/>
      <c r="L85" s="158"/>
      <c r="M85" s="225"/>
      <c r="N85" s="313">
        <f>IF(T76="","",MROUND(T76*0.95,'Start-Options'!$B$38))</f>
        <v>75</v>
      </c>
      <c r="O85" s="312"/>
      <c r="P85" s="313">
        <f t="shared" si="20"/>
        <v>75</v>
      </c>
      <c r="Q85" s="66"/>
      <c r="R85" s="27"/>
      <c r="S85" s="27"/>
      <c r="T85" s="27"/>
      <c r="U85" s="27"/>
      <c r="V85" s="27"/>
      <c r="W85" s="27"/>
    </row>
    <row r="86" ht="12.75" customHeight="1">
      <c r="A86" s="27"/>
      <c r="B86" s="91"/>
      <c r="C86" s="27"/>
      <c r="D86" s="27"/>
      <c r="E86" s="27"/>
      <c r="F86" s="27"/>
      <c r="G86" s="27"/>
      <c r="H86" s="27"/>
      <c r="I86" s="27"/>
      <c r="J86" s="27"/>
      <c r="K86" s="27"/>
      <c r="L86" s="27"/>
      <c r="M86" s="27"/>
      <c r="N86" s="27"/>
      <c r="O86" s="27"/>
      <c r="P86" s="27"/>
      <c r="Q86" s="27"/>
      <c r="R86" s="27"/>
      <c r="S86" s="27"/>
      <c r="T86" s="27"/>
      <c r="U86" s="27"/>
      <c r="V86" s="27"/>
      <c r="W86" s="27"/>
    </row>
    <row r="87" ht="21.0" customHeight="1">
      <c r="A87" s="27"/>
      <c r="B87" s="27"/>
      <c r="C87" s="27"/>
      <c r="D87" s="27"/>
      <c r="E87" s="27"/>
      <c r="F87" s="27"/>
      <c r="G87" s="27"/>
      <c r="H87" s="27"/>
      <c r="I87" s="27"/>
      <c r="J87" s="169" t="s">
        <v>124</v>
      </c>
      <c r="L87" s="27"/>
      <c r="M87" s="27"/>
      <c r="N87" s="27"/>
      <c r="O87" s="27"/>
      <c r="P87" s="27"/>
      <c r="Q87" s="27"/>
      <c r="R87" s="27"/>
      <c r="S87" s="27"/>
      <c r="T87" s="27"/>
      <c r="U87" s="27"/>
      <c r="V87" s="27"/>
      <c r="W87" s="27"/>
    </row>
    <row r="88" ht="15.75" customHeight="1">
      <c r="A88" s="293" t="s">
        <v>386</v>
      </c>
      <c r="B88" s="60"/>
      <c r="C88" s="60"/>
      <c r="D88" s="60"/>
      <c r="E88" s="60"/>
      <c r="F88" s="91"/>
      <c r="G88" s="89" t="s">
        <v>387</v>
      </c>
      <c r="H88" s="60"/>
      <c r="I88" s="60"/>
      <c r="J88" s="60"/>
      <c r="K88" s="60"/>
      <c r="L88" s="91"/>
      <c r="M88" s="89" t="s">
        <v>388</v>
      </c>
      <c r="N88" s="60"/>
      <c r="O88" s="60"/>
      <c r="P88" s="60"/>
      <c r="Q88" s="61"/>
      <c r="R88" s="27"/>
      <c r="S88" s="27"/>
      <c r="T88" s="27"/>
      <c r="U88" s="27"/>
      <c r="V88" s="27"/>
      <c r="W88" s="27"/>
    </row>
    <row r="89" ht="25.5" customHeight="1">
      <c r="A89" s="294"/>
      <c r="B89" s="142" t="s">
        <v>26</v>
      </c>
      <c r="C89" s="295" t="s">
        <v>27</v>
      </c>
      <c r="D89" s="296" t="s">
        <v>26</v>
      </c>
      <c r="E89" s="295" t="s">
        <v>366</v>
      </c>
      <c r="F89" s="85"/>
      <c r="G89" s="297"/>
      <c r="H89" s="142" t="s">
        <v>26</v>
      </c>
      <c r="I89" s="296" t="s">
        <v>27</v>
      </c>
      <c r="J89" s="142" t="s">
        <v>26</v>
      </c>
      <c r="K89" s="295" t="s">
        <v>366</v>
      </c>
      <c r="L89" s="85"/>
      <c r="M89" s="297"/>
      <c r="N89" s="142" t="s">
        <v>26</v>
      </c>
      <c r="O89" s="295" t="s">
        <v>27</v>
      </c>
      <c r="P89" s="296" t="s">
        <v>26</v>
      </c>
      <c r="Q89" s="159" t="s">
        <v>366</v>
      </c>
      <c r="R89" s="27"/>
      <c r="S89" s="101" t="s">
        <v>129</v>
      </c>
      <c r="T89" s="71"/>
      <c r="U89" s="142" t="s">
        <v>104</v>
      </c>
      <c r="V89" s="143" t="s">
        <v>105</v>
      </c>
      <c r="W89" s="27"/>
    </row>
    <row r="90" ht="12.75" customHeight="1">
      <c r="A90" s="299" t="s">
        <v>36</v>
      </c>
      <c r="B90" s="300" t="s">
        <v>367</v>
      </c>
      <c r="C90" s="301"/>
      <c r="D90" s="300" t="s">
        <v>368</v>
      </c>
      <c r="E90" s="301"/>
      <c r="F90" s="27"/>
      <c r="G90" s="197" t="s">
        <v>36</v>
      </c>
      <c r="H90" s="300" t="s">
        <v>367</v>
      </c>
      <c r="I90" s="302"/>
      <c r="J90" s="300" t="s">
        <v>368</v>
      </c>
      <c r="K90" s="301"/>
      <c r="L90" s="27"/>
      <c r="M90" s="197" t="s">
        <v>36</v>
      </c>
      <c r="N90" s="300" t="s">
        <v>367</v>
      </c>
      <c r="O90" s="301"/>
      <c r="P90" s="300" t="s">
        <v>368</v>
      </c>
      <c r="Q90" s="303"/>
      <c r="R90" s="27"/>
      <c r="S90" s="37" t="str">
        <f>'Start-Options'!$B$4</f>
        <v>Military</v>
      </c>
      <c r="T90" s="106">
        <f>IF(T74="","",IF(ISTEXT(U74),T74-V74,T74+'Start-Options'!$C$32))</f>
        <v>62.5</v>
      </c>
      <c r="U90" s="36"/>
      <c r="V90" s="147"/>
      <c r="W90" s="27"/>
    </row>
    <row r="91" ht="12.75" customHeight="1">
      <c r="A91" s="188"/>
      <c r="B91" s="304">
        <f>IF(T93="","",MROUND(T93*0.65,'Start-Options'!$B$38))</f>
        <v>67.5</v>
      </c>
      <c r="C91" s="78">
        <v>5.0</v>
      </c>
      <c r="D91" s="304">
        <f>IF(T92="","",MROUND(T92*0.55,'Start-Options'!$B$38))</f>
        <v>45</v>
      </c>
      <c r="E91" s="305">
        <v>5.0</v>
      </c>
      <c r="F91" s="27"/>
      <c r="G91" s="189"/>
      <c r="H91" s="304">
        <f>IF(T93="","",MROUND(T93*0.7,'Start-Options'!$B$38))</f>
        <v>72.5</v>
      </c>
      <c r="I91" s="27">
        <v>3.0</v>
      </c>
      <c r="J91" s="304">
        <f t="shared" ref="J91:J93" si="21">IF(D91="","",D91)</f>
        <v>45</v>
      </c>
      <c r="K91" s="305">
        <v>5.0</v>
      </c>
      <c r="L91" s="27"/>
      <c r="M91" s="189"/>
      <c r="N91" s="304">
        <f>IF(T93="","",MROUND(T93*0.75,'Start-Options'!$B$38))</f>
        <v>80</v>
      </c>
      <c r="O91" s="78">
        <v>5.0</v>
      </c>
      <c r="P91" s="304">
        <f t="shared" ref="P91:P93" si="22">IF(D91="","",D91)</f>
        <v>45</v>
      </c>
      <c r="Q91" s="306">
        <v>5.0</v>
      </c>
      <c r="R91" s="27"/>
      <c r="S91" s="118" t="str">
        <f>'Start-Options'!$B$5</f>
        <v>Deadlift</v>
      </c>
      <c r="T91" s="114">
        <f>IF(T75="","",IF(ISTEXT(U75),T75-V75,T75+'Start-Options'!$C$33))</f>
        <v>135</v>
      </c>
      <c r="U91" s="151"/>
      <c r="V91" s="147"/>
      <c r="W91" s="27"/>
    </row>
    <row r="92" ht="12.75" customHeight="1">
      <c r="A92" s="188"/>
      <c r="B92" s="307">
        <f>IF(T93="","",MROUND(T93*0.75,'Start-Options'!$B$38))</f>
        <v>80</v>
      </c>
      <c r="C92" s="78">
        <v>5.0</v>
      </c>
      <c r="D92" s="307">
        <f>IF(T92="","",MROUND(T92*0.65,'Start-Options'!$B$38))</f>
        <v>52.5</v>
      </c>
      <c r="E92" s="308"/>
      <c r="F92" s="27"/>
      <c r="G92" s="189"/>
      <c r="H92" s="307">
        <f>IF(T93="","",MROUND(T93*0.8,'Start-Options'!$B$38))</f>
        <v>85</v>
      </c>
      <c r="I92" s="27">
        <v>3.0</v>
      </c>
      <c r="J92" s="307">
        <f t="shared" si="21"/>
        <v>52.5</v>
      </c>
      <c r="K92" s="308"/>
      <c r="L92" s="27"/>
      <c r="M92" s="189"/>
      <c r="N92" s="307">
        <f>IF(T93="","",MROUND(T93*0.85,'Start-Options'!$B$38))</f>
        <v>90</v>
      </c>
      <c r="O92" s="78">
        <v>3.0</v>
      </c>
      <c r="P92" s="307">
        <f t="shared" si="22"/>
        <v>52.5</v>
      </c>
      <c r="Q92" s="63"/>
      <c r="R92" s="27"/>
      <c r="S92" s="118" t="str">
        <f>'Start-Options'!$B$6</f>
        <v>Bench</v>
      </c>
      <c r="T92" s="118">
        <f>IF(T76="","",IF(ISTEXT(U76),T76-V76,T76+'Start-Options'!$C$34))</f>
        <v>82.5</v>
      </c>
      <c r="U92" s="151"/>
      <c r="V92" s="147"/>
      <c r="W92" s="27"/>
    </row>
    <row r="93" ht="12.75" customHeight="1">
      <c r="A93" s="194"/>
      <c r="B93" s="27">
        <f>IF(T93="","",MROUND(T93*0.85,'Start-Options'!$B$38))</f>
        <v>90</v>
      </c>
      <c r="C93" s="147"/>
      <c r="D93" s="309">
        <f>IF(T92="","",MROUND(T92*0.75,'Start-Options'!$B$38))</f>
        <v>62.5</v>
      </c>
      <c r="E93" s="292"/>
      <c r="F93" s="27"/>
      <c r="G93" s="195"/>
      <c r="H93" s="309">
        <f>IF(T93="","",MROUND(T93*0.9,'Start-Options'!$B$38))</f>
        <v>95</v>
      </c>
      <c r="I93" s="152"/>
      <c r="J93" s="309">
        <f t="shared" si="21"/>
        <v>62.5</v>
      </c>
      <c r="K93" s="292"/>
      <c r="L93" s="27"/>
      <c r="M93" s="195"/>
      <c r="N93" s="309">
        <f>IF(T93="","",MROUND(T93*0.95,'Start-Options'!$B$38))</f>
        <v>100</v>
      </c>
      <c r="O93" s="155"/>
      <c r="P93" s="309">
        <f t="shared" si="22"/>
        <v>62.5</v>
      </c>
      <c r="Q93" s="310"/>
      <c r="R93" s="27"/>
      <c r="S93" s="129" t="str">
        <f>'Start-Options'!$B$7</f>
        <v>Squat</v>
      </c>
      <c r="T93" s="129">
        <f>IF(T77="","",IF(ISTEXT(U77),T77-V77,T77+'Start-Options'!$C$35))</f>
        <v>105</v>
      </c>
      <c r="U93" s="154"/>
      <c r="V93" s="155"/>
      <c r="W93" s="27"/>
    </row>
    <row r="94" ht="12.75" customHeight="1">
      <c r="A94" s="311" t="s">
        <v>44</v>
      </c>
      <c r="B94" s="300" t="s">
        <v>369</v>
      </c>
      <c r="C94" s="301"/>
      <c r="D94" s="300" t="s">
        <v>370</v>
      </c>
      <c r="E94" s="301"/>
      <c r="F94" s="27"/>
      <c r="G94" s="197" t="s">
        <v>44</v>
      </c>
      <c r="H94" s="300" t="s">
        <v>369</v>
      </c>
      <c r="I94" s="302"/>
      <c r="J94" s="300" t="s">
        <v>370</v>
      </c>
      <c r="K94" s="301"/>
      <c r="L94" s="27"/>
      <c r="M94" s="197" t="s">
        <v>44</v>
      </c>
      <c r="N94" s="300" t="s">
        <v>369</v>
      </c>
      <c r="O94" s="301"/>
      <c r="P94" s="300" t="s">
        <v>370</v>
      </c>
      <c r="Q94" s="301"/>
      <c r="R94" s="27"/>
      <c r="S94" s="27"/>
      <c r="T94" s="27"/>
      <c r="U94" s="27"/>
      <c r="V94" s="27"/>
      <c r="W94" s="27"/>
    </row>
    <row r="95" ht="12.75" customHeight="1">
      <c r="A95" s="188"/>
      <c r="B95" s="304">
        <f>IF(T91="","",MROUND(T91*0.65,'Start-Options'!$B$38))</f>
        <v>87.5</v>
      </c>
      <c r="C95" s="78">
        <v>5.0</v>
      </c>
      <c r="D95" s="304">
        <f>IF(T90="","",MROUND(T90*0.65,'Start-Options'!$B$38))</f>
        <v>40</v>
      </c>
      <c r="E95" s="78">
        <v>5.0</v>
      </c>
      <c r="F95" s="27"/>
      <c r="G95" s="189"/>
      <c r="H95" s="304">
        <f>IF(T91="","",MROUND(T91*0.7,'Start-Options'!$B$38))</f>
        <v>95</v>
      </c>
      <c r="I95" s="27">
        <v>3.0</v>
      </c>
      <c r="J95" s="304">
        <f>IF(T90="","",MROUND(T90*0.7,'Start-Options'!$B$38))</f>
        <v>45</v>
      </c>
      <c r="K95" s="78">
        <v>3.0</v>
      </c>
      <c r="L95" s="27"/>
      <c r="M95" s="189"/>
      <c r="N95" s="304">
        <f>IF(T91="","",MROUND(T91*0.75,'Start-Options'!$B$38))</f>
        <v>102.5</v>
      </c>
      <c r="O95" s="78">
        <v>5.0</v>
      </c>
      <c r="P95" s="304">
        <f>IF(T90="","",MROUND(T90*0.75,'Start-Options'!$B$38))</f>
        <v>47.5</v>
      </c>
      <c r="Q95" s="209">
        <v>5.0</v>
      </c>
      <c r="R95" s="27"/>
      <c r="S95" s="70" t="s">
        <v>93</v>
      </c>
      <c r="T95" s="71"/>
      <c r="U95" s="27"/>
      <c r="V95" s="27"/>
      <c r="W95" s="27"/>
    </row>
    <row r="96" ht="12.75" customHeight="1">
      <c r="A96" s="188"/>
      <c r="B96" s="307">
        <f>IF(T91="","",MROUND(T91*0.75,'Start-Options'!$B$38))</f>
        <v>102.5</v>
      </c>
      <c r="C96" s="78">
        <v>5.0</v>
      </c>
      <c r="D96" s="307">
        <f>IF(T90="","",MROUND(T90*0.75,'Start-Options'!$B$38))</f>
        <v>47.5</v>
      </c>
      <c r="E96" s="78">
        <v>5.0</v>
      </c>
      <c r="F96" s="27"/>
      <c r="G96" s="189"/>
      <c r="H96" s="307">
        <f>IF(T91="","",MROUND(T91*0.8,'Start-Options'!$B$38))</f>
        <v>107.5</v>
      </c>
      <c r="I96" s="27">
        <v>3.0</v>
      </c>
      <c r="J96" s="307">
        <f>IF(T90="","",MROUND(T90*0.8,'Start-Options'!$B$38))</f>
        <v>50</v>
      </c>
      <c r="K96" s="78">
        <v>3.0</v>
      </c>
      <c r="L96" s="27"/>
      <c r="M96" s="189"/>
      <c r="N96" s="307">
        <f>IF(T91="","",MROUND(T91*0.85,'Start-Options'!$B$38))</f>
        <v>115</v>
      </c>
      <c r="O96" s="78">
        <v>3.0</v>
      </c>
      <c r="P96" s="307">
        <f>IF(T90="","",MROUND(T90*0.85,'Start-Options'!$B$38))</f>
        <v>52.5</v>
      </c>
      <c r="Q96" s="209">
        <v>3.0</v>
      </c>
      <c r="R96" s="27"/>
      <c r="S96" s="25" t="s">
        <v>94</v>
      </c>
      <c r="T96" s="162"/>
      <c r="U96" s="27"/>
      <c r="V96" s="27"/>
      <c r="W96" s="27"/>
    </row>
    <row r="97" ht="12.75" customHeight="1">
      <c r="A97" s="194"/>
      <c r="B97" s="309">
        <f>IF(T91="","",MROUND(T91*0.85,'Start-Options'!$B$38))</f>
        <v>115</v>
      </c>
      <c r="C97" s="147"/>
      <c r="D97" s="309">
        <f>IF(T90="","",MROUND(T90*0.85,'Start-Options'!$B$38))</f>
        <v>52.5</v>
      </c>
      <c r="E97" s="155"/>
      <c r="F97" s="27"/>
      <c r="G97" s="195"/>
      <c r="H97" s="309">
        <f>IF(T91="","",MROUND(T91*0.9,'Start-Options'!$B$38))</f>
        <v>122.5</v>
      </c>
      <c r="I97" s="152"/>
      <c r="J97" s="309">
        <f>IF(T90="","",MROUND(T90*0.9,'Start-Options'!$B$38))</f>
        <v>57.5</v>
      </c>
      <c r="K97" s="147"/>
      <c r="L97" s="27"/>
      <c r="M97" s="195"/>
      <c r="N97" s="309">
        <f>IF(T91="","",MROUND(T91*0.95,'Start-Options'!$B$38))</f>
        <v>127.5</v>
      </c>
      <c r="O97" s="155"/>
      <c r="P97" s="309">
        <f>IF(T90="","",MROUND(T90*0.95,'Start-Options'!$B$38))</f>
        <v>60</v>
      </c>
      <c r="Q97" s="206"/>
      <c r="R97" s="27"/>
      <c r="S97" s="77" t="s">
        <v>95</v>
      </c>
      <c r="T97" s="78" t="str">
        <f>IF(T96="","",MROUND(T96*0.4,'Start-Options'!$B$38))</f>
        <v/>
      </c>
      <c r="U97" s="27"/>
      <c r="V97" s="27"/>
      <c r="W97" s="27"/>
    </row>
    <row r="98" ht="12.75" customHeight="1">
      <c r="A98" s="299" t="s">
        <v>48</v>
      </c>
      <c r="B98" s="300" t="s">
        <v>371</v>
      </c>
      <c r="C98" s="301"/>
      <c r="D98" s="300" t="s">
        <v>372</v>
      </c>
      <c r="E98" s="301"/>
      <c r="F98" s="27"/>
      <c r="G98" s="197" t="s">
        <v>48</v>
      </c>
      <c r="H98" s="300" t="s">
        <v>371</v>
      </c>
      <c r="I98" s="302"/>
      <c r="J98" s="300" t="s">
        <v>372</v>
      </c>
      <c r="K98" s="301"/>
      <c r="L98" s="27"/>
      <c r="M98" s="197" t="s">
        <v>48</v>
      </c>
      <c r="N98" s="300" t="s">
        <v>371</v>
      </c>
      <c r="O98" s="301"/>
      <c r="P98" s="300" t="s">
        <v>372</v>
      </c>
      <c r="Q98" s="303"/>
      <c r="R98" s="27"/>
      <c r="S98" s="77" t="s">
        <v>96</v>
      </c>
      <c r="T98" s="78" t="str">
        <f>IF(T96="","",MROUND(T96*0.5,'Start-Options'!$B$38))</f>
        <v/>
      </c>
      <c r="U98" s="27"/>
      <c r="V98" s="27"/>
      <c r="W98" s="27"/>
    </row>
    <row r="99" ht="12.75" customHeight="1">
      <c r="A99" s="188"/>
      <c r="B99" s="304">
        <f>IF(T92="","",MROUND(T92*0.65,'Start-Options'!$B$38))</f>
        <v>52.5</v>
      </c>
      <c r="C99" s="78">
        <v>5.0</v>
      </c>
      <c r="D99" s="304">
        <f>IF(T93="","",MROUND(T93*0.55,'Start-Options'!$B$38))</f>
        <v>57.5</v>
      </c>
      <c r="E99" s="305">
        <v>5.0</v>
      </c>
      <c r="F99" s="27"/>
      <c r="G99" s="189"/>
      <c r="H99" s="304">
        <f>IF(T92="","",MROUND(T92*0.7,'Start-Options'!$B$38))</f>
        <v>57.5</v>
      </c>
      <c r="I99" s="27">
        <v>3.0</v>
      </c>
      <c r="J99" s="304">
        <f t="shared" ref="J99:J101" si="23">IF(D99="","",D99)</f>
        <v>57.5</v>
      </c>
      <c r="K99" s="305">
        <v>5.0</v>
      </c>
      <c r="L99" s="27"/>
      <c r="M99" s="189"/>
      <c r="N99" s="304">
        <f>IF(T92="","",MROUND(T92*0.75,'Start-Options'!$B$38))</f>
        <v>62.5</v>
      </c>
      <c r="O99" s="78">
        <v>5.0</v>
      </c>
      <c r="P99" s="304">
        <f t="shared" ref="P99:P101" si="24">IF(D99="","",D99)</f>
        <v>57.5</v>
      </c>
      <c r="Q99" s="306">
        <v>5.0</v>
      </c>
      <c r="R99" s="27"/>
      <c r="S99" s="82" t="s">
        <v>97</v>
      </c>
      <c r="T99" s="83" t="str">
        <f>IF(T96="","",MROUND(T96*0.6,'Start-Options'!$B$38))</f>
        <v/>
      </c>
      <c r="U99" s="27"/>
      <c r="V99" s="27"/>
      <c r="W99" s="27"/>
    </row>
    <row r="100" ht="12.75" customHeight="1">
      <c r="A100" s="188"/>
      <c r="B100" s="307">
        <f>IF(T92="","",MROUND(T92*0.75,'Start-Options'!$B$38))</f>
        <v>62.5</v>
      </c>
      <c r="C100" s="78">
        <v>5.0</v>
      </c>
      <c r="D100" s="307">
        <f>IF(T93="","",MROUND(T93*0.65,'Start-Options'!$B$38))</f>
        <v>67.5</v>
      </c>
      <c r="E100" s="308"/>
      <c r="F100" s="27"/>
      <c r="G100" s="189"/>
      <c r="H100" s="307">
        <f>IF(T92="","",MROUND(T92*0.8,'Start-Options'!$B$38))</f>
        <v>65</v>
      </c>
      <c r="I100" s="27">
        <v>3.0</v>
      </c>
      <c r="J100" s="307">
        <f t="shared" si="23"/>
        <v>67.5</v>
      </c>
      <c r="K100" s="308"/>
      <c r="L100" s="27"/>
      <c r="M100" s="189"/>
      <c r="N100" s="307">
        <f>IF(T92="","",MROUND(T92*0.85,'Start-Options'!$B$38))</f>
        <v>70</v>
      </c>
      <c r="O100" s="78">
        <v>3.0</v>
      </c>
      <c r="P100" s="307">
        <f t="shared" si="24"/>
        <v>67.5</v>
      </c>
      <c r="Q100" s="63"/>
      <c r="R100" s="27"/>
      <c r="S100" s="27"/>
      <c r="T100" s="27"/>
      <c r="U100" s="27"/>
      <c r="V100" s="27"/>
      <c r="W100" s="27"/>
    </row>
    <row r="101" ht="13.5" customHeight="1">
      <c r="A101" s="176"/>
      <c r="B101" s="27">
        <f>IF(T92="","",MROUND(T92*0.85,'Start-Options'!$B$38))</f>
        <v>70</v>
      </c>
      <c r="C101" s="312"/>
      <c r="D101" s="313">
        <f>IF(T93="","",MROUND(T93*0.75,'Start-Options'!$B$38))</f>
        <v>80</v>
      </c>
      <c r="E101" s="314"/>
      <c r="F101" s="158"/>
      <c r="G101" s="225"/>
      <c r="H101" s="313">
        <f>IF(T92="","",MROUND(T92*0.9,'Start-Options'!$B$38))</f>
        <v>75</v>
      </c>
      <c r="I101" s="312"/>
      <c r="J101" s="313">
        <f t="shared" si="23"/>
        <v>80</v>
      </c>
      <c r="K101" s="314"/>
      <c r="L101" s="158"/>
      <c r="M101" s="225"/>
      <c r="N101" s="313">
        <f>IF(T92="","",MROUND(T92*0.95,'Start-Options'!$B$38))</f>
        <v>77.5</v>
      </c>
      <c r="O101" s="312"/>
      <c r="P101" s="313">
        <f t="shared" si="24"/>
        <v>80</v>
      </c>
      <c r="Q101" s="66"/>
      <c r="R101" s="27"/>
      <c r="S101" s="27"/>
      <c r="T101" s="27"/>
      <c r="U101" s="27"/>
      <c r="V101" s="27"/>
      <c r="W101" s="27"/>
    </row>
    <row r="102" ht="12.75" customHeight="1">
      <c r="A102" s="27"/>
      <c r="B102" s="91"/>
      <c r="C102" s="27"/>
      <c r="D102" s="27"/>
      <c r="E102" s="27"/>
      <c r="F102" s="27"/>
      <c r="G102" s="27"/>
      <c r="H102" s="27"/>
      <c r="I102" s="27"/>
      <c r="J102" s="27"/>
      <c r="K102" s="27"/>
      <c r="L102" s="27"/>
      <c r="M102" s="27"/>
      <c r="N102" s="27"/>
      <c r="O102" s="27"/>
      <c r="P102" s="27"/>
      <c r="Q102" s="27"/>
      <c r="R102" s="27"/>
      <c r="S102" s="27"/>
      <c r="T102" s="27"/>
      <c r="U102" s="27"/>
      <c r="V102" s="27"/>
      <c r="W102" s="27"/>
    </row>
    <row r="103" ht="12.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row>
  </sheetData>
  <mergeCells count="239">
    <mergeCell ref="C3:E3"/>
    <mergeCell ref="I3:K3"/>
    <mergeCell ref="N3:P3"/>
    <mergeCell ref="S4:T4"/>
    <mergeCell ref="S5:T5"/>
    <mergeCell ref="J7:K7"/>
    <mergeCell ref="A8:E8"/>
    <mergeCell ref="H10:I10"/>
    <mergeCell ref="J10:K10"/>
    <mergeCell ref="M10:M13"/>
    <mergeCell ref="N10:O10"/>
    <mergeCell ref="M14:M17"/>
    <mergeCell ref="N14:O14"/>
    <mergeCell ref="N18:O18"/>
    <mergeCell ref="P10:Q10"/>
    <mergeCell ref="Q11:Q13"/>
    <mergeCell ref="P14:Q14"/>
    <mergeCell ref="S15:T15"/>
    <mergeCell ref="P18:Q18"/>
    <mergeCell ref="Q19:Q21"/>
    <mergeCell ref="G8:K8"/>
    <mergeCell ref="M8:Q8"/>
    <mergeCell ref="S9:T9"/>
    <mergeCell ref="A10:A13"/>
    <mergeCell ref="B10:C10"/>
    <mergeCell ref="G10:G13"/>
    <mergeCell ref="K11:K13"/>
    <mergeCell ref="A14:A17"/>
    <mergeCell ref="A18:A21"/>
    <mergeCell ref="D10:E10"/>
    <mergeCell ref="E11:E13"/>
    <mergeCell ref="B14:C14"/>
    <mergeCell ref="D14:E14"/>
    <mergeCell ref="G14:G17"/>
    <mergeCell ref="H14:I14"/>
    <mergeCell ref="J14:K14"/>
    <mergeCell ref="K35:K37"/>
    <mergeCell ref="J39:K39"/>
    <mergeCell ref="J26:K26"/>
    <mergeCell ref="M26:M29"/>
    <mergeCell ref="K27:K29"/>
    <mergeCell ref="J30:K30"/>
    <mergeCell ref="M30:M33"/>
    <mergeCell ref="J34:K34"/>
    <mergeCell ref="M34:M37"/>
    <mergeCell ref="D26:E26"/>
    <mergeCell ref="H26:I26"/>
    <mergeCell ref="A30:A33"/>
    <mergeCell ref="B30:C30"/>
    <mergeCell ref="D30:E30"/>
    <mergeCell ref="G30:G33"/>
    <mergeCell ref="H30:I30"/>
    <mergeCell ref="B34:C34"/>
    <mergeCell ref="D34:E34"/>
    <mergeCell ref="G34:G37"/>
    <mergeCell ref="H34:I34"/>
    <mergeCell ref="E35:E37"/>
    <mergeCell ref="A40:E40"/>
    <mergeCell ref="G40:K40"/>
    <mergeCell ref="K19:K21"/>
    <mergeCell ref="J23:K23"/>
    <mergeCell ref="B18:C18"/>
    <mergeCell ref="D18:E18"/>
    <mergeCell ref="G18:G21"/>
    <mergeCell ref="H18:I18"/>
    <mergeCell ref="J18:K18"/>
    <mergeCell ref="M18:M21"/>
    <mergeCell ref="E19:E21"/>
    <mergeCell ref="N26:O26"/>
    <mergeCell ref="P26:Q26"/>
    <mergeCell ref="N30:O30"/>
    <mergeCell ref="P30:Q30"/>
    <mergeCell ref="N34:O34"/>
    <mergeCell ref="P34:Q34"/>
    <mergeCell ref="Q35:Q37"/>
    <mergeCell ref="M40:Q40"/>
    <mergeCell ref="S25:T25"/>
    <mergeCell ref="Q27:Q29"/>
    <mergeCell ref="S31:T31"/>
    <mergeCell ref="S41:T41"/>
    <mergeCell ref="A24:E24"/>
    <mergeCell ref="G24:K24"/>
    <mergeCell ref="M24:Q24"/>
    <mergeCell ref="A26:A29"/>
    <mergeCell ref="B26:C26"/>
    <mergeCell ref="G26:G29"/>
    <mergeCell ref="E27:E29"/>
    <mergeCell ref="A34:A37"/>
    <mergeCell ref="A42:A45"/>
    <mergeCell ref="P42:Q42"/>
    <mergeCell ref="Q43:Q45"/>
    <mergeCell ref="D42:E42"/>
    <mergeCell ref="E43:E45"/>
    <mergeCell ref="A46:A49"/>
    <mergeCell ref="B46:C46"/>
    <mergeCell ref="D46:E46"/>
    <mergeCell ref="G46:G49"/>
    <mergeCell ref="G50:G53"/>
    <mergeCell ref="A50:A53"/>
    <mergeCell ref="A56:E56"/>
    <mergeCell ref="A58:A61"/>
    <mergeCell ref="B58:C58"/>
    <mergeCell ref="D58:E58"/>
    <mergeCell ref="G58:G61"/>
    <mergeCell ref="E59:E61"/>
    <mergeCell ref="B74:C74"/>
    <mergeCell ref="D74:E74"/>
    <mergeCell ref="G74:G77"/>
    <mergeCell ref="E75:E77"/>
    <mergeCell ref="G78:G81"/>
    <mergeCell ref="D82:E82"/>
    <mergeCell ref="G82:G85"/>
    <mergeCell ref="E83:E85"/>
    <mergeCell ref="A66:A69"/>
    <mergeCell ref="B66:C66"/>
    <mergeCell ref="D66:E66"/>
    <mergeCell ref="G66:G69"/>
    <mergeCell ref="E67:E69"/>
    <mergeCell ref="A72:E72"/>
    <mergeCell ref="A74:A77"/>
    <mergeCell ref="D78:E78"/>
    <mergeCell ref="D90:E90"/>
    <mergeCell ref="G90:G93"/>
    <mergeCell ref="E91:E93"/>
    <mergeCell ref="D94:E94"/>
    <mergeCell ref="G94:G97"/>
    <mergeCell ref="D98:E98"/>
    <mergeCell ref="G98:G101"/>
    <mergeCell ref="E99:E101"/>
    <mergeCell ref="A94:A97"/>
    <mergeCell ref="B94:C94"/>
    <mergeCell ref="A98:A101"/>
    <mergeCell ref="B98:C98"/>
    <mergeCell ref="A78:A81"/>
    <mergeCell ref="B78:C78"/>
    <mergeCell ref="A82:A85"/>
    <mergeCell ref="B82:C82"/>
    <mergeCell ref="A88:E88"/>
    <mergeCell ref="A90:A93"/>
    <mergeCell ref="B90:C90"/>
    <mergeCell ref="H46:I46"/>
    <mergeCell ref="J46:K46"/>
    <mergeCell ref="M46:M49"/>
    <mergeCell ref="N46:O46"/>
    <mergeCell ref="P46:Q46"/>
    <mergeCell ref="S47:T47"/>
    <mergeCell ref="B42:C42"/>
    <mergeCell ref="G42:G45"/>
    <mergeCell ref="H42:I42"/>
    <mergeCell ref="J42:K42"/>
    <mergeCell ref="M42:M45"/>
    <mergeCell ref="N42:O42"/>
    <mergeCell ref="K43:K45"/>
    <mergeCell ref="B50:C50"/>
    <mergeCell ref="D50:E50"/>
    <mergeCell ref="H50:I50"/>
    <mergeCell ref="M50:M53"/>
    <mergeCell ref="N50:O50"/>
    <mergeCell ref="P50:Q50"/>
    <mergeCell ref="E51:E53"/>
    <mergeCell ref="Q51:Q53"/>
    <mergeCell ref="J50:K50"/>
    <mergeCell ref="K51:K53"/>
    <mergeCell ref="J55:K55"/>
    <mergeCell ref="G56:K56"/>
    <mergeCell ref="M56:Q56"/>
    <mergeCell ref="S57:T57"/>
    <mergeCell ref="H58:I58"/>
    <mergeCell ref="A62:A65"/>
    <mergeCell ref="B62:C62"/>
    <mergeCell ref="D62:E62"/>
    <mergeCell ref="G62:G65"/>
    <mergeCell ref="H62:I62"/>
    <mergeCell ref="H66:I66"/>
    <mergeCell ref="N58:O58"/>
    <mergeCell ref="P58:Q58"/>
    <mergeCell ref="Q59:Q61"/>
    <mergeCell ref="N62:O62"/>
    <mergeCell ref="P62:Q62"/>
    <mergeCell ref="S63:T63"/>
    <mergeCell ref="N66:O66"/>
    <mergeCell ref="N78:O78"/>
    <mergeCell ref="P78:Q78"/>
    <mergeCell ref="S79:T79"/>
    <mergeCell ref="P66:Q66"/>
    <mergeCell ref="Q67:Q69"/>
    <mergeCell ref="M72:Q72"/>
    <mergeCell ref="S73:T73"/>
    <mergeCell ref="N74:O74"/>
    <mergeCell ref="P74:Q74"/>
    <mergeCell ref="Q75:Q77"/>
    <mergeCell ref="J98:K98"/>
    <mergeCell ref="N98:O98"/>
    <mergeCell ref="H94:I94"/>
    <mergeCell ref="J94:K94"/>
    <mergeCell ref="M94:M97"/>
    <mergeCell ref="N94:O94"/>
    <mergeCell ref="S95:T95"/>
    <mergeCell ref="H98:I98"/>
    <mergeCell ref="P98:Q98"/>
    <mergeCell ref="K67:K69"/>
    <mergeCell ref="J71:K71"/>
    <mergeCell ref="G72:K72"/>
    <mergeCell ref="H74:I74"/>
    <mergeCell ref="J74:K74"/>
    <mergeCell ref="J58:K58"/>
    <mergeCell ref="M58:M61"/>
    <mergeCell ref="K59:K61"/>
    <mergeCell ref="J62:K62"/>
    <mergeCell ref="M62:M65"/>
    <mergeCell ref="J66:K66"/>
    <mergeCell ref="M66:M69"/>
    <mergeCell ref="M74:M77"/>
    <mergeCell ref="K75:K77"/>
    <mergeCell ref="H78:I78"/>
    <mergeCell ref="J78:K78"/>
    <mergeCell ref="M78:M81"/>
    <mergeCell ref="H82:I82"/>
    <mergeCell ref="M82:M85"/>
    <mergeCell ref="P90:Q90"/>
    <mergeCell ref="Q91:Q93"/>
    <mergeCell ref="P94:Q94"/>
    <mergeCell ref="Q99:Q101"/>
    <mergeCell ref="J82:K82"/>
    <mergeCell ref="N82:O82"/>
    <mergeCell ref="P82:Q82"/>
    <mergeCell ref="Q83:Q85"/>
    <mergeCell ref="M88:Q88"/>
    <mergeCell ref="S89:T89"/>
    <mergeCell ref="N90:O90"/>
    <mergeCell ref="K83:K85"/>
    <mergeCell ref="J87:K87"/>
    <mergeCell ref="G88:K88"/>
    <mergeCell ref="H90:I90"/>
    <mergeCell ref="J90:K90"/>
    <mergeCell ref="M90:M93"/>
    <mergeCell ref="K91:K93"/>
    <mergeCell ref="M98:M101"/>
    <mergeCell ref="K99:K10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10.38"/>
    <col customWidth="1" min="3" max="3" width="10.75"/>
    <col customWidth="1" min="4" max="4" width="12.38"/>
    <col customWidth="1" min="5" max="26" width="7.0"/>
  </cols>
  <sheetData>
    <row r="1" ht="26.25" customHeight="1">
      <c r="A1" s="315" t="s">
        <v>389</v>
      </c>
      <c r="B1" s="7"/>
      <c r="C1" s="7"/>
      <c r="D1" s="7"/>
      <c r="E1" s="18"/>
      <c r="F1" s="18"/>
      <c r="G1" s="18"/>
      <c r="H1" s="18"/>
      <c r="I1" s="18"/>
      <c r="J1" s="18"/>
      <c r="K1" s="18"/>
      <c r="L1" s="18"/>
      <c r="M1" s="18"/>
      <c r="N1" s="18"/>
      <c r="O1" s="18"/>
      <c r="P1" s="18"/>
      <c r="Q1" s="18"/>
      <c r="R1" s="18"/>
      <c r="S1" s="18"/>
      <c r="T1" s="18"/>
      <c r="U1" s="18"/>
      <c r="V1" s="18"/>
      <c r="W1" s="18"/>
      <c r="X1" s="18"/>
      <c r="Y1" s="18"/>
      <c r="Z1" s="18"/>
    </row>
    <row r="2" ht="21.0" customHeight="1">
      <c r="A2" s="7"/>
      <c r="B2" s="7"/>
      <c r="C2" s="7"/>
      <c r="D2" s="7"/>
      <c r="E2" s="18"/>
      <c r="F2" s="18"/>
      <c r="G2" s="18"/>
      <c r="H2" s="18"/>
      <c r="I2" s="18"/>
      <c r="J2" s="18"/>
      <c r="K2" s="18"/>
      <c r="L2" s="18"/>
      <c r="M2" s="18"/>
      <c r="N2" s="18"/>
      <c r="O2" s="18"/>
      <c r="P2" s="18"/>
      <c r="Q2" s="18"/>
      <c r="R2" s="18"/>
      <c r="S2" s="18"/>
      <c r="T2" s="18"/>
      <c r="U2" s="18"/>
      <c r="V2" s="18"/>
      <c r="W2" s="18"/>
      <c r="X2" s="18"/>
      <c r="Y2" s="18"/>
      <c r="Z2" s="18"/>
    </row>
    <row r="3" ht="12.75" customHeight="1">
      <c r="A3" s="7"/>
      <c r="B3" s="316" t="s">
        <v>390</v>
      </c>
      <c r="C3" s="317"/>
      <c r="D3" s="7"/>
      <c r="E3" s="18"/>
      <c r="F3" s="18"/>
      <c r="G3" s="18"/>
      <c r="H3" s="18"/>
      <c r="I3" s="18"/>
      <c r="J3" s="18"/>
      <c r="K3" s="18"/>
      <c r="L3" s="18"/>
      <c r="M3" s="18"/>
      <c r="N3" s="18"/>
      <c r="O3" s="18"/>
      <c r="P3" s="18"/>
      <c r="Q3" s="18"/>
      <c r="R3" s="18"/>
      <c r="S3" s="18"/>
      <c r="T3" s="18"/>
      <c r="U3" s="18"/>
      <c r="V3" s="18"/>
      <c r="W3" s="18"/>
      <c r="X3" s="18"/>
      <c r="Y3" s="18"/>
      <c r="Z3" s="18"/>
    </row>
    <row r="4" ht="12.75" customHeight="1">
      <c r="A4" s="7"/>
      <c r="B4" s="318">
        <f>'531'!J2</f>
        <v>72.5</v>
      </c>
      <c r="C4" s="319" t="s">
        <v>72</v>
      </c>
      <c r="D4" s="7"/>
      <c r="E4" s="18"/>
      <c r="F4" s="18"/>
      <c r="G4" s="18"/>
      <c r="H4" s="18"/>
      <c r="I4" s="18"/>
      <c r="J4" s="18"/>
      <c r="K4" s="18"/>
      <c r="L4" s="18"/>
      <c r="M4" s="18"/>
      <c r="N4" s="18"/>
      <c r="O4" s="18"/>
      <c r="P4" s="18"/>
      <c r="Q4" s="18"/>
      <c r="R4" s="18"/>
      <c r="S4" s="18"/>
      <c r="T4" s="18"/>
      <c r="U4" s="18"/>
      <c r="V4" s="18"/>
      <c r="W4" s="18"/>
      <c r="X4" s="18"/>
      <c r="Y4" s="18"/>
      <c r="Z4" s="18"/>
    </row>
    <row r="5" ht="12.75" customHeight="1">
      <c r="A5" s="7"/>
      <c r="B5" s="7"/>
      <c r="C5" s="7"/>
      <c r="D5" s="7"/>
      <c r="E5" s="18"/>
      <c r="F5" s="18"/>
      <c r="G5" s="18"/>
      <c r="H5" s="18"/>
      <c r="I5" s="18"/>
      <c r="J5" s="18"/>
      <c r="K5" s="18"/>
      <c r="L5" s="18"/>
      <c r="M5" s="18"/>
      <c r="N5" s="18"/>
      <c r="O5" s="18"/>
      <c r="P5" s="18"/>
      <c r="Q5" s="18"/>
      <c r="R5" s="18"/>
      <c r="S5" s="18"/>
      <c r="T5" s="18"/>
      <c r="U5" s="18"/>
      <c r="V5" s="18"/>
      <c r="W5" s="18"/>
      <c r="X5" s="18"/>
      <c r="Y5" s="18"/>
      <c r="Z5" s="18"/>
    </row>
    <row r="6" ht="12.75" customHeight="1">
      <c r="A6" s="7"/>
      <c r="B6" s="320" t="s">
        <v>391</v>
      </c>
      <c r="C6" s="317"/>
      <c r="D6" s="7"/>
      <c r="E6" s="18"/>
      <c r="F6" s="18"/>
      <c r="G6" s="18"/>
      <c r="H6" s="18"/>
      <c r="I6" s="18"/>
      <c r="J6" s="18"/>
      <c r="K6" s="18"/>
      <c r="L6" s="18"/>
      <c r="M6" s="18"/>
      <c r="N6" s="18"/>
      <c r="O6" s="18"/>
      <c r="P6" s="18"/>
      <c r="Q6" s="18"/>
      <c r="R6" s="18"/>
      <c r="S6" s="18"/>
      <c r="T6" s="18"/>
      <c r="U6" s="18"/>
      <c r="V6" s="18"/>
      <c r="W6" s="18"/>
      <c r="X6" s="18"/>
      <c r="Y6" s="18"/>
      <c r="Z6" s="18"/>
    </row>
    <row r="7" ht="12.75" customHeight="1">
      <c r="A7" s="7"/>
      <c r="B7" s="318">
        <f>'531'!J3</f>
        <v>20</v>
      </c>
      <c r="C7" s="319" t="str">
        <f>$C$4</f>
        <v>kg</v>
      </c>
      <c r="D7" s="7"/>
      <c r="E7" s="18"/>
      <c r="F7" s="18"/>
      <c r="G7" s="18"/>
      <c r="H7" s="18"/>
      <c r="I7" s="18"/>
      <c r="J7" s="18"/>
      <c r="K7" s="18"/>
      <c r="L7" s="18"/>
      <c r="M7" s="18"/>
      <c r="N7" s="18"/>
      <c r="O7" s="18"/>
      <c r="P7" s="18"/>
      <c r="Q7" s="18"/>
      <c r="R7" s="18"/>
      <c r="S7" s="18"/>
      <c r="T7" s="18"/>
      <c r="U7" s="18"/>
      <c r="V7" s="18"/>
      <c r="W7" s="18"/>
      <c r="X7" s="18"/>
      <c r="Y7" s="18"/>
      <c r="Z7" s="18"/>
    </row>
    <row r="8" ht="12.75" customHeight="1">
      <c r="A8" s="7"/>
      <c r="B8" s="7"/>
      <c r="C8" s="7"/>
      <c r="D8" s="7"/>
      <c r="E8" s="316" t="s">
        <v>392</v>
      </c>
      <c r="F8" s="317"/>
      <c r="G8" s="18"/>
      <c r="H8" s="18"/>
      <c r="I8" s="18"/>
      <c r="J8" s="18"/>
      <c r="K8" s="18"/>
      <c r="L8" s="18"/>
      <c r="M8" s="18"/>
      <c r="N8" s="18"/>
      <c r="O8" s="18"/>
      <c r="P8" s="18"/>
      <c r="Q8" s="18"/>
      <c r="R8" s="18"/>
      <c r="S8" s="18"/>
      <c r="T8" s="18"/>
      <c r="U8" s="18"/>
      <c r="V8" s="18"/>
      <c r="W8" s="18"/>
      <c r="X8" s="18"/>
      <c r="Y8" s="18"/>
      <c r="Z8" s="18"/>
    </row>
    <row r="9" ht="12.75" customHeight="1">
      <c r="A9" s="7"/>
      <c r="B9" s="320" t="s">
        <v>393</v>
      </c>
      <c r="C9" s="317"/>
      <c r="D9" s="7"/>
      <c r="E9" s="321" t="s">
        <v>394</v>
      </c>
      <c r="F9" s="322"/>
      <c r="G9" s="18"/>
      <c r="H9" s="18"/>
      <c r="I9" s="18"/>
      <c r="J9" s="18"/>
      <c r="K9" s="18"/>
      <c r="L9" s="323" t="s">
        <v>395</v>
      </c>
      <c r="M9" s="324"/>
      <c r="N9" s="324"/>
      <c r="O9" s="324"/>
      <c r="P9" s="324"/>
      <c r="Q9" s="325"/>
      <c r="R9" s="18"/>
      <c r="S9" s="18"/>
      <c r="T9" s="18"/>
      <c r="U9" s="18"/>
      <c r="V9" s="18"/>
      <c r="W9" s="18"/>
      <c r="X9" s="18"/>
      <c r="Y9" s="18"/>
      <c r="Z9" s="18"/>
    </row>
    <row r="10" ht="12.75" customHeight="1">
      <c r="A10" s="7"/>
      <c r="B10" s="326">
        <v>20.0</v>
      </c>
      <c r="C10" s="327" t="str">
        <f t="shared" ref="C10:C15" si="1">$C$4</f>
        <v>kg</v>
      </c>
      <c r="D10" s="7"/>
      <c r="E10" s="328">
        <f t="shared" ref="E10:E15" si="2">IF(B10="",0,COUNTIF(M10:Q10,B10))</f>
        <v>1</v>
      </c>
      <c r="F10" s="322"/>
      <c r="G10" s="18"/>
      <c r="H10" s="316" t="s">
        <v>396</v>
      </c>
      <c r="I10" s="329"/>
      <c r="J10" s="317"/>
      <c r="K10" s="18"/>
      <c r="L10" s="289">
        <f t="shared" ref="L10:L15" si="3">B10*E10</f>
        <v>20</v>
      </c>
      <c r="M10" s="7">
        <f>IF($H$14&gt;=B10,B10,0)</f>
        <v>20</v>
      </c>
      <c r="N10" s="7">
        <f>IF(($H$14-B10)&gt;=B10,B10,0)</f>
        <v>0</v>
      </c>
      <c r="O10" s="7">
        <f>IF(($H$14-(B10*2))&gt;=B10,B10,0)</f>
        <v>0</v>
      </c>
      <c r="P10" s="7">
        <f>IF(($H$14-(B10*3))&gt;=B10,B10,0)</f>
        <v>0</v>
      </c>
      <c r="Q10" s="290">
        <f>IF(($H$14-(B10*4))&gt;=B10,B10,0)</f>
        <v>0</v>
      </c>
      <c r="R10" s="18"/>
      <c r="S10" s="18"/>
      <c r="T10" s="18"/>
      <c r="U10" s="18"/>
      <c r="V10" s="18"/>
      <c r="W10" s="18"/>
      <c r="X10" s="18"/>
      <c r="Y10" s="18"/>
      <c r="Z10" s="18"/>
    </row>
    <row r="11" ht="12.75" customHeight="1">
      <c r="A11" s="7"/>
      <c r="B11" s="326">
        <v>15.0</v>
      </c>
      <c r="C11" s="327" t="str">
        <f t="shared" si="1"/>
        <v>kg</v>
      </c>
      <c r="D11" s="7"/>
      <c r="E11" s="328">
        <f t="shared" si="2"/>
        <v>0</v>
      </c>
      <c r="F11" s="322"/>
      <c r="G11" s="18"/>
      <c r="H11" s="330">
        <f>B4-B7</f>
        <v>52.5</v>
      </c>
      <c r="I11" s="71"/>
      <c r="J11" s="331" t="str">
        <f>$C$4</f>
        <v>kg</v>
      </c>
      <c r="K11" s="18"/>
      <c r="L11" s="289">
        <f t="shared" si="3"/>
        <v>0</v>
      </c>
      <c r="M11" s="7">
        <f>IF($H$14-(L10)&gt;=B11,B11,0)</f>
        <v>0</v>
      </c>
      <c r="N11" s="7">
        <f>IF(($H$14-(L10+B11))&gt;=B11,B11,0)</f>
        <v>0</v>
      </c>
      <c r="O11" s="7">
        <f>IF(($H$14-(L10+(B11*2)))&gt;=B11,B11,0)</f>
        <v>0</v>
      </c>
      <c r="P11" s="7">
        <f>IF(($H$14-(L10+(B11*3)))&gt;=B11,B11,0)</f>
        <v>0</v>
      </c>
      <c r="Q11" s="290">
        <f>IF(($H$14-(L10+(B11*4)))&gt;=B11,B11,0)</f>
        <v>0</v>
      </c>
      <c r="R11" s="18"/>
      <c r="S11" s="18"/>
      <c r="T11" s="18"/>
      <c r="U11" s="18"/>
      <c r="V11" s="18"/>
      <c r="W11" s="18"/>
      <c r="X11" s="18"/>
      <c r="Y11" s="18"/>
      <c r="Z11" s="18"/>
    </row>
    <row r="12" ht="12.75" customHeight="1">
      <c r="A12" s="7"/>
      <c r="B12" s="326">
        <v>10.0</v>
      </c>
      <c r="C12" s="327" t="str">
        <f t="shared" si="1"/>
        <v>kg</v>
      </c>
      <c r="D12" s="7"/>
      <c r="E12" s="328">
        <f t="shared" si="2"/>
        <v>0</v>
      </c>
      <c r="F12" s="322"/>
      <c r="G12" s="18"/>
      <c r="H12" s="18"/>
      <c r="I12" s="18"/>
      <c r="J12" s="18"/>
      <c r="K12" s="18"/>
      <c r="L12" s="289">
        <f t="shared" si="3"/>
        <v>0</v>
      </c>
      <c r="M12" s="7">
        <f>IF($H$14-(L10+L11)&gt;=B12,B12,0)</f>
        <v>0</v>
      </c>
      <c r="N12" s="7">
        <f>IF(($H$14-(L10+L11+B12))&gt;=B12,B12,0)</f>
        <v>0</v>
      </c>
      <c r="O12" s="7">
        <f>IF(($H$14-(L10+L11+(B12*2)))&gt;=B12,B12,0)</f>
        <v>0</v>
      </c>
      <c r="P12" s="7">
        <f>IF(($H$14-(L10+L11+(B12*3)))&gt;=B12,B12,0)</f>
        <v>0</v>
      </c>
      <c r="Q12" s="290">
        <f>IF(($H$14-(L10+L11+(B12*4)))&gt;=B12,B12,0)</f>
        <v>0</v>
      </c>
      <c r="R12" s="18"/>
      <c r="S12" s="18"/>
      <c r="T12" s="18"/>
      <c r="U12" s="18"/>
      <c r="V12" s="18"/>
      <c r="W12" s="18"/>
      <c r="X12" s="18"/>
      <c r="Y12" s="18"/>
      <c r="Z12" s="18"/>
    </row>
    <row r="13" ht="12.75" customHeight="1">
      <c r="A13" s="7"/>
      <c r="B13" s="326">
        <v>5.0</v>
      </c>
      <c r="C13" s="327" t="str">
        <f t="shared" si="1"/>
        <v>kg</v>
      </c>
      <c r="D13" s="7"/>
      <c r="E13" s="328">
        <f t="shared" si="2"/>
        <v>1</v>
      </c>
      <c r="F13" s="322"/>
      <c r="G13" s="18"/>
      <c r="H13" s="316" t="s">
        <v>397</v>
      </c>
      <c r="I13" s="329"/>
      <c r="J13" s="317"/>
      <c r="K13" s="18"/>
      <c r="L13" s="289">
        <f t="shared" si="3"/>
        <v>5</v>
      </c>
      <c r="M13" s="7">
        <f>IF($H$14-(L10+L11+L12)&gt;=B13,B13,0)</f>
        <v>5</v>
      </c>
      <c r="N13" s="7">
        <f>IF(($H$14-(L10+L11+L12+B13))&gt;=B13,B13,0)</f>
        <v>0</v>
      </c>
      <c r="O13" s="7">
        <f>IF(($H$14-(L10+L11+L12+(B13*2)))&gt;=B13,B13,0)</f>
        <v>0</v>
      </c>
      <c r="P13" s="7">
        <f>IF(($H$14-(L10+L11+L12+(B13*3)))&gt;=B13,B13,0)</f>
        <v>0</v>
      </c>
      <c r="Q13" s="290">
        <f>IF(($H$14-(L10+L11+L12+(B13*4)))&gt;=B13,B13,0)</f>
        <v>0</v>
      </c>
      <c r="R13" s="18"/>
      <c r="S13" s="18"/>
      <c r="T13" s="18"/>
      <c r="U13" s="18"/>
      <c r="V13" s="18"/>
      <c r="W13" s="18"/>
      <c r="X13" s="18"/>
      <c r="Y13" s="18"/>
      <c r="Z13" s="18"/>
    </row>
    <row r="14" ht="12.75" customHeight="1">
      <c r="A14" s="7"/>
      <c r="B14" s="326">
        <v>2.5</v>
      </c>
      <c r="C14" s="327" t="str">
        <f t="shared" si="1"/>
        <v>kg</v>
      </c>
      <c r="D14" s="7"/>
      <c r="E14" s="328">
        <f t="shared" si="2"/>
        <v>0</v>
      </c>
      <c r="F14" s="322"/>
      <c r="G14" s="18"/>
      <c r="H14" s="330">
        <f>H11/2</f>
        <v>26.25</v>
      </c>
      <c r="I14" s="71"/>
      <c r="J14" s="331" t="str">
        <f>$C$4</f>
        <v>kg</v>
      </c>
      <c r="K14" s="18"/>
      <c r="L14" s="289">
        <f t="shared" si="3"/>
        <v>0</v>
      </c>
      <c r="M14" s="7">
        <f>IF($H$14-(L10+L11+L12+L13)&gt;=B14,B14,0)</f>
        <v>0</v>
      </c>
      <c r="N14" s="7">
        <f>IF(($H$14-(L10+L11+L12+L13+B14))&gt;=B14,B14,0)</f>
        <v>0</v>
      </c>
      <c r="O14" s="7">
        <f>IF(($H$14-(L10+L11+L12+L13+(B14*2)))&gt;=B14,B14,0)</f>
        <v>0</v>
      </c>
      <c r="P14" s="7">
        <f>IF(($H$14-(L10+L11+L12+L13+(B14*3)))&gt;=B14,B14,0)</f>
        <v>0</v>
      </c>
      <c r="Q14" s="290">
        <f>IF(($H$14-(L10+L11+L12+L13+(B14*4)))&gt;=B14,B14,0)</f>
        <v>0</v>
      </c>
      <c r="R14" s="18"/>
      <c r="S14" s="18"/>
      <c r="T14" s="18"/>
      <c r="U14" s="18"/>
      <c r="V14" s="18"/>
      <c r="W14" s="18"/>
      <c r="X14" s="18"/>
      <c r="Y14" s="18"/>
      <c r="Z14" s="18"/>
    </row>
    <row r="15" ht="12.75" customHeight="1">
      <c r="A15" s="7"/>
      <c r="B15" s="318">
        <v>1.25</v>
      </c>
      <c r="C15" s="319" t="str">
        <f t="shared" si="1"/>
        <v>kg</v>
      </c>
      <c r="D15" s="7"/>
      <c r="E15" s="328">
        <f t="shared" si="2"/>
        <v>1</v>
      </c>
      <c r="F15" s="322"/>
      <c r="G15" s="18"/>
      <c r="H15" s="18"/>
      <c r="I15" s="18"/>
      <c r="J15" s="18"/>
      <c r="K15" s="18"/>
      <c r="L15" s="332">
        <f t="shared" si="3"/>
        <v>1.25</v>
      </c>
      <c r="M15" s="333">
        <f>IF($H$14-(L10+L11+L12+L13+L14)&gt;=B15,B15,0)</f>
        <v>1.25</v>
      </c>
      <c r="N15" s="333">
        <f>IF(($H$14-(L10+L11+L12+L13+L14+B15))&gt;=B15,B15,0)</f>
        <v>0</v>
      </c>
      <c r="O15" s="333">
        <f>IF(($H$14-(L10+L11+L12+L13+L14+(B15*2)))&gt;=B15,B15,0)</f>
        <v>0</v>
      </c>
      <c r="P15" s="333">
        <f>IF(($H$14-(L10+L11+L12+L13+L14+(B15*3)))&gt;=B15,B15,0)</f>
        <v>0</v>
      </c>
      <c r="Q15" s="334">
        <f>IF(($H$14-(L10+L11+L12+L13+L14+(B15*4)))&gt;=B15,B15,0)</f>
        <v>0</v>
      </c>
      <c r="R15" s="18"/>
      <c r="S15" s="18"/>
      <c r="T15" s="18"/>
      <c r="U15" s="18"/>
      <c r="V15" s="18"/>
      <c r="W15" s="18"/>
      <c r="X15" s="18"/>
      <c r="Y15" s="18"/>
      <c r="Z15" s="18"/>
    </row>
    <row r="16" ht="12.75" customHeight="1">
      <c r="A16" s="7"/>
      <c r="B16" s="7"/>
      <c r="C16" s="7"/>
      <c r="D16" s="7"/>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7"/>
      <c r="B17" s="7"/>
      <c r="C17" s="7"/>
      <c r="D17" s="7"/>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7"/>
      <c r="B18" s="7"/>
      <c r="C18" s="7"/>
      <c r="D18" s="7"/>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7"/>
      <c r="B19" s="7"/>
      <c r="C19" s="7"/>
      <c r="D19" s="7"/>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7"/>
      <c r="B20" s="335" t="s">
        <v>398</v>
      </c>
      <c r="C20" s="7" t="s">
        <v>399</v>
      </c>
      <c r="D20" s="7"/>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7"/>
      <c r="B21" s="7"/>
      <c r="C21" s="7" t="s">
        <v>400</v>
      </c>
      <c r="D21" s="7"/>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7"/>
      <c r="B22" s="7"/>
      <c r="C22" s="7" t="s">
        <v>401</v>
      </c>
      <c r="D22" s="7"/>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7"/>
      <c r="B23" s="7"/>
      <c r="C23" s="7" t="s">
        <v>402</v>
      </c>
      <c r="D23" s="7"/>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7"/>
      <c r="B24" s="7"/>
      <c r="C24" s="7" t="s">
        <v>403</v>
      </c>
      <c r="D24" s="7"/>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7"/>
      <c r="B25" s="7"/>
      <c r="C25" s="7" t="s">
        <v>404</v>
      </c>
      <c r="D25" s="7"/>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7"/>
      <c r="B26" s="7"/>
      <c r="C26" s="7"/>
      <c r="D26" s="7"/>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7"/>
      <c r="B27" s="7"/>
      <c r="C27" s="7" t="s">
        <v>405</v>
      </c>
      <c r="D27" s="7"/>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7"/>
      <c r="B28" s="7"/>
      <c r="C28" s="7"/>
      <c r="D28" s="7"/>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6">
    <mergeCell ref="B3:C3"/>
    <mergeCell ref="B6:C6"/>
    <mergeCell ref="E8:F8"/>
    <mergeCell ref="B9:C9"/>
    <mergeCell ref="E9:F9"/>
    <mergeCell ref="L9:Q9"/>
    <mergeCell ref="H10:J10"/>
    <mergeCell ref="E14:F14"/>
    <mergeCell ref="E15:F15"/>
    <mergeCell ref="E10:F10"/>
    <mergeCell ref="E11:F11"/>
    <mergeCell ref="H11:I11"/>
    <mergeCell ref="E12:F12"/>
    <mergeCell ref="E13:F13"/>
    <mergeCell ref="H13:J13"/>
    <mergeCell ref="H14:I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2" width="12.63"/>
  </cols>
  <sheetData>
    <row r="1">
      <c r="A1" s="336" t="s">
        <v>406</v>
      </c>
      <c r="B1" s="336"/>
      <c r="C1" s="336" t="s">
        <v>407</v>
      </c>
      <c r="D1" s="19"/>
      <c r="E1" s="336" t="s">
        <v>31</v>
      </c>
      <c r="F1" s="336"/>
      <c r="G1" s="336" t="s">
        <v>33</v>
      </c>
      <c r="H1" s="19"/>
      <c r="I1" s="19"/>
      <c r="J1" s="19"/>
      <c r="K1" s="19"/>
      <c r="L1" s="19"/>
    </row>
    <row r="2">
      <c r="A2" s="336" t="s">
        <v>408</v>
      </c>
      <c r="B2" s="337">
        <v>87.0</v>
      </c>
      <c r="C2" s="336" t="s">
        <v>408</v>
      </c>
      <c r="D2" s="337">
        <v>87.0</v>
      </c>
      <c r="E2" s="336" t="s">
        <v>408</v>
      </c>
      <c r="F2" s="337">
        <v>87.0</v>
      </c>
      <c r="G2" s="336" t="s">
        <v>408</v>
      </c>
      <c r="H2" s="337">
        <v>87.0</v>
      </c>
      <c r="I2" s="19"/>
      <c r="J2" s="19"/>
      <c r="K2" s="19"/>
      <c r="L2" s="19"/>
    </row>
    <row r="3">
      <c r="A3" s="336" t="s">
        <v>409</v>
      </c>
      <c r="B3" s="337">
        <v>60.0</v>
      </c>
      <c r="C3" s="336" t="s">
        <v>409</v>
      </c>
      <c r="D3" s="337">
        <v>37.0</v>
      </c>
      <c r="E3" s="336" t="s">
        <v>409</v>
      </c>
      <c r="F3" s="337">
        <v>95.0</v>
      </c>
      <c r="G3" s="336" t="s">
        <v>409</v>
      </c>
      <c r="H3" s="337">
        <v>79.0</v>
      </c>
      <c r="I3" s="19"/>
      <c r="J3" s="19"/>
      <c r="K3" s="19"/>
      <c r="L3" s="19"/>
    </row>
    <row r="4">
      <c r="A4" s="336" t="s">
        <v>410</v>
      </c>
      <c r="B4" s="337">
        <v>81.0</v>
      </c>
      <c r="C4" s="336" t="s">
        <v>410</v>
      </c>
      <c r="D4" s="337">
        <v>52.0</v>
      </c>
      <c r="E4" s="336" t="s">
        <v>410</v>
      </c>
      <c r="F4" s="337">
        <v>125.0</v>
      </c>
      <c r="G4" s="336" t="s">
        <v>410</v>
      </c>
      <c r="H4" s="337">
        <v>106.0</v>
      </c>
      <c r="I4" s="19"/>
      <c r="J4" s="19"/>
      <c r="K4" s="19"/>
      <c r="L4" s="19"/>
    </row>
    <row r="5">
      <c r="A5" s="336" t="s">
        <v>411</v>
      </c>
      <c r="B5" s="337">
        <v>106.0</v>
      </c>
      <c r="C5" s="336" t="s">
        <v>411</v>
      </c>
      <c r="D5" s="337">
        <v>71.0</v>
      </c>
      <c r="E5" s="336" t="s">
        <v>411</v>
      </c>
      <c r="F5" s="337">
        <v>161.0</v>
      </c>
      <c r="G5" s="336" t="s">
        <v>411</v>
      </c>
      <c r="H5" s="337">
        <v>139.0</v>
      </c>
      <c r="I5" s="336"/>
      <c r="J5" s="336"/>
      <c r="K5" s="336"/>
      <c r="L5" s="336"/>
    </row>
    <row r="6">
      <c r="A6" s="336" t="s">
        <v>412</v>
      </c>
      <c r="B6" s="337">
        <v>135.0</v>
      </c>
      <c r="C6" s="336" t="s">
        <v>412</v>
      </c>
      <c r="D6" s="337">
        <v>92.0</v>
      </c>
      <c r="E6" s="336" t="s">
        <v>412</v>
      </c>
      <c r="F6" s="337">
        <v>201.0</v>
      </c>
      <c r="G6" s="336" t="s">
        <v>412</v>
      </c>
      <c r="H6" s="337">
        <v>176.0</v>
      </c>
      <c r="I6" s="336"/>
      <c r="J6" s="336"/>
      <c r="K6" s="336"/>
      <c r="L6" s="336"/>
    </row>
    <row r="7">
      <c r="A7" s="336" t="s">
        <v>413</v>
      </c>
      <c r="B7" s="337">
        <v>166.0</v>
      </c>
      <c r="C7" s="336" t="s">
        <v>413</v>
      </c>
      <c r="D7" s="337">
        <v>116.0</v>
      </c>
      <c r="E7" s="336" t="s">
        <v>413</v>
      </c>
      <c r="F7" s="337">
        <v>244.0</v>
      </c>
      <c r="G7" s="336" t="s">
        <v>413</v>
      </c>
      <c r="H7" s="337">
        <v>216.0</v>
      </c>
      <c r="I7" s="19"/>
      <c r="J7" s="19"/>
      <c r="K7" s="19"/>
      <c r="L7" s="19"/>
    </row>
    <row r="8">
      <c r="A8" s="19"/>
      <c r="B8" s="19"/>
      <c r="C8" s="19"/>
      <c r="D8" s="19"/>
      <c r="E8" s="19"/>
      <c r="F8" s="19"/>
      <c r="G8" s="336"/>
      <c r="H8" s="336"/>
      <c r="I8" s="336"/>
      <c r="J8" s="336"/>
      <c r="K8" s="336"/>
      <c r="L8" s="336"/>
    </row>
    <row r="9">
      <c r="A9" s="19"/>
      <c r="B9" s="19"/>
      <c r="C9" s="19"/>
      <c r="D9" s="19"/>
      <c r="E9" s="19"/>
      <c r="F9" s="19"/>
      <c r="G9" s="19"/>
      <c r="H9" s="336"/>
      <c r="I9" s="336"/>
      <c r="J9" s="336"/>
      <c r="K9" s="336"/>
      <c r="L9" s="336"/>
    </row>
    <row r="10">
      <c r="A10" s="19"/>
      <c r="B10" s="19"/>
      <c r="C10" s="19"/>
      <c r="D10" s="19"/>
      <c r="E10" s="19"/>
      <c r="F10" s="19"/>
      <c r="G10" s="336"/>
      <c r="H10" s="336"/>
      <c r="I10" s="336"/>
      <c r="J10" s="336"/>
      <c r="K10" s="336"/>
      <c r="L10" s="336"/>
    </row>
    <row r="11">
      <c r="A11" s="19"/>
      <c r="B11" s="19"/>
      <c r="C11" s="19"/>
      <c r="D11" s="19"/>
      <c r="E11" s="19"/>
      <c r="F11" s="19"/>
      <c r="G11" s="19"/>
      <c r="H11" s="19"/>
      <c r="I11" s="19"/>
      <c r="J11" s="19"/>
      <c r="K11" s="19"/>
      <c r="L11" s="19"/>
    </row>
    <row r="12">
      <c r="A12" s="19"/>
      <c r="B12" s="19"/>
      <c r="C12" s="19"/>
      <c r="D12" s="19"/>
      <c r="E12" s="19"/>
      <c r="F12" s="19"/>
      <c r="G12" s="336"/>
      <c r="H12" s="336"/>
      <c r="I12" s="336"/>
      <c r="J12" s="336"/>
      <c r="K12" s="336"/>
      <c r="L12" s="336"/>
    </row>
    <row r="13">
      <c r="A13" s="19"/>
      <c r="B13" s="19"/>
      <c r="C13" s="19"/>
      <c r="D13" s="19"/>
      <c r="E13" s="19"/>
      <c r="F13" s="19"/>
      <c r="G13" s="19"/>
      <c r="H13" s="336"/>
      <c r="I13" s="336"/>
      <c r="J13" s="336"/>
      <c r="K13" s="336"/>
      <c r="L13" s="336"/>
    </row>
    <row r="14">
      <c r="A14" s="19"/>
      <c r="B14" s="19"/>
      <c r="C14" s="19"/>
      <c r="D14" s="19"/>
      <c r="E14" s="19"/>
      <c r="F14" s="19"/>
      <c r="G14" s="19"/>
      <c r="H14" s="336"/>
      <c r="I14" s="336"/>
      <c r="J14" s="336"/>
      <c r="K14" s="336"/>
      <c r="L14" s="336"/>
    </row>
    <row r="15">
      <c r="A15" s="19"/>
      <c r="B15" s="19"/>
      <c r="C15" s="19"/>
      <c r="D15" s="19"/>
      <c r="E15" s="19"/>
      <c r="F15" s="19"/>
      <c r="G15" s="19"/>
      <c r="H15" s="19"/>
      <c r="I15" s="19"/>
      <c r="J15" s="19"/>
      <c r="K15" s="19"/>
      <c r="L15" s="19"/>
    </row>
    <row r="16">
      <c r="A16" s="19"/>
      <c r="B16" s="19"/>
      <c r="C16" s="19"/>
      <c r="D16" s="19"/>
      <c r="E16" s="19"/>
      <c r="F16" s="19"/>
      <c r="G16" s="19"/>
      <c r="H16" s="19"/>
      <c r="I16" s="19"/>
      <c r="J16" s="19"/>
      <c r="K16" s="19"/>
      <c r="L16" s="19"/>
    </row>
    <row r="17">
      <c r="A17" s="19"/>
      <c r="B17" s="19"/>
      <c r="C17" s="19"/>
      <c r="D17" s="19"/>
      <c r="E17" s="19"/>
      <c r="F17" s="19"/>
      <c r="G17" s="19"/>
      <c r="H17" s="19"/>
      <c r="I17" s="19"/>
      <c r="J17" s="19"/>
      <c r="K17" s="19"/>
      <c r="L17" s="19"/>
    </row>
    <row r="18">
      <c r="A18" s="19"/>
      <c r="B18" s="19"/>
      <c r="C18" s="19"/>
      <c r="D18" s="19"/>
      <c r="E18" s="19"/>
      <c r="F18" s="19"/>
      <c r="G18" s="19"/>
      <c r="H18" s="19"/>
      <c r="I18" s="19"/>
      <c r="J18" s="19"/>
      <c r="K18" s="19"/>
      <c r="L18" s="19"/>
    </row>
    <row r="19">
      <c r="A19" s="19"/>
      <c r="B19" s="19"/>
      <c r="C19" s="19"/>
      <c r="D19" s="19"/>
      <c r="E19" s="19"/>
      <c r="F19" s="19"/>
      <c r="G19" s="19"/>
      <c r="H19" s="19"/>
      <c r="I19" s="19"/>
      <c r="J19" s="19"/>
      <c r="K19" s="19"/>
      <c r="L19" s="19"/>
    </row>
    <row r="20">
      <c r="A20" s="19"/>
      <c r="B20" s="19"/>
      <c r="C20" s="19"/>
      <c r="D20" s="19"/>
      <c r="E20" s="19"/>
      <c r="F20" s="19"/>
      <c r="G20" s="19"/>
      <c r="H20" s="19"/>
      <c r="I20" s="19"/>
      <c r="J20" s="19"/>
      <c r="K20" s="19"/>
      <c r="L20" s="19"/>
    </row>
    <row r="21">
      <c r="A21" s="19"/>
      <c r="B21" s="19"/>
      <c r="C21" s="19"/>
      <c r="D21" s="19"/>
      <c r="E21" s="19"/>
      <c r="F21" s="19"/>
      <c r="G21" s="19"/>
      <c r="H21" s="19"/>
      <c r="I21" s="19"/>
      <c r="J21" s="19"/>
      <c r="K21" s="19"/>
      <c r="L21" s="19"/>
    </row>
    <row r="22">
      <c r="A22" s="19"/>
      <c r="B22" s="19"/>
      <c r="C22" s="19"/>
      <c r="D22" s="19"/>
      <c r="E22" s="19"/>
      <c r="F22" s="19"/>
      <c r="G22" s="19"/>
      <c r="H22" s="19"/>
      <c r="I22" s="19"/>
      <c r="J22" s="19"/>
      <c r="K22" s="19"/>
      <c r="L22" s="19"/>
    </row>
    <row r="23">
      <c r="A23" s="19"/>
      <c r="B23" s="19"/>
      <c r="C23" s="19"/>
      <c r="D23" s="19"/>
      <c r="E23" s="19"/>
      <c r="F23" s="19"/>
      <c r="G23" s="19"/>
      <c r="H23" s="19"/>
      <c r="I23" s="19"/>
      <c r="J23" s="19"/>
      <c r="K23" s="19"/>
      <c r="L23" s="19"/>
    </row>
    <row r="24">
      <c r="A24" s="19"/>
      <c r="B24" s="19"/>
      <c r="C24" s="19"/>
      <c r="D24" s="19"/>
      <c r="E24" s="19"/>
      <c r="F24" s="19"/>
      <c r="G24" s="19"/>
      <c r="H24" s="19"/>
      <c r="I24" s="19"/>
      <c r="J24" s="19"/>
      <c r="K24" s="19"/>
      <c r="L24" s="19"/>
    </row>
    <row r="25">
      <c r="A25" s="19"/>
      <c r="B25" s="19"/>
      <c r="C25" s="19"/>
      <c r="D25" s="19"/>
      <c r="E25" s="19"/>
      <c r="F25" s="19"/>
      <c r="G25" s="19"/>
      <c r="H25" s="19"/>
      <c r="I25" s="19"/>
      <c r="J25" s="19"/>
      <c r="K25" s="19"/>
      <c r="L25" s="19"/>
    </row>
    <row r="26">
      <c r="A26" s="19"/>
      <c r="B26" s="19"/>
      <c r="C26" s="19"/>
      <c r="D26" s="19"/>
      <c r="E26" s="19"/>
      <c r="F26" s="19"/>
      <c r="G26" s="19"/>
      <c r="H26" s="19"/>
      <c r="I26" s="19"/>
      <c r="J26" s="19"/>
      <c r="K26" s="19"/>
      <c r="L26" s="19"/>
    </row>
    <row r="27">
      <c r="A27" s="19"/>
      <c r="B27" s="19"/>
      <c r="C27" s="19"/>
      <c r="D27" s="19"/>
      <c r="E27" s="19"/>
      <c r="F27" s="19"/>
      <c r="G27" s="19"/>
      <c r="H27" s="19"/>
      <c r="I27" s="19"/>
      <c r="J27" s="19"/>
      <c r="K27" s="19"/>
      <c r="L27" s="19"/>
    </row>
    <row r="28">
      <c r="A28" s="19"/>
      <c r="B28" s="19"/>
      <c r="C28" s="19"/>
      <c r="D28" s="19"/>
      <c r="E28" s="19"/>
      <c r="F28" s="19"/>
      <c r="G28" s="19"/>
      <c r="H28" s="19"/>
      <c r="I28" s="19"/>
      <c r="J28" s="19"/>
      <c r="K28" s="19"/>
      <c r="L28" s="19"/>
    </row>
    <row r="29">
      <c r="A29" s="19"/>
      <c r="B29" s="19"/>
      <c r="C29" s="19"/>
      <c r="D29" s="19"/>
      <c r="E29" s="19"/>
      <c r="F29" s="19"/>
      <c r="G29" s="19"/>
      <c r="H29" s="19"/>
      <c r="I29" s="19"/>
      <c r="J29" s="19"/>
      <c r="K29" s="19"/>
      <c r="L29" s="19"/>
    </row>
    <row r="30">
      <c r="A30" s="19"/>
      <c r="B30" s="19"/>
      <c r="C30" s="19"/>
      <c r="D30" s="19"/>
      <c r="E30" s="19"/>
      <c r="F30" s="19"/>
      <c r="G30" s="19"/>
      <c r="H30" s="19"/>
      <c r="I30" s="19"/>
      <c r="J30" s="19"/>
      <c r="K30" s="19"/>
      <c r="L30" s="19"/>
    </row>
    <row r="31">
      <c r="A31" s="19"/>
      <c r="B31" s="19"/>
      <c r="C31" s="19"/>
      <c r="D31" s="19"/>
      <c r="E31" s="19"/>
      <c r="F31" s="19"/>
      <c r="G31" s="19"/>
      <c r="H31" s="19"/>
      <c r="I31" s="19"/>
      <c r="J31" s="19"/>
      <c r="K31" s="19"/>
      <c r="L31" s="19"/>
    </row>
    <row r="32">
      <c r="A32" s="19"/>
      <c r="B32" s="19"/>
      <c r="C32" s="19"/>
      <c r="D32" s="19"/>
      <c r="E32" s="19"/>
      <c r="F32" s="19"/>
      <c r="G32" s="19"/>
      <c r="H32" s="19"/>
      <c r="I32" s="19"/>
      <c r="J32" s="19"/>
      <c r="K32" s="19"/>
      <c r="L32" s="19"/>
    </row>
    <row r="33">
      <c r="A33" s="19"/>
      <c r="B33" s="19"/>
      <c r="C33" s="19"/>
      <c r="D33" s="19"/>
      <c r="E33" s="19"/>
      <c r="F33" s="19"/>
      <c r="G33" s="19"/>
      <c r="H33" s="19"/>
      <c r="I33" s="19"/>
      <c r="J33" s="19"/>
      <c r="K33" s="19"/>
      <c r="L33" s="19"/>
    </row>
    <row r="34">
      <c r="A34" s="19"/>
      <c r="B34" s="19"/>
      <c r="C34" s="19"/>
      <c r="D34" s="19"/>
      <c r="E34" s="19"/>
      <c r="F34" s="19"/>
      <c r="G34" s="19"/>
      <c r="H34" s="19"/>
      <c r="I34" s="19"/>
      <c r="J34" s="19"/>
      <c r="K34" s="19"/>
      <c r="L34" s="19"/>
    </row>
    <row r="35">
      <c r="A35" s="19"/>
      <c r="B35" s="19"/>
      <c r="C35" s="19"/>
      <c r="D35" s="19"/>
      <c r="E35" s="19"/>
      <c r="F35" s="19"/>
      <c r="G35" s="19"/>
      <c r="H35" s="19"/>
      <c r="I35" s="19"/>
      <c r="J35" s="19"/>
      <c r="K35" s="19"/>
      <c r="L35" s="19"/>
    </row>
    <row r="36">
      <c r="A36" s="19"/>
      <c r="B36" s="19"/>
      <c r="C36" s="19"/>
      <c r="D36" s="19"/>
      <c r="E36" s="19"/>
      <c r="F36" s="19"/>
      <c r="G36" s="19"/>
      <c r="H36" s="19"/>
      <c r="I36" s="19"/>
      <c r="J36" s="19"/>
      <c r="K36" s="19"/>
      <c r="L36" s="19"/>
    </row>
    <row r="37">
      <c r="A37" s="19"/>
      <c r="B37" s="19"/>
      <c r="C37" s="19"/>
      <c r="D37" s="19"/>
      <c r="E37" s="19"/>
      <c r="F37" s="19"/>
      <c r="G37" s="19"/>
      <c r="H37" s="19"/>
      <c r="I37" s="19"/>
      <c r="J37" s="19"/>
      <c r="K37" s="19"/>
      <c r="L37" s="19"/>
    </row>
    <row r="38">
      <c r="A38" s="19"/>
      <c r="B38" s="19"/>
      <c r="C38" s="19"/>
      <c r="D38" s="19"/>
      <c r="E38" s="19"/>
      <c r="F38" s="19"/>
      <c r="G38" s="19"/>
      <c r="H38" s="19"/>
      <c r="I38" s="19"/>
      <c r="J38" s="19"/>
      <c r="K38" s="19"/>
      <c r="L38" s="19"/>
    </row>
    <row r="39">
      <c r="A39" s="19"/>
      <c r="B39" s="19"/>
      <c r="C39" s="19"/>
      <c r="D39" s="19"/>
      <c r="E39" s="19"/>
      <c r="F39" s="19"/>
      <c r="G39" s="19"/>
      <c r="H39" s="19"/>
      <c r="I39" s="19"/>
      <c r="J39" s="19"/>
      <c r="K39" s="19"/>
      <c r="L39" s="19"/>
    </row>
    <row r="40">
      <c r="A40" s="19"/>
      <c r="B40" s="19"/>
      <c r="C40" s="19"/>
      <c r="D40" s="19"/>
      <c r="E40" s="19"/>
      <c r="F40" s="19"/>
      <c r="G40" s="19"/>
      <c r="H40" s="19"/>
      <c r="I40" s="19"/>
      <c r="J40" s="19"/>
      <c r="K40" s="19"/>
      <c r="L40" s="19"/>
    </row>
    <row r="41">
      <c r="A41" s="19"/>
      <c r="B41" s="19"/>
      <c r="C41" s="19"/>
      <c r="D41" s="19"/>
      <c r="E41" s="19"/>
      <c r="F41" s="19"/>
      <c r="G41" s="19"/>
      <c r="H41" s="19"/>
      <c r="I41" s="19"/>
      <c r="J41" s="19"/>
      <c r="K41" s="19"/>
      <c r="L41" s="19"/>
    </row>
    <row r="42">
      <c r="A42" s="19"/>
      <c r="B42" s="19"/>
      <c r="C42" s="19"/>
      <c r="D42" s="19"/>
      <c r="E42" s="19"/>
      <c r="F42" s="19"/>
      <c r="G42" s="19"/>
      <c r="H42" s="19"/>
      <c r="I42" s="19"/>
      <c r="J42" s="19"/>
      <c r="K42" s="19"/>
      <c r="L42" s="19"/>
    </row>
    <row r="43">
      <c r="A43" s="19"/>
      <c r="B43" s="19"/>
      <c r="C43" s="19"/>
      <c r="D43" s="19"/>
      <c r="E43" s="19"/>
      <c r="F43" s="19"/>
      <c r="G43" s="19"/>
      <c r="H43" s="19"/>
      <c r="I43" s="19"/>
      <c r="J43" s="19"/>
      <c r="K43" s="19"/>
      <c r="L43" s="19"/>
    </row>
    <row r="44">
      <c r="A44" s="19"/>
      <c r="B44" s="19"/>
      <c r="C44" s="19"/>
      <c r="D44" s="19"/>
      <c r="E44" s="19"/>
      <c r="F44" s="19"/>
      <c r="G44" s="19"/>
      <c r="H44" s="19"/>
      <c r="I44" s="19"/>
      <c r="J44" s="19"/>
      <c r="K44" s="19"/>
      <c r="L44" s="19"/>
    </row>
    <row r="45">
      <c r="A45" s="19"/>
      <c r="B45" s="19"/>
      <c r="C45" s="19"/>
      <c r="D45" s="19"/>
      <c r="E45" s="19"/>
      <c r="F45" s="19"/>
      <c r="G45" s="19"/>
      <c r="H45" s="19"/>
      <c r="I45" s="19"/>
      <c r="J45" s="19"/>
      <c r="K45" s="19"/>
      <c r="L45" s="19"/>
    </row>
    <row r="46">
      <c r="A46" s="19"/>
      <c r="B46" s="19"/>
      <c r="C46" s="19"/>
      <c r="D46" s="19"/>
      <c r="E46" s="19"/>
      <c r="F46" s="19"/>
      <c r="G46" s="19"/>
      <c r="H46" s="19"/>
      <c r="I46" s="19"/>
      <c r="J46" s="19"/>
      <c r="K46" s="19"/>
      <c r="L46" s="19"/>
    </row>
    <row r="47">
      <c r="A47" s="19"/>
      <c r="B47" s="19"/>
      <c r="C47" s="19"/>
      <c r="D47" s="19"/>
      <c r="E47" s="19"/>
      <c r="F47" s="19"/>
      <c r="G47" s="19"/>
      <c r="H47" s="19"/>
      <c r="I47" s="19"/>
      <c r="J47" s="19"/>
      <c r="K47" s="19"/>
      <c r="L47" s="19"/>
    </row>
    <row r="48">
      <c r="A48" s="19"/>
      <c r="B48" s="19"/>
      <c r="C48" s="19"/>
      <c r="D48" s="19"/>
      <c r="E48" s="19"/>
      <c r="F48" s="19"/>
      <c r="G48" s="19"/>
      <c r="H48" s="19"/>
      <c r="I48" s="19"/>
      <c r="J48" s="19"/>
      <c r="K48" s="19"/>
      <c r="L48" s="19"/>
    </row>
    <row r="49">
      <c r="A49" s="19"/>
      <c r="B49" s="19"/>
      <c r="C49" s="19"/>
      <c r="D49" s="19"/>
      <c r="E49" s="19"/>
      <c r="F49" s="19"/>
      <c r="G49" s="19"/>
      <c r="H49" s="19"/>
      <c r="I49" s="19"/>
      <c r="J49" s="19"/>
      <c r="K49" s="19"/>
      <c r="L49" s="19"/>
    </row>
    <row r="50">
      <c r="A50" s="19"/>
      <c r="B50" s="19"/>
      <c r="C50" s="19"/>
      <c r="D50" s="19"/>
      <c r="E50" s="19"/>
      <c r="F50" s="19"/>
      <c r="G50" s="19"/>
      <c r="H50" s="19"/>
      <c r="I50" s="19"/>
      <c r="J50" s="19"/>
      <c r="K50" s="19"/>
      <c r="L50" s="19"/>
    </row>
    <row r="51">
      <c r="A51" s="19"/>
      <c r="B51" s="19"/>
      <c r="C51" s="19"/>
      <c r="D51" s="19"/>
      <c r="E51" s="19"/>
      <c r="F51" s="19"/>
      <c r="G51" s="19"/>
      <c r="H51" s="19"/>
      <c r="I51" s="19"/>
      <c r="J51" s="19"/>
      <c r="K51" s="19"/>
      <c r="L51" s="19"/>
    </row>
    <row r="52">
      <c r="A52" s="19"/>
      <c r="B52" s="19"/>
      <c r="C52" s="19"/>
      <c r="D52" s="19"/>
      <c r="E52" s="19"/>
      <c r="F52" s="19"/>
      <c r="G52" s="19"/>
      <c r="H52" s="19"/>
      <c r="I52" s="19"/>
      <c r="J52" s="19"/>
      <c r="K52" s="19"/>
      <c r="L52" s="19"/>
    </row>
    <row r="53">
      <c r="A53" s="19"/>
      <c r="B53" s="19"/>
      <c r="C53" s="19"/>
      <c r="D53" s="19"/>
      <c r="E53" s="19"/>
      <c r="F53" s="19"/>
      <c r="G53" s="19"/>
      <c r="H53" s="19"/>
      <c r="I53" s="19"/>
      <c r="J53" s="19"/>
      <c r="K53" s="19"/>
      <c r="L53" s="19"/>
    </row>
    <row r="54">
      <c r="A54" s="19"/>
      <c r="B54" s="19"/>
      <c r="C54" s="19"/>
      <c r="D54" s="19"/>
      <c r="E54" s="19"/>
      <c r="F54" s="19"/>
      <c r="G54" s="19"/>
      <c r="H54" s="19"/>
      <c r="I54" s="19"/>
      <c r="J54" s="19"/>
      <c r="K54" s="19"/>
      <c r="L54" s="19"/>
    </row>
    <row r="55">
      <c r="A55" s="19"/>
      <c r="B55" s="19"/>
      <c r="C55" s="19"/>
      <c r="D55" s="19"/>
      <c r="E55" s="19"/>
      <c r="F55" s="19"/>
      <c r="G55" s="19"/>
      <c r="H55" s="19"/>
      <c r="I55" s="19"/>
      <c r="J55" s="19"/>
      <c r="K55" s="19"/>
      <c r="L55" s="19"/>
    </row>
    <row r="56">
      <c r="A56" s="19"/>
      <c r="B56" s="19"/>
      <c r="C56" s="19"/>
      <c r="D56" s="19"/>
      <c r="E56" s="19"/>
      <c r="F56" s="19"/>
      <c r="G56" s="19"/>
      <c r="H56" s="19"/>
      <c r="I56" s="19"/>
      <c r="J56" s="19"/>
      <c r="K56" s="19"/>
      <c r="L56" s="19"/>
    </row>
    <row r="57">
      <c r="A57" s="19"/>
      <c r="B57" s="19"/>
      <c r="C57" s="19"/>
      <c r="D57" s="19"/>
      <c r="E57" s="19"/>
      <c r="F57" s="19"/>
      <c r="G57" s="19"/>
      <c r="H57" s="19"/>
      <c r="I57" s="19"/>
      <c r="J57" s="19"/>
      <c r="K57" s="19"/>
      <c r="L57" s="19"/>
    </row>
    <row r="58">
      <c r="A58" s="19"/>
      <c r="B58" s="19"/>
      <c r="C58" s="19"/>
      <c r="D58" s="19"/>
      <c r="E58" s="19"/>
      <c r="F58" s="19"/>
      <c r="G58" s="19"/>
      <c r="H58" s="19"/>
      <c r="I58" s="19"/>
      <c r="J58" s="19"/>
      <c r="K58" s="19"/>
      <c r="L58" s="19"/>
    </row>
    <row r="59">
      <c r="A59" s="19"/>
      <c r="B59" s="19"/>
      <c r="C59" s="19"/>
      <c r="D59" s="19"/>
      <c r="E59" s="19"/>
      <c r="F59" s="19"/>
      <c r="G59" s="19"/>
      <c r="H59" s="19"/>
      <c r="I59" s="19"/>
      <c r="J59" s="19"/>
      <c r="K59" s="19"/>
      <c r="L59" s="19"/>
    </row>
    <row r="60">
      <c r="A60" s="19"/>
      <c r="B60" s="19"/>
      <c r="C60" s="19"/>
      <c r="D60" s="19"/>
      <c r="E60" s="19"/>
      <c r="F60" s="19"/>
      <c r="G60" s="19"/>
      <c r="H60" s="19"/>
      <c r="I60" s="19"/>
      <c r="J60" s="19"/>
      <c r="K60" s="19"/>
      <c r="L60" s="19"/>
    </row>
    <row r="61">
      <c r="A61" s="19"/>
      <c r="B61" s="19"/>
      <c r="C61" s="19"/>
      <c r="D61" s="19"/>
      <c r="E61" s="19"/>
      <c r="F61" s="19"/>
      <c r="G61" s="19"/>
      <c r="H61" s="19"/>
      <c r="I61" s="19"/>
      <c r="J61" s="19"/>
      <c r="K61" s="19"/>
      <c r="L61" s="19"/>
    </row>
    <row r="62">
      <c r="A62" s="19"/>
      <c r="B62" s="19"/>
      <c r="C62" s="19"/>
      <c r="D62" s="19"/>
      <c r="E62" s="19"/>
      <c r="F62" s="19"/>
      <c r="G62" s="19"/>
      <c r="H62" s="19"/>
      <c r="I62" s="19"/>
      <c r="J62" s="19"/>
      <c r="K62" s="19"/>
      <c r="L62" s="19"/>
    </row>
    <row r="63">
      <c r="A63" s="19"/>
      <c r="B63" s="19"/>
      <c r="C63" s="19"/>
      <c r="D63" s="19"/>
      <c r="E63" s="19"/>
      <c r="F63" s="19"/>
      <c r="G63" s="19"/>
      <c r="H63" s="19"/>
      <c r="I63" s="19"/>
      <c r="J63" s="19"/>
      <c r="K63" s="19"/>
      <c r="L63" s="19"/>
    </row>
    <row r="64">
      <c r="A64" s="19"/>
      <c r="B64" s="19"/>
      <c r="C64" s="19"/>
      <c r="D64" s="19"/>
      <c r="E64" s="19"/>
      <c r="F64" s="19"/>
      <c r="G64" s="19"/>
      <c r="H64" s="19"/>
      <c r="I64" s="19"/>
      <c r="J64" s="19"/>
      <c r="K64" s="19"/>
      <c r="L64" s="19"/>
    </row>
    <row r="65">
      <c r="A65" s="19"/>
      <c r="B65" s="19"/>
      <c r="C65" s="19"/>
      <c r="D65" s="19"/>
      <c r="E65" s="19"/>
      <c r="F65" s="19"/>
      <c r="G65" s="19"/>
      <c r="H65" s="19"/>
      <c r="I65" s="19"/>
      <c r="J65" s="19"/>
      <c r="K65" s="19"/>
      <c r="L65" s="19"/>
    </row>
    <row r="66">
      <c r="A66" s="19"/>
      <c r="B66" s="19"/>
      <c r="C66" s="19"/>
      <c r="D66" s="19"/>
      <c r="E66" s="19"/>
      <c r="F66" s="19"/>
      <c r="G66" s="19"/>
      <c r="H66" s="19"/>
      <c r="I66" s="19"/>
      <c r="J66" s="19"/>
      <c r="K66" s="19"/>
      <c r="L66" s="19"/>
    </row>
    <row r="67">
      <c r="A67" s="19"/>
      <c r="B67" s="19"/>
      <c r="C67" s="19"/>
      <c r="D67" s="19"/>
      <c r="E67" s="19"/>
      <c r="F67" s="19"/>
      <c r="G67" s="19"/>
      <c r="H67" s="19"/>
      <c r="I67" s="19"/>
      <c r="J67" s="19"/>
      <c r="K67" s="19"/>
      <c r="L67" s="19"/>
    </row>
    <row r="68">
      <c r="A68" s="19"/>
      <c r="B68" s="19"/>
      <c r="C68" s="19"/>
      <c r="D68" s="19"/>
      <c r="E68" s="19"/>
      <c r="F68" s="19"/>
      <c r="G68" s="19"/>
      <c r="H68" s="19"/>
      <c r="I68" s="19"/>
      <c r="J68" s="19"/>
      <c r="K68" s="19"/>
      <c r="L68" s="19"/>
    </row>
    <row r="69">
      <c r="A69" s="19"/>
      <c r="B69" s="19"/>
      <c r="C69" s="19"/>
      <c r="D69" s="19"/>
      <c r="E69" s="19"/>
      <c r="F69" s="19"/>
      <c r="G69" s="19"/>
      <c r="H69" s="19"/>
      <c r="I69" s="19"/>
      <c r="J69" s="19"/>
      <c r="K69" s="19"/>
      <c r="L69" s="19"/>
    </row>
    <row r="70">
      <c r="A70" s="19"/>
      <c r="B70" s="19"/>
      <c r="C70" s="19"/>
      <c r="D70" s="19"/>
      <c r="E70" s="19"/>
      <c r="F70" s="19"/>
      <c r="G70" s="19"/>
      <c r="H70" s="19"/>
      <c r="I70" s="19"/>
      <c r="J70" s="19"/>
      <c r="K70" s="19"/>
      <c r="L70" s="19"/>
    </row>
    <row r="71">
      <c r="A71" s="19"/>
      <c r="B71" s="19"/>
      <c r="C71" s="19"/>
      <c r="D71" s="19"/>
      <c r="E71" s="19"/>
      <c r="F71" s="19"/>
      <c r="G71" s="19"/>
      <c r="H71" s="19"/>
      <c r="I71" s="19"/>
      <c r="J71" s="19"/>
      <c r="K71" s="19"/>
      <c r="L71" s="19"/>
    </row>
    <row r="72">
      <c r="A72" s="19"/>
      <c r="B72" s="19"/>
      <c r="C72" s="19"/>
      <c r="D72" s="19"/>
      <c r="E72" s="19"/>
      <c r="F72" s="19"/>
      <c r="G72" s="19"/>
      <c r="H72" s="19"/>
      <c r="I72" s="19"/>
      <c r="J72" s="19"/>
      <c r="K72" s="19"/>
      <c r="L72" s="19"/>
    </row>
    <row r="73">
      <c r="A73" s="19"/>
      <c r="B73" s="19"/>
      <c r="C73" s="19"/>
      <c r="D73" s="19"/>
      <c r="E73" s="19"/>
      <c r="F73" s="19"/>
      <c r="G73" s="19"/>
      <c r="H73" s="19"/>
      <c r="I73" s="19"/>
      <c r="J73" s="19"/>
      <c r="K73" s="19"/>
      <c r="L73" s="19"/>
    </row>
    <row r="74">
      <c r="A74" s="19"/>
      <c r="B74" s="19"/>
      <c r="C74" s="19"/>
      <c r="D74" s="19"/>
      <c r="E74" s="19"/>
      <c r="F74" s="19"/>
      <c r="G74" s="19"/>
      <c r="H74" s="19"/>
      <c r="I74" s="19"/>
      <c r="J74" s="19"/>
      <c r="K74" s="19"/>
      <c r="L74" s="19"/>
    </row>
    <row r="75">
      <c r="A75" s="19"/>
      <c r="B75" s="19"/>
      <c r="C75" s="19"/>
      <c r="D75" s="19"/>
      <c r="E75" s="19"/>
      <c r="F75" s="19"/>
      <c r="G75" s="19"/>
      <c r="H75" s="19"/>
      <c r="I75" s="19"/>
      <c r="J75" s="19"/>
      <c r="K75" s="19"/>
      <c r="L75" s="19"/>
    </row>
    <row r="76">
      <c r="A76" s="19"/>
      <c r="B76" s="19"/>
      <c r="C76" s="19"/>
      <c r="D76" s="19"/>
      <c r="E76" s="19"/>
      <c r="F76" s="19"/>
      <c r="G76" s="19"/>
      <c r="H76" s="19"/>
      <c r="I76" s="19"/>
      <c r="J76" s="19"/>
      <c r="K76" s="19"/>
      <c r="L76" s="19"/>
    </row>
    <row r="77">
      <c r="A77" s="19"/>
      <c r="B77" s="19"/>
      <c r="C77" s="19"/>
      <c r="D77" s="19"/>
      <c r="E77" s="19"/>
      <c r="F77" s="19"/>
      <c r="G77" s="19"/>
      <c r="H77" s="19"/>
      <c r="I77" s="19"/>
      <c r="J77" s="19"/>
      <c r="K77" s="19"/>
      <c r="L77" s="19"/>
    </row>
    <row r="78">
      <c r="A78" s="19"/>
      <c r="B78" s="19"/>
      <c r="C78" s="19"/>
      <c r="D78" s="19"/>
      <c r="E78" s="19"/>
      <c r="F78" s="19"/>
      <c r="G78" s="19"/>
      <c r="H78" s="19"/>
      <c r="I78" s="19"/>
      <c r="J78" s="19"/>
      <c r="K78" s="19"/>
      <c r="L78" s="19"/>
    </row>
    <row r="79">
      <c r="A79" s="19"/>
      <c r="B79" s="19"/>
      <c r="C79" s="19"/>
      <c r="D79" s="19"/>
      <c r="E79" s="19"/>
      <c r="F79" s="19"/>
      <c r="G79" s="19"/>
      <c r="H79" s="19"/>
      <c r="I79" s="19"/>
      <c r="J79" s="19"/>
      <c r="K79" s="19"/>
      <c r="L79" s="19"/>
    </row>
    <row r="80">
      <c r="A80" s="19"/>
      <c r="B80" s="19"/>
      <c r="C80" s="19"/>
      <c r="D80" s="19"/>
      <c r="E80" s="19"/>
      <c r="F80" s="19"/>
      <c r="G80" s="19"/>
      <c r="H80" s="19"/>
      <c r="I80" s="19"/>
      <c r="J80" s="19"/>
      <c r="K80" s="19"/>
      <c r="L80" s="19"/>
    </row>
    <row r="81">
      <c r="A81" s="19"/>
      <c r="B81" s="19"/>
      <c r="C81" s="19"/>
      <c r="D81" s="19"/>
      <c r="E81" s="19"/>
      <c r="F81" s="19"/>
      <c r="G81" s="19"/>
      <c r="H81" s="19"/>
      <c r="I81" s="19"/>
      <c r="J81" s="19"/>
      <c r="K81" s="19"/>
      <c r="L81" s="19"/>
    </row>
    <row r="82">
      <c r="A82" s="19"/>
      <c r="B82" s="19"/>
      <c r="C82" s="19"/>
      <c r="D82" s="19"/>
      <c r="E82" s="19"/>
      <c r="F82" s="19"/>
      <c r="G82" s="19"/>
      <c r="H82" s="19"/>
      <c r="I82" s="19"/>
      <c r="J82" s="19"/>
      <c r="K82" s="19"/>
      <c r="L82" s="19"/>
    </row>
    <row r="83">
      <c r="A83" s="19"/>
      <c r="B83" s="19"/>
      <c r="C83" s="19"/>
      <c r="D83" s="19"/>
      <c r="E83" s="19"/>
      <c r="F83" s="19"/>
      <c r="G83" s="19"/>
      <c r="H83" s="19"/>
      <c r="I83" s="19"/>
      <c r="J83" s="19"/>
      <c r="K83" s="19"/>
      <c r="L83" s="19"/>
    </row>
    <row r="84">
      <c r="A84" s="19"/>
      <c r="B84" s="19"/>
      <c r="C84" s="19"/>
      <c r="D84" s="19"/>
      <c r="E84" s="19"/>
      <c r="F84" s="19"/>
      <c r="G84" s="19"/>
      <c r="H84" s="19"/>
      <c r="I84" s="19"/>
      <c r="J84" s="19"/>
      <c r="K84" s="19"/>
      <c r="L84" s="19"/>
    </row>
    <row r="85">
      <c r="A85" s="19"/>
      <c r="B85" s="19"/>
      <c r="C85" s="19"/>
      <c r="D85" s="19"/>
      <c r="E85" s="19"/>
      <c r="F85" s="19"/>
      <c r="G85" s="19"/>
      <c r="H85" s="19"/>
      <c r="I85" s="19"/>
      <c r="J85" s="19"/>
      <c r="K85" s="19"/>
      <c r="L85" s="19"/>
    </row>
    <row r="86">
      <c r="A86" s="19"/>
      <c r="B86" s="19"/>
      <c r="C86" s="19"/>
      <c r="D86" s="19"/>
      <c r="E86" s="19"/>
      <c r="F86" s="19"/>
      <c r="G86" s="19"/>
      <c r="H86" s="19"/>
      <c r="I86" s="19"/>
      <c r="J86" s="19"/>
      <c r="K86" s="19"/>
      <c r="L86" s="19"/>
    </row>
    <row r="87">
      <c r="A87" s="19"/>
      <c r="B87" s="19"/>
      <c r="C87" s="19"/>
      <c r="D87" s="19"/>
      <c r="E87" s="19"/>
      <c r="F87" s="19"/>
      <c r="G87" s="19"/>
      <c r="H87" s="19"/>
      <c r="I87" s="19"/>
      <c r="J87" s="19"/>
      <c r="K87" s="19"/>
      <c r="L87" s="19"/>
    </row>
    <row r="88">
      <c r="A88" s="19"/>
      <c r="B88" s="19"/>
      <c r="C88" s="19"/>
      <c r="D88" s="19"/>
      <c r="E88" s="19"/>
      <c r="F88" s="19"/>
      <c r="G88" s="19"/>
      <c r="H88" s="19"/>
      <c r="I88" s="19"/>
      <c r="J88" s="19"/>
      <c r="K88" s="19"/>
      <c r="L88" s="19"/>
    </row>
    <row r="89">
      <c r="A89" s="19"/>
      <c r="B89" s="19"/>
      <c r="C89" s="19"/>
      <c r="D89" s="19"/>
      <c r="E89" s="19"/>
      <c r="F89" s="19"/>
      <c r="G89" s="19"/>
      <c r="H89" s="19"/>
      <c r="I89" s="19"/>
      <c r="J89" s="19"/>
      <c r="K89" s="19"/>
      <c r="L89" s="19"/>
    </row>
    <row r="90">
      <c r="A90" s="19"/>
      <c r="B90" s="19"/>
      <c r="C90" s="19"/>
      <c r="D90" s="19"/>
      <c r="E90" s="19"/>
      <c r="F90" s="19"/>
      <c r="G90" s="19"/>
      <c r="H90" s="19"/>
      <c r="I90" s="19"/>
      <c r="J90" s="19"/>
      <c r="K90" s="19"/>
      <c r="L90" s="19"/>
    </row>
    <row r="91">
      <c r="A91" s="19"/>
      <c r="B91" s="19"/>
      <c r="C91" s="19"/>
      <c r="D91" s="19"/>
      <c r="E91" s="19"/>
      <c r="F91" s="19"/>
      <c r="G91" s="19"/>
      <c r="H91" s="19"/>
      <c r="I91" s="19"/>
      <c r="J91" s="19"/>
      <c r="K91" s="19"/>
      <c r="L91" s="19"/>
    </row>
    <row r="92">
      <c r="A92" s="19"/>
      <c r="B92" s="19"/>
      <c r="C92" s="19"/>
      <c r="D92" s="19"/>
      <c r="E92" s="19"/>
      <c r="F92" s="19"/>
      <c r="G92" s="19"/>
      <c r="H92" s="19"/>
      <c r="I92" s="19"/>
      <c r="J92" s="19"/>
      <c r="K92" s="19"/>
      <c r="L92" s="19"/>
    </row>
    <row r="93">
      <c r="A93" s="19"/>
      <c r="B93" s="19"/>
      <c r="C93" s="19"/>
      <c r="D93" s="19"/>
      <c r="E93" s="19"/>
      <c r="F93" s="19"/>
      <c r="G93" s="19"/>
      <c r="H93" s="19"/>
      <c r="I93" s="19"/>
      <c r="J93" s="19"/>
      <c r="K93" s="19"/>
      <c r="L93" s="19"/>
    </row>
    <row r="94">
      <c r="A94" s="19"/>
      <c r="B94" s="19"/>
      <c r="C94" s="19"/>
      <c r="D94" s="19"/>
      <c r="E94" s="19"/>
      <c r="F94" s="19"/>
      <c r="G94" s="19"/>
      <c r="H94" s="19"/>
      <c r="I94" s="19"/>
      <c r="J94" s="19"/>
      <c r="K94" s="19"/>
      <c r="L94" s="19"/>
    </row>
    <row r="95">
      <c r="A95" s="19"/>
      <c r="B95" s="19"/>
      <c r="C95" s="19"/>
      <c r="D95" s="19"/>
      <c r="E95" s="19"/>
      <c r="F95" s="19"/>
      <c r="G95" s="19"/>
      <c r="H95" s="19"/>
      <c r="I95" s="19"/>
      <c r="J95" s="19"/>
      <c r="K95" s="19"/>
      <c r="L95" s="19"/>
    </row>
    <row r="96">
      <c r="A96" s="19"/>
      <c r="B96" s="19"/>
      <c r="C96" s="19"/>
      <c r="D96" s="19"/>
      <c r="E96" s="19"/>
      <c r="F96" s="19"/>
      <c r="G96" s="19"/>
      <c r="H96" s="19"/>
      <c r="I96" s="19"/>
      <c r="J96" s="19"/>
      <c r="K96" s="19"/>
      <c r="L96" s="19"/>
    </row>
    <row r="97">
      <c r="A97" s="19"/>
      <c r="B97" s="19"/>
      <c r="C97" s="19"/>
      <c r="D97" s="19"/>
      <c r="E97" s="19"/>
      <c r="F97" s="19"/>
      <c r="G97" s="19"/>
      <c r="H97" s="19"/>
      <c r="I97" s="19"/>
      <c r="J97" s="19"/>
      <c r="K97" s="19"/>
      <c r="L97" s="19"/>
    </row>
    <row r="98">
      <c r="A98" s="19"/>
      <c r="B98" s="19"/>
      <c r="C98" s="19"/>
      <c r="D98" s="19"/>
      <c r="E98" s="19"/>
      <c r="F98" s="19"/>
      <c r="G98" s="19"/>
      <c r="H98" s="19"/>
      <c r="I98" s="19"/>
      <c r="J98" s="19"/>
      <c r="K98" s="19"/>
      <c r="L98" s="19"/>
    </row>
    <row r="99">
      <c r="A99" s="19"/>
      <c r="B99" s="19"/>
      <c r="C99" s="19"/>
      <c r="D99" s="19"/>
      <c r="E99" s="19"/>
      <c r="F99" s="19"/>
      <c r="G99" s="19"/>
      <c r="H99" s="19"/>
      <c r="I99" s="19"/>
      <c r="J99" s="19"/>
      <c r="K99" s="19"/>
      <c r="L99" s="19"/>
    </row>
    <row r="100">
      <c r="A100" s="19"/>
      <c r="B100" s="19"/>
      <c r="C100" s="19"/>
      <c r="D100" s="19"/>
      <c r="E100" s="19"/>
      <c r="F100" s="19"/>
      <c r="G100" s="19"/>
      <c r="H100" s="19"/>
      <c r="I100" s="19"/>
      <c r="J100" s="19"/>
      <c r="K100" s="19"/>
      <c r="L100" s="19"/>
    </row>
    <row r="101">
      <c r="A101" s="19"/>
      <c r="B101" s="19"/>
      <c r="C101" s="19"/>
      <c r="D101" s="19"/>
      <c r="E101" s="19"/>
      <c r="F101" s="19"/>
      <c r="G101" s="19"/>
      <c r="H101" s="19"/>
      <c r="I101" s="19"/>
      <c r="J101" s="19"/>
      <c r="K101" s="19"/>
      <c r="L101" s="19"/>
    </row>
    <row r="102">
      <c r="A102" s="19"/>
      <c r="B102" s="19"/>
      <c r="C102" s="19"/>
      <c r="D102" s="19"/>
      <c r="E102" s="19"/>
      <c r="F102" s="19"/>
      <c r="G102" s="19"/>
      <c r="H102" s="19"/>
      <c r="I102" s="19"/>
      <c r="J102" s="19"/>
      <c r="K102" s="19"/>
      <c r="L102" s="19"/>
    </row>
    <row r="103">
      <c r="A103" s="19"/>
      <c r="B103" s="19"/>
      <c r="C103" s="19"/>
      <c r="D103" s="19"/>
      <c r="E103" s="19"/>
      <c r="F103" s="19"/>
      <c r="G103" s="19"/>
      <c r="H103" s="19"/>
      <c r="I103" s="19"/>
      <c r="J103" s="19"/>
      <c r="K103" s="19"/>
      <c r="L103" s="19"/>
    </row>
    <row r="104">
      <c r="A104" s="19"/>
      <c r="B104" s="19"/>
      <c r="C104" s="19"/>
      <c r="D104" s="19"/>
      <c r="E104" s="19"/>
      <c r="F104" s="19"/>
      <c r="G104" s="19"/>
      <c r="H104" s="19"/>
      <c r="I104" s="19"/>
      <c r="J104" s="19"/>
      <c r="K104" s="19"/>
      <c r="L104" s="19"/>
    </row>
    <row r="105">
      <c r="A105" s="19"/>
      <c r="B105" s="19"/>
      <c r="C105" s="19"/>
      <c r="D105" s="19"/>
      <c r="E105" s="19"/>
      <c r="F105" s="19"/>
      <c r="G105" s="19"/>
      <c r="H105" s="19"/>
      <c r="I105" s="19"/>
      <c r="J105" s="19"/>
      <c r="K105" s="19"/>
      <c r="L105" s="19"/>
    </row>
    <row r="106">
      <c r="A106" s="19"/>
      <c r="B106" s="19"/>
      <c r="C106" s="19"/>
      <c r="D106" s="19"/>
      <c r="E106" s="19"/>
      <c r="F106" s="19"/>
      <c r="G106" s="19"/>
      <c r="H106" s="19"/>
      <c r="I106" s="19"/>
      <c r="J106" s="19"/>
      <c r="K106" s="19"/>
      <c r="L106" s="19"/>
    </row>
    <row r="107">
      <c r="A107" s="19"/>
      <c r="B107" s="19"/>
      <c r="C107" s="19"/>
      <c r="D107" s="19"/>
      <c r="E107" s="19"/>
      <c r="F107" s="19"/>
      <c r="G107" s="19"/>
      <c r="H107" s="19"/>
      <c r="I107" s="19"/>
      <c r="J107" s="19"/>
      <c r="K107" s="19"/>
      <c r="L107" s="19"/>
    </row>
    <row r="108">
      <c r="A108" s="19"/>
      <c r="B108" s="19"/>
      <c r="C108" s="19"/>
      <c r="D108" s="19"/>
      <c r="E108" s="19"/>
      <c r="F108" s="19"/>
      <c r="G108" s="19"/>
      <c r="H108" s="19"/>
      <c r="I108" s="19"/>
      <c r="J108" s="19"/>
      <c r="K108" s="19"/>
      <c r="L108" s="19"/>
    </row>
    <row r="109">
      <c r="A109" s="19"/>
      <c r="B109" s="19"/>
      <c r="C109" s="19"/>
      <c r="D109" s="19"/>
      <c r="E109" s="19"/>
      <c r="F109" s="19"/>
      <c r="G109" s="19"/>
      <c r="H109" s="19"/>
      <c r="I109" s="19"/>
      <c r="J109" s="19"/>
      <c r="K109" s="19"/>
      <c r="L109" s="19"/>
    </row>
    <row r="110">
      <c r="A110" s="19"/>
      <c r="B110" s="19"/>
      <c r="C110" s="19"/>
      <c r="D110" s="19"/>
      <c r="E110" s="19"/>
      <c r="F110" s="19"/>
      <c r="G110" s="19"/>
      <c r="H110" s="19"/>
      <c r="I110" s="19"/>
      <c r="J110" s="19"/>
      <c r="K110" s="19"/>
      <c r="L110" s="19"/>
    </row>
    <row r="111">
      <c r="A111" s="19"/>
      <c r="B111" s="19"/>
      <c r="C111" s="19"/>
      <c r="D111" s="19"/>
      <c r="E111" s="19"/>
      <c r="F111" s="19"/>
      <c r="G111" s="19"/>
      <c r="H111" s="19"/>
      <c r="I111" s="19"/>
      <c r="J111" s="19"/>
      <c r="K111" s="19"/>
      <c r="L111" s="19"/>
    </row>
    <row r="112">
      <c r="A112" s="19"/>
      <c r="B112" s="19"/>
      <c r="C112" s="19"/>
      <c r="D112" s="19"/>
      <c r="E112" s="19"/>
      <c r="F112" s="19"/>
      <c r="G112" s="19"/>
      <c r="H112" s="19"/>
      <c r="I112" s="19"/>
      <c r="J112" s="19"/>
      <c r="K112" s="19"/>
      <c r="L112" s="19"/>
    </row>
    <row r="113">
      <c r="A113" s="19"/>
      <c r="B113" s="19"/>
      <c r="C113" s="19"/>
      <c r="D113" s="19"/>
      <c r="E113" s="19"/>
      <c r="F113" s="19"/>
      <c r="G113" s="19"/>
      <c r="H113" s="19"/>
      <c r="I113" s="19"/>
      <c r="J113" s="19"/>
      <c r="K113" s="19"/>
      <c r="L113" s="19"/>
    </row>
    <row r="114">
      <c r="A114" s="19"/>
      <c r="B114" s="19"/>
      <c r="C114" s="19"/>
      <c r="D114" s="19"/>
      <c r="E114" s="19"/>
      <c r="F114" s="19"/>
      <c r="G114" s="19"/>
      <c r="H114" s="19"/>
      <c r="I114" s="19"/>
      <c r="J114" s="19"/>
      <c r="K114" s="19"/>
      <c r="L114" s="19"/>
    </row>
    <row r="115">
      <c r="A115" s="19"/>
      <c r="B115" s="19"/>
      <c r="C115" s="19"/>
      <c r="D115" s="19"/>
      <c r="E115" s="19"/>
      <c r="F115" s="19"/>
      <c r="G115" s="19"/>
      <c r="H115" s="19"/>
      <c r="I115" s="19"/>
      <c r="J115" s="19"/>
      <c r="K115" s="19"/>
      <c r="L115" s="19"/>
    </row>
    <row r="116">
      <c r="A116" s="19"/>
      <c r="B116" s="19"/>
      <c r="C116" s="19"/>
      <c r="D116" s="19"/>
      <c r="E116" s="19"/>
      <c r="F116" s="19"/>
      <c r="G116" s="19"/>
      <c r="H116" s="19"/>
      <c r="I116" s="19"/>
      <c r="J116" s="19"/>
      <c r="K116" s="19"/>
      <c r="L116" s="19"/>
    </row>
    <row r="117">
      <c r="A117" s="19"/>
      <c r="B117" s="19"/>
      <c r="C117" s="19"/>
      <c r="D117" s="19"/>
      <c r="E117" s="19"/>
      <c r="F117" s="19"/>
      <c r="G117" s="19"/>
      <c r="H117" s="19"/>
      <c r="I117" s="19"/>
      <c r="J117" s="19"/>
      <c r="K117" s="19"/>
      <c r="L117" s="19"/>
    </row>
    <row r="118">
      <c r="A118" s="19"/>
      <c r="B118" s="19"/>
      <c r="C118" s="19"/>
      <c r="D118" s="19"/>
      <c r="E118" s="19"/>
      <c r="F118" s="19"/>
      <c r="G118" s="19"/>
      <c r="H118" s="19"/>
      <c r="I118" s="19"/>
      <c r="J118" s="19"/>
      <c r="K118" s="19"/>
      <c r="L118" s="19"/>
    </row>
    <row r="119">
      <c r="A119" s="19"/>
      <c r="B119" s="19"/>
      <c r="C119" s="19"/>
      <c r="D119" s="19"/>
      <c r="E119" s="19"/>
      <c r="F119" s="19"/>
      <c r="G119" s="19"/>
      <c r="H119" s="19"/>
      <c r="I119" s="19"/>
      <c r="J119" s="19"/>
      <c r="K119" s="19"/>
      <c r="L119" s="19"/>
    </row>
    <row r="120">
      <c r="A120" s="19"/>
      <c r="B120" s="19"/>
      <c r="C120" s="19"/>
      <c r="D120" s="19"/>
      <c r="E120" s="19"/>
      <c r="F120" s="19"/>
      <c r="G120" s="19"/>
      <c r="H120" s="19"/>
      <c r="I120" s="19"/>
      <c r="J120" s="19"/>
      <c r="K120" s="19"/>
      <c r="L120" s="19"/>
    </row>
    <row r="121">
      <c r="A121" s="19"/>
      <c r="B121" s="19"/>
      <c r="C121" s="19"/>
      <c r="D121" s="19"/>
      <c r="E121" s="19"/>
      <c r="F121" s="19"/>
      <c r="G121" s="19"/>
      <c r="H121" s="19"/>
      <c r="I121" s="19"/>
      <c r="J121" s="19"/>
      <c r="K121" s="19"/>
      <c r="L121" s="19"/>
    </row>
    <row r="122">
      <c r="A122" s="19"/>
      <c r="B122" s="19"/>
      <c r="C122" s="19"/>
      <c r="D122" s="19"/>
      <c r="E122" s="19"/>
      <c r="F122" s="19"/>
      <c r="G122" s="19"/>
      <c r="H122" s="19"/>
      <c r="I122" s="19"/>
      <c r="J122" s="19"/>
      <c r="K122" s="19"/>
      <c r="L122" s="19"/>
    </row>
    <row r="123">
      <c r="A123" s="19"/>
      <c r="B123" s="19"/>
      <c r="C123" s="19"/>
      <c r="D123" s="19"/>
      <c r="E123" s="19"/>
      <c r="F123" s="19"/>
      <c r="G123" s="19"/>
      <c r="H123" s="19"/>
      <c r="I123" s="19"/>
      <c r="J123" s="19"/>
      <c r="K123" s="19"/>
      <c r="L123" s="19"/>
    </row>
    <row r="124">
      <c r="A124" s="19"/>
      <c r="B124" s="19"/>
      <c r="C124" s="19"/>
      <c r="D124" s="19"/>
      <c r="E124" s="19"/>
      <c r="F124" s="19"/>
      <c r="G124" s="19"/>
      <c r="H124" s="19"/>
      <c r="I124" s="19"/>
      <c r="J124" s="19"/>
      <c r="K124" s="19"/>
      <c r="L124" s="19"/>
    </row>
    <row r="125">
      <c r="A125" s="19"/>
      <c r="B125" s="19"/>
      <c r="C125" s="19"/>
      <c r="D125" s="19"/>
      <c r="E125" s="19"/>
      <c r="F125" s="19"/>
      <c r="G125" s="19"/>
      <c r="H125" s="19"/>
      <c r="I125" s="19"/>
      <c r="J125" s="19"/>
      <c r="K125" s="19"/>
      <c r="L125" s="19"/>
    </row>
    <row r="126">
      <c r="A126" s="19"/>
      <c r="B126" s="19"/>
      <c r="C126" s="19"/>
      <c r="D126" s="19"/>
      <c r="E126" s="19"/>
      <c r="F126" s="19"/>
      <c r="G126" s="19"/>
      <c r="H126" s="19"/>
      <c r="I126" s="19"/>
      <c r="J126" s="19"/>
      <c r="K126" s="19"/>
      <c r="L126" s="19"/>
    </row>
    <row r="127">
      <c r="A127" s="19"/>
      <c r="B127" s="19"/>
      <c r="C127" s="19"/>
      <c r="D127" s="19"/>
      <c r="E127" s="19"/>
      <c r="F127" s="19"/>
      <c r="G127" s="19"/>
      <c r="H127" s="19"/>
      <c r="I127" s="19"/>
      <c r="J127" s="19"/>
      <c r="K127" s="19"/>
      <c r="L127" s="19"/>
    </row>
    <row r="128">
      <c r="A128" s="19"/>
      <c r="B128" s="19"/>
      <c r="C128" s="19"/>
      <c r="D128" s="19"/>
      <c r="E128" s="19"/>
      <c r="F128" s="19"/>
      <c r="G128" s="19"/>
      <c r="H128" s="19"/>
      <c r="I128" s="19"/>
      <c r="J128" s="19"/>
      <c r="K128" s="19"/>
      <c r="L128" s="19"/>
    </row>
    <row r="129">
      <c r="A129" s="19"/>
      <c r="B129" s="19"/>
      <c r="C129" s="19"/>
      <c r="D129" s="19"/>
      <c r="E129" s="19"/>
      <c r="F129" s="19"/>
      <c r="G129" s="19"/>
      <c r="H129" s="19"/>
      <c r="I129" s="19"/>
      <c r="J129" s="19"/>
      <c r="K129" s="19"/>
      <c r="L129" s="19"/>
    </row>
    <row r="130">
      <c r="A130" s="19"/>
      <c r="B130" s="19"/>
      <c r="C130" s="19"/>
      <c r="D130" s="19"/>
      <c r="E130" s="19"/>
      <c r="F130" s="19"/>
      <c r="G130" s="19"/>
      <c r="H130" s="19"/>
      <c r="I130" s="19"/>
      <c r="J130" s="19"/>
      <c r="K130" s="19"/>
      <c r="L130" s="19"/>
    </row>
    <row r="131">
      <c r="A131" s="19"/>
      <c r="B131" s="19"/>
      <c r="C131" s="19"/>
      <c r="D131" s="19"/>
      <c r="E131" s="19"/>
      <c r="F131" s="19"/>
      <c r="G131" s="19"/>
      <c r="H131" s="19"/>
      <c r="I131" s="19"/>
      <c r="J131" s="19"/>
      <c r="K131" s="19"/>
      <c r="L131" s="19"/>
    </row>
    <row r="132">
      <c r="A132" s="19"/>
      <c r="B132" s="19"/>
      <c r="C132" s="19"/>
      <c r="D132" s="19"/>
      <c r="E132" s="19"/>
      <c r="F132" s="19"/>
      <c r="G132" s="19"/>
      <c r="H132" s="19"/>
      <c r="I132" s="19"/>
      <c r="J132" s="19"/>
      <c r="K132" s="19"/>
      <c r="L132" s="19"/>
    </row>
    <row r="133">
      <c r="A133" s="19"/>
      <c r="B133" s="19"/>
      <c r="C133" s="19"/>
      <c r="D133" s="19"/>
      <c r="E133" s="19"/>
      <c r="F133" s="19"/>
      <c r="G133" s="19"/>
      <c r="H133" s="19"/>
      <c r="I133" s="19"/>
      <c r="J133" s="19"/>
      <c r="K133" s="19"/>
      <c r="L133" s="19"/>
    </row>
    <row r="134">
      <c r="A134" s="19"/>
      <c r="B134" s="19"/>
      <c r="C134" s="19"/>
      <c r="D134" s="19"/>
      <c r="E134" s="19"/>
      <c r="F134" s="19"/>
      <c r="G134" s="19"/>
      <c r="H134" s="19"/>
      <c r="I134" s="19"/>
      <c r="J134" s="19"/>
      <c r="K134" s="19"/>
      <c r="L134" s="19"/>
    </row>
    <row r="135">
      <c r="A135" s="19"/>
      <c r="B135" s="19"/>
      <c r="C135" s="19"/>
      <c r="D135" s="19"/>
      <c r="E135" s="19"/>
      <c r="F135" s="19"/>
      <c r="G135" s="19"/>
      <c r="H135" s="19"/>
      <c r="I135" s="19"/>
      <c r="J135" s="19"/>
      <c r="K135" s="19"/>
      <c r="L135" s="19"/>
    </row>
    <row r="136">
      <c r="A136" s="19"/>
      <c r="B136" s="19"/>
      <c r="C136" s="19"/>
      <c r="D136" s="19"/>
      <c r="E136" s="19"/>
      <c r="F136" s="19"/>
      <c r="G136" s="19"/>
      <c r="H136" s="19"/>
      <c r="I136" s="19"/>
      <c r="J136" s="19"/>
      <c r="K136" s="19"/>
      <c r="L136" s="19"/>
    </row>
    <row r="137">
      <c r="A137" s="19"/>
      <c r="B137" s="19"/>
      <c r="C137" s="19"/>
      <c r="D137" s="19"/>
      <c r="E137" s="19"/>
      <c r="F137" s="19"/>
      <c r="G137" s="19"/>
      <c r="H137" s="19"/>
      <c r="I137" s="19"/>
      <c r="J137" s="19"/>
      <c r="K137" s="19"/>
      <c r="L137" s="19"/>
    </row>
    <row r="138">
      <c r="A138" s="19"/>
      <c r="B138" s="19"/>
      <c r="C138" s="19"/>
      <c r="D138" s="19"/>
      <c r="E138" s="19"/>
      <c r="F138" s="19"/>
      <c r="G138" s="19"/>
      <c r="H138" s="19"/>
      <c r="I138" s="19"/>
      <c r="J138" s="19"/>
      <c r="K138" s="19"/>
      <c r="L138" s="19"/>
    </row>
    <row r="139">
      <c r="A139" s="19"/>
      <c r="B139" s="19"/>
      <c r="C139" s="19"/>
      <c r="D139" s="19"/>
      <c r="E139" s="19"/>
      <c r="F139" s="19"/>
      <c r="G139" s="19"/>
      <c r="H139" s="19"/>
      <c r="I139" s="19"/>
      <c r="J139" s="19"/>
      <c r="K139" s="19"/>
      <c r="L139" s="19"/>
    </row>
    <row r="140">
      <c r="A140" s="19"/>
      <c r="B140" s="19"/>
      <c r="C140" s="19"/>
      <c r="D140" s="19"/>
      <c r="E140" s="19"/>
      <c r="F140" s="19"/>
      <c r="G140" s="19"/>
      <c r="H140" s="19"/>
      <c r="I140" s="19"/>
      <c r="J140" s="19"/>
      <c r="K140" s="19"/>
      <c r="L140" s="19"/>
    </row>
    <row r="141">
      <c r="A141" s="19"/>
      <c r="B141" s="19"/>
      <c r="C141" s="19"/>
      <c r="D141" s="19"/>
      <c r="E141" s="19"/>
      <c r="F141" s="19"/>
      <c r="G141" s="19"/>
      <c r="H141" s="19"/>
      <c r="I141" s="19"/>
      <c r="J141" s="19"/>
      <c r="K141" s="19"/>
      <c r="L141" s="19"/>
    </row>
    <row r="142">
      <c r="A142" s="19"/>
      <c r="B142" s="19"/>
      <c r="C142" s="19"/>
      <c r="D142" s="19"/>
      <c r="E142" s="19"/>
      <c r="F142" s="19"/>
      <c r="G142" s="19"/>
      <c r="H142" s="19"/>
      <c r="I142" s="19"/>
      <c r="J142" s="19"/>
      <c r="K142" s="19"/>
      <c r="L142" s="19"/>
    </row>
    <row r="143">
      <c r="A143" s="19"/>
      <c r="B143" s="19"/>
      <c r="C143" s="19"/>
      <c r="D143" s="19"/>
      <c r="E143" s="19"/>
      <c r="F143" s="19"/>
      <c r="G143" s="19"/>
      <c r="H143" s="19"/>
      <c r="I143" s="19"/>
      <c r="J143" s="19"/>
      <c r="K143" s="19"/>
      <c r="L143" s="19"/>
    </row>
    <row r="144">
      <c r="A144" s="19"/>
      <c r="B144" s="19"/>
      <c r="C144" s="19"/>
      <c r="D144" s="19"/>
      <c r="E144" s="19"/>
      <c r="F144" s="19"/>
      <c r="G144" s="19"/>
      <c r="H144" s="19"/>
      <c r="I144" s="19"/>
      <c r="J144" s="19"/>
      <c r="K144" s="19"/>
      <c r="L144" s="19"/>
    </row>
    <row r="145">
      <c r="A145" s="19"/>
      <c r="B145" s="19"/>
      <c r="C145" s="19"/>
      <c r="D145" s="19"/>
      <c r="E145" s="19"/>
      <c r="F145" s="19"/>
      <c r="G145" s="19"/>
      <c r="H145" s="19"/>
      <c r="I145" s="19"/>
      <c r="J145" s="19"/>
      <c r="K145" s="19"/>
      <c r="L145" s="19"/>
    </row>
    <row r="146">
      <c r="A146" s="19"/>
      <c r="B146" s="19"/>
      <c r="C146" s="19"/>
      <c r="D146" s="19"/>
      <c r="E146" s="19"/>
      <c r="F146" s="19"/>
      <c r="G146" s="19"/>
      <c r="H146" s="19"/>
      <c r="I146" s="19"/>
      <c r="J146" s="19"/>
      <c r="K146" s="19"/>
      <c r="L146" s="19"/>
    </row>
    <row r="147">
      <c r="A147" s="19"/>
      <c r="B147" s="19"/>
      <c r="C147" s="19"/>
      <c r="D147" s="19"/>
      <c r="E147" s="19"/>
      <c r="F147" s="19"/>
      <c r="G147" s="19"/>
      <c r="H147" s="19"/>
      <c r="I147" s="19"/>
      <c r="J147" s="19"/>
      <c r="K147" s="19"/>
      <c r="L147" s="19"/>
    </row>
    <row r="148">
      <c r="A148" s="19"/>
      <c r="B148" s="19"/>
      <c r="C148" s="19"/>
      <c r="D148" s="19"/>
      <c r="E148" s="19"/>
      <c r="F148" s="19"/>
      <c r="G148" s="19"/>
      <c r="H148" s="19"/>
      <c r="I148" s="19"/>
      <c r="J148" s="19"/>
      <c r="K148" s="19"/>
      <c r="L148" s="19"/>
    </row>
    <row r="149">
      <c r="A149" s="19"/>
      <c r="B149" s="19"/>
      <c r="C149" s="19"/>
      <c r="D149" s="19"/>
      <c r="E149" s="19"/>
      <c r="F149" s="19"/>
      <c r="G149" s="19"/>
      <c r="H149" s="19"/>
      <c r="I149" s="19"/>
      <c r="J149" s="19"/>
      <c r="K149" s="19"/>
      <c r="L149" s="19"/>
    </row>
    <row r="150">
      <c r="A150" s="19"/>
      <c r="B150" s="19"/>
      <c r="C150" s="19"/>
      <c r="D150" s="19"/>
      <c r="E150" s="19"/>
      <c r="F150" s="19"/>
      <c r="G150" s="19"/>
      <c r="H150" s="19"/>
      <c r="I150" s="19"/>
      <c r="J150" s="19"/>
      <c r="K150" s="19"/>
      <c r="L150" s="19"/>
    </row>
    <row r="151">
      <c r="A151" s="19"/>
      <c r="B151" s="19"/>
      <c r="C151" s="19"/>
      <c r="D151" s="19"/>
      <c r="E151" s="19"/>
      <c r="F151" s="19"/>
      <c r="G151" s="19"/>
      <c r="H151" s="19"/>
      <c r="I151" s="19"/>
      <c r="J151" s="19"/>
      <c r="K151" s="19"/>
      <c r="L151" s="19"/>
    </row>
    <row r="152">
      <c r="A152" s="19"/>
      <c r="B152" s="19"/>
      <c r="C152" s="19"/>
      <c r="D152" s="19"/>
      <c r="E152" s="19"/>
      <c r="F152" s="19"/>
      <c r="G152" s="19"/>
      <c r="H152" s="19"/>
      <c r="I152" s="19"/>
      <c r="J152" s="19"/>
      <c r="K152" s="19"/>
      <c r="L152" s="19"/>
    </row>
    <row r="153">
      <c r="A153" s="19"/>
      <c r="B153" s="19"/>
      <c r="C153" s="19"/>
      <c r="D153" s="19"/>
      <c r="E153" s="19"/>
      <c r="F153" s="19"/>
      <c r="G153" s="19"/>
      <c r="H153" s="19"/>
      <c r="I153" s="19"/>
      <c r="J153" s="19"/>
      <c r="K153" s="19"/>
      <c r="L153" s="19"/>
    </row>
    <row r="154">
      <c r="A154" s="19"/>
      <c r="B154" s="19"/>
      <c r="C154" s="19"/>
      <c r="D154" s="19"/>
      <c r="E154" s="19"/>
      <c r="F154" s="19"/>
      <c r="G154" s="19"/>
      <c r="H154" s="19"/>
      <c r="I154" s="19"/>
      <c r="J154" s="19"/>
      <c r="K154" s="19"/>
      <c r="L154" s="19"/>
    </row>
    <row r="155">
      <c r="A155" s="19"/>
      <c r="B155" s="19"/>
      <c r="C155" s="19"/>
      <c r="D155" s="19"/>
      <c r="E155" s="19"/>
      <c r="F155" s="19"/>
      <c r="G155" s="19"/>
      <c r="H155" s="19"/>
      <c r="I155" s="19"/>
      <c r="J155" s="19"/>
      <c r="K155" s="19"/>
      <c r="L155" s="19"/>
    </row>
    <row r="156">
      <c r="A156" s="19"/>
      <c r="B156" s="19"/>
      <c r="C156" s="19"/>
      <c r="D156" s="19"/>
      <c r="E156" s="19"/>
      <c r="F156" s="19"/>
      <c r="G156" s="19"/>
      <c r="H156" s="19"/>
      <c r="I156" s="19"/>
      <c r="J156" s="19"/>
      <c r="K156" s="19"/>
      <c r="L156" s="19"/>
    </row>
    <row r="157">
      <c r="A157" s="19"/>
      <c r="B157" s="19"/>
      <c r="C157" s="19"/>
      <c r="D157" s="19"/>
      <c r="E157" s="19"/>
      <c r="F157" s="19"/>
      <c r="G157" s="19"/>
      <c r="H157" s="19"/>
      <c r="I157" s="19"/>
      <c r="J157" s="19"/>
      <c r="K157" s="19"/>
      <c r="L157" s="19"/>
    </row>
    <row r="158">
      <c r="A158" s="19"/>
      <c r="B158" s="19"/>
      <c r="C158" s="19"/>
      <c r="D158" s="19"/>
      <c r="E158" s="19"/>
      <c r="F158" s="19"/>
      <c r="G158" s="19"/>
      <c r="H158" s="19"/>
      <c r="I158" s="19"/>
      <c r="J158" s="19"/>
      <c r="K158" s="19"/>
      <c r="L158" s="19"/>
    </row>
    <row r="159">
      <c r="A159" s="19"/>
      <c r="B159" s="19"/>
      <c r="C159" s="19"/>
      <c r="D159" s="19"/>
      <c r="E159" s="19"/>
      <c r="F159" s="19"/>
      <c r="G159" s="19"/>
      <c r="H159" s="19"/>
      <c r="I159" s="19"/>
      <c r="J159" s="19"/>
      <c r="K159" s="19"/>
      <c r="L159" s="19"/>
    </row>
    <row r="160">
      <c r="A160" s="19"/>
      <c r="B160" s="19"/>
      <c r="C160" s="19"/>
      <c r="D160" s="19"/>
      <c r="E160" s="19"/>
      <c r="F160" s="19"/>
      <c r="G160" s="19"/>
      <c r="H160" s="19"/>
      <c r="I160" s="19"/>
      <c r="J160" s="19"/>
      <c r="K160" s="19"/>
      <c r="L160" s="19"/>
    </row>
    <row r="161">
      <c r="A161" s="19"/>
      <c r="B161" s="19"/>
      <c r="C161" s="19"/>
      <c r="D161" s="19"/>
      <c r="E161" s="19"/>
      <c r="F161" s="19"/>
      <c r="G161" s="19"/>
      <c r="H161" s="19"/>
      <c r="I161" s="19"/>
      <c r="J161" s="19"/>
      <c r="K161" s="19"/>
      <c r="L161" s="19"/>
    </row>
    <row r="162">
      <c r="A162" s="19"/>
      <c r="B162" s="19"/>
      <c r="C162" s="19"/>
      <c r="D162" s="19"/>
      <c r="E162" s="19"/>
      <c r="F162" s="19"/>
      <c r="G162" s="19"/>
      <c r="H162" s="19"/>
      <c r="I162" s="19"/>
      <c r="J162" s="19"/>
      <c r="K162" s="19"/>
      <c r="L162" s="19"/>
    </row>
    <row r="163">
      <c r="A163" s="19"/>
      <c r="B163" s="19"/>
      <c r="C163" s="19"/>
      <c r="D163" s="19"/>
      <c r="E163" s="19"/>
      <c r="F163" s="19"/>
      <c r="G163" s="19"/>
      <c r="H163" s="19"/>
      <c r="I163" s="19"/>
      <c r="J163" s="19"/>
      <c r="K163" s="19"/>
      <c r="L163" s="19"/>
    </row>
    <row r="164">
      <c r="A164" s="19"/>
      <c r="B164" s="19"/>
      <c r="C164" s="19"/>
      <c r="D164" s="19"/>
      <c r="E164" s="19"/>
      <c r="F164" s="19"/>
      <c r="G164" s="19"/>
      <c r="H164" s="19"/>
      <c r="I164" s="19"/>
      <c r="J164" s="19"/>
      <c r="K164" s="19"/>
      <c r="L164" s="19"/>
    </row>
    <row r="165">
      <c r="A165" s="19"/>
      <c r="B165" s="19"/>
      <c r="C165" s="19"/>
      <c r="D165" s="19"/>
      <c r="E165" s="19"/>
      <c r="F165" s="19"/>
      <c r="G165" s="19"/>
      <c r="H165" s="19"/>
      <c r="I165" s="19"/>
      <c r="J165" s="19"/>
      <c r="K165" s="19"/>
      <c r="L165" s="19"/>
    </row>
    <row r="166">
      <c r="A166" s="19"/>
      <c r="B166" s="19"/>
      <c r="C166" s="19"/>
      <c r="D166" s="19"/>
      <c r="E166" s="19"/>
      <c r="F166" s="19"/>
      <c r="G166" s="19"/>
      <c r="H166" s="19"/>
      <c r="I166" s="19"/>
      <c r="J166" s="19"/>
      <c r="K166" s="19"/>
      <c r="L166" s="19"/>
    </row>
    <row r="167">
      <c r="A167" s="19"/>
      <c r="B167" s="19"/>
      <c r="C167" s="19"/>
      <c r="D167" s="19"/>
      <c r="E167" s="19"/>
      <c r="F167" s="19"/>
      <c r="G167" s="19"/>
      <c r="H167" s="19"/>
      <c r="I167" s="19"/>
      <c r="J167" s="19"/>
      <c r="K167" s="19"/>
      <c r="L167" s="19"/>
    </row>
    <row r="168">
      <c r="A168" s="19"/>
      <c r="B168" s="19"/>
      <c r="C168" s="19"/>
      <c r="D168" s="19"/>
      <c r="E168" s="19"/>
      <c r="F168" s="19"/>
      <c r="G168" s="19"/>
      <c r="H168" s="19"/>
      <c r="I168" s="19"/>
      <c r="J168" s="19"/>
      <c r="K168" s="19"/>
      <c r="L168" s="19"/>
    </row>
    <row r="169">
      <c r="A169" s="19"/>
      <c r="B169" s="19"/>
      <c r="C169" s="19"/>
      <c r="D169" s="19"/>
      <c r="E169" s="19"/>
      <c r="F169" s="19"/>
      <c r="G169" s="19"/>
      <c r="H169" s="19"/>
      <c r="I169" s="19"/>
      <c r="J169" s="19"/>
      <c r="K169" s="19"/>
      <c r="L169" s="19"/>
    </row>
    <row r="170">
      <c r="A170" s="19"/>
      <c r="B170" s="19"/>
      <c r="C170" s="19"/>
      <c r="D170" s="19"/>
      <c r="E170" s="19"/>
      <c r="F170" s="19"/>
      <c r="G170" s="19"/>
      <c r="H170" s="19"/>
      <c r="I170" s="19"/>
      <c r="J170" s="19"/>
      <c r="K170" s="19"/>
      <c r="L170" s="19"/>
    </row>
    <row r="171">
      <c r="A171" s="19"/>
      <c r="B171" s="19"/>
      <c r="C171" s="19"/>
      <c r="D171" s="19"/>
      <c r="E171" s="19"/>
      <c r="F171" s="19"/>
      <c r="G171" s="19"/>
      <c r="H171" s="19"/>
      <c r="I171" s="19"/>
      <c r="J171" s="19"/>
      <c r="K171" s="19"/>
      <c r="L171" s="19"/>
    </row>
    <row r="172">
      <c r="A172" s="19"/>
      <c r="B172" s="19"/>
      <c r="C172" s="19"/>
      <c r="D172" s="19"/>
      <c r="E172" s="19"/>
      <c r="F172" s="19"/>
      <c r="G172" s="19"/>
      <c r="H172" s="19"/>
      <c r="I172" s="19"/>
      <c r="J172" s="19"/>
      <c r="K172" s="19"/>
      <c r="L172" s="19"/>
    </row>
    <row r="173">
      <c r="A173" s="19"/>
      <c r="B173" s="19"/>
      <c r="C173" s="19"/>
      <c r="D173" s="19"/>
      <c r="E173" s="19"/>
      <c r="F173" s="19"/>
      <c r="G173" s="19"/>
      <c r="H173" s="19"/>
      <c r="I173" s="19"/>
      <c r="J173" s="19"/>
      <c r="K173" s="19"/>
      <c r="L173" s="19"/>
    </row>
    <row r="174">
      <c r="A174" s="19"/>
      <c r="B174" s="19"/>
      <c r="C174" s="19"/>
      <c r="D174" s="19"/>
      <c r="E174" s="19"/>
      <c r="F174" s="19"/>
      <c r="G174" s="19"/>
      <c r="H174" s="19"/>
      <c r="I174" s="19"/>
      <c r="J174" s="19"/>
      <c r="K174" s="19"/>
      <c r="L174" s="19"/>
    </row>
    <row r="175">
      <c r="A175" s="19"/>
      <c r="B175" s="19"/>
      <c r="C175" s="19"/>
      <c r="D175" s="19"/>
      <c r="E175" s="19"/>
      <c r="F175" s="19"/>
      <c r="G175" s="19"/>
      <c r="H175" s="19"/>
      <c r="I175" s="19"/>
      <c r="J175" s="19"/>
      <c r="K175" s="19"/>
      <c r="L175" s="19"/>
    </row>
    <row r="176">
      <c r="A176" s="19"/>
      <c r="B176" s="19"/>
      <c r="C176" s="19"/>
      <c r="D176" s="19"/>
      <c r="E176" s="19"/>
      <c r="F176" s="19"/>
      <c r="G176" s="19"/>
      <c r="H176" s="19"/>
      <c r="I176" s="19"/>
      <c r="J176" s="19"/>
      <c r="K176" s="19"/>
      <c r="L176" s="19"/>
    </row>
    <row r="177">
      <c r="A177" s="19"/>
      <c r="B177" s="19"/>
      <c r="C177" s="19"/>
      <c r="D177" s="19"/>
      <c r="E177" s="19"/>
      <c r="F177" s="19"/>
      <c r="G177" s="19"/>
      <c r="H177" s="19"/>
      <c r="I177" s="19"/>
      <c r="J177" s="19"/>
      <c r="K177" s="19"/>
      <c r="L177" s="19"/>
    </row>
    <row r="178">
      <c r="A178" s="19"/>
      <c r="B178" s="19"/>
      <c r="C178" s="19"/>
      <c r="D178" s="19"/>
      <c r="E178" s="19"/>
      <c r="F178" s="19"/>
      <c r="G178" s="19"/>
      <c r="H178" s="19"/>
      <c r="I178" s="19"/>
      <c r="J178" s="19"/>
      <c r="K178" s="19"/>
      <c r="L178" s="19"/>
    </row>
    <row r="179">
      <c r="A179" s="19"/>
      <c r="B179" s="19"/>
      <c r="C179" s="19"/>
      <c r="D179" s="19"/>
      <c r="E179" s="19"/>
      <c r="F179" s="19"/>
      <c r="G179" s="19"/>
      <c r="H179" s="19"/>
      <c r="I179" s="19"/>
      <c r="J179" s="19"/>
      <c r="K179" s="19"/>
      <c r="L179" s="19"/>
    </row>
    <row r="180">
      <c r="A180" s="19"/>
      <c r="B180" s="19"/>
      <c r="C180" s="19"/>
      <c r="D180" s="19"/>
      <c r="E180" s="19"/>
      <c r="F180" s="19"/>
      <c r="G180" s="19"/>
      <c r="H180" s="19"/>
      <c r="I180" s="19"/>
      <c r="J180" s="19"/>
      <c r="K180" s="19"/>
      <c r="L180" s="19"/>
    </row>
    <row r="181">
      <c r="A181" s="19"/>
      <c r="B181" s="19"/>
      <c r="C181" s="19"/>
      <c r="D181" s="19"/>
      <c r="E181" s="19"/>
      <c r="F181" s="19"/>
      <c r="G181" s="19"/>
      <c r="H181" s="19"/>
      <c r="I181" s="19"/>
      <c r="J181" s="19"/>
      <c r="K181" s="19"/>
      <c r="L181" s="19"/>
    </row>
    <row r="182">
      <c r="A182" s="19"/>
      <c r="B182" s="19"/>
      <c r="C182" s="19"/>
      <c r="D182" s="19"/>
      <c r="E182" s="19"/>
      <c r="F182" s="19"/>
      <c r="G182" s="19"/>
      <c r="H182" s="19"/>
      <c r="I182" s="19"/>
      <c r="J182" s="19"/>
      <c r="K182" s="19"/>
      <c r="L182" s="19"/>
    </row>
    <row r="183">
      <c r="A183" s="19"/>
      <c r="B183" s="19"/>
      <c r="C183" s="19"/>
      <c r="D183" s="19"/>
      <c r="E183" s="19"/>
      <c r="F183" s="19"/>
      <c r="G183" s="19"/>
      <c r="H183" s="19"/>
      <c r="I183" s="19"/>
      <c r="J183" s="19"/>
      <c r="K183" s="19"/>
      <c r="L183" s="19"/>
    </row>
    <row r="184">
      <c r="A184" s="19"/>
      <c r="B184" s="19"/>
      <c r="C184" s="19"/>
      <c r="D184" s="19"/>
      <c r="E184" s="19"/>
      <c r="F184" s="19"/>
      <c r="G184" s="19"/>
      <c r="H184" s="19"/>
      <c r="I184" s="19"/>
      <c r="J184" s="19"/>
      <c r="K184" s="19"/>
      <c r="L184" s="19"/>
    </row>
    <row r="185">
      <c r="A185" s="19"/>
      <c r="B185" s="19"/>
      <c r="C185" s="19"/>
      <c r="D185" s="19"/>
      <c r="E185" s="19"/>
      <c r="F185" s="19"/>
      <c r="G185" s="19"/>
      <c r="H185" s="19"/>
      <c r="I185" s="19"/>
      <c r="J185" s="19"/>
      <c r="K185" s="19"/>
      <c r="L185" s="19"/>
    </row>
    <row r="186">
      <c r="A186" s="19"/>
      <c r="B186" s="19"/>
      <c r="C186" s="19"/>
      <c r="D186" s="19"/>
      <c r="E186" s="19"/>
      <c r="F186" s="19"/>
      <c r="G186" s="19"/>
      <c r="H186" s="19"/>
      <c r="I186" s="19"/>
      <c r="J186" s="19"/>
      <c r="K186" s="19"/>
      <c r="L186" s="19"/>
    </row>
    <row r="187">
      <c r="A187" s="19"/>
      <c r="B187" s="19"/>
      <c r="C187" s="19"/>
      <c r="D187" s="19"/>
      <c r="E187" s="19"/>
      <c r="F187" s="19"/>
      <c r="G187" s="19"/>
      <c r="H187" s="19"/>
      <c r="I187" s="19"/>
      <c r="J187" s="19"/>
      <c r="K187" s="19"/>
      <c r="L187" s="19"/>
    </row>
    <row r="188">
      <c r="A188" s="19"/>
      <c r="B188" s="19"/>
      <c r="C188" s="19"/>
      <c r="D188" s="19"/>
      <c r="E188" s="19"/>
      <c r="F188" s="19"/>
      <c r="G188" s="19"/>
      <c r="H188" s="19"/>
      <c r="I188" s="19"/>
      <c r="J188" s="19"/>
      <c r="K188" s="19"/>
      <c r="L188" s="19"/>
    </row>
    <row r="189">
      <c r="A189" s="19"/>
      <c r="B189" s="19"/>
      <c r="C189" s="19"/>
      <c r="D189" s="19"/>
      <c r="E189" s="19"/>
      <c r="F189" s="19"/>
      <c r="G189" s="19"/>
      <c r="H189" s="19"/>
      <c r="I189" s="19"/>
      <c r="J189" s="19"/>
      <c r="K189" s="19"/>
      <c r="L189" s="19"/>
    </row>
    <row r="190">
      <c r="A190" s="19"/>
      <c r="B190" s="19"/>
      <c r="C190" s="19"/>
      <c r="D190" s="19"/>
      <c r="E190" s="19"/>
      <c r="F190" s="19"/>
      <c r="G190" s="19"/>
      <c r="H190" s="19"/>
      <c r="I190" s="19"/>
      <c r="J190" s="19"/>
      <c r="K190" s="19"/>
      <c r="L190" s="19"/>
    </row>
    <row r="191">
      <c r="A191" s="19"/>
      <c r="B191" s="19"/>
      <c r="C191" s="19"/>
      <c r="D191" s="19"/>
      <c r="E191" s="19"/>
      <c r="F191" s="19"/>
      <c r="G191" s="19"/>
      <c r="H191" s="19"/>
      <c r="I191" s="19"/>
      <c r="J191" s="19"/>
      <c r="K191" s="19"/>
      <c r="L191" s="19"/>
    </row>
    <row r="192">
      <c r="A192" s="19"/>
      <c r="B192" s="19"/>
      <c r="C192" s="19"/>
      <c r="D192" s="19"/>
      <c r="E192" s="19"/>
      <c r="F192" s="19"/>
      <c r="G192" s="19"/>
      <c r="H192" s="19"/>
      <c r="I192" s="19"/>
      <c r="J192" s="19"/>
      <c r="K192" s="19"/>
      <c r="L192" s="19"/>
    </row>
    <row r="193">
      <c r="A193" s="19"/>
      <c r="B193" s="19"/>
      <c r="C193" s="19"/>
      <c r="D193" s="19"/>
      <c r="E193" s="19"/>
      <c r="F193" s="19"/>
      <c r="G193" s="19"/>
      <c r="H193" s="19"/>
      <c r="I193" s="19"/>
      <c r="J193" s="19"/>
      <c r="K193" s="19"/>
      <c r="L193" s="19"/>
    </row>
    <row r="194">
      <c r="A194" s="19"/>
      <c r="B194" s="19"/>
      <c r="C194" s="19"/>
      <c r="D194" s="19"/>
      <c r="E194" s="19"/>
      <c r="F194" s="19"/>
      <c r="G194" s="19"/>
      <c r="H194" s="19"/>
      <c r="I194" s="19"/>
      <c r="J194" s="19"/>
      <c r="K194" s="19"/>
      <c r="L194" s="19"/>
    </row>
    <row r="195">
      <c r="A195" s="19"/>
      <c r="B195" s="19"/>
      <c r="C195" s="19"/>
      <c r="D195" s="19"/>
      <c r="E195" s="19"/>
      <c r="F195" s="19"/>
      <c r="G195" s="19"/>
      <c r="H195" s="19"/>
      <c r="I195" s="19"/>
      <c r="J195" s="19"/>
      <c r="K195" s="19"/>
      <c r="L195" s="19"/>
    </row>
    <row r="196">
      <c r="A196" s="19"/>
      <c r="B196" s="19"/>
      <c r="C196" s="19"/>
      <c r="D196" s="19"/>
      <c r="E196" s="19"/>
      <c r="F196" s="19"/>
      <c r="G196" s="19"/>
      <c r="H196" s="19"/>
      <c r="I196" s="19"/>
      <c r="J196" s="19"/>
      <c r="K196" s="19"/>
      <c r="L196" s="19"/>
    </row>
    <row r="197">
      <c r="A197" s="19"/>
      <c r="B197" s="19"/>
      <c r="C197" s="19"/>
      <c r="D197" s="19"/>
      <c r="E197" s="19"/>
      <c r="F197" s="19"/>
      <c r="G197" s="19"/>
      <c r="H197" s="19"/>
      <c r="I197" s="19"/>
      <c r="J197" s="19"/>
      <c r="K197" s="19"/>
      <c r="L197" s="19"/>
    </row>
    <row r="198">
      <c r="A198" s="19"/>
      <c r="B198" s="19"/>
      <c r="C198" s="19"/>
      <c r="D198" s="19"/>
      <c r="E198" s="19"/>
      <c r="F198" s="19"/>
      <c r="G198" s="19"/>
      <c r="H198" s="19"/>
      <c r="I198" s="19"/>
      <c r="J198" s="19"/>
      <c r="K198" s="19"/>
      <c r="L198" s="19"/>
    </row>
    <row r="199">
      <c r="A199" s="19"/>
      <c r="B199" s="19"/>
      <c r="C199" s="19"/>
      <c r="D199" s="19"/>
      <c r="E199" s="19"/>
      <c r="F199" s="19"/>
      <c r="G199" s="19"/>
      <c r="H199" s="19"/>
      <c r="I199" s="19"/>
      <c r="J199" s="19"/>
      <c r="K199" s="19"/>
      <c r="L199" s="19"/>
    </row>
    <row r="200">
      <c r="A200" s="19"/>
      <c r="B200" s="19"/>
      <c r="C200" s="19"/>
      <c r="D200" s="19"/>
      <c r="E200" s="19"/>
      <c r="F200" s="19"/>
      <c r="G200" s="19"/>
      <c r="H200" s="19"/>
      <c r="I200" s="19"/>
      <c r="J200" s="19"/>
      <c r="K200" s="19"/>
      <c r="L200" s="19"/>
    </row>
    <row r="201">
      <c r="A201" s="19"/>
      <c r="B201" s="19"/>
      <c r="C201" s="19"/>
      <c r="D201" s="19"/>
      <c r="E201" s="19"/>
      <c r="F201" s="19"/>
      <c r="G201" s="19"/>
      <c r="H201" s="19"/>
      <c r="I201" s="19"/>
      <c r="J201" s="19"/>
      <c r="K201" s="19"/>
      <c r="L201" s="19"/>
    </row>
    <row r="202">
      <c r="A202" s="19"/>
      <c r="B202" s="19"/>
      <c r="C202" s="19"/>
      <c r="D202" s="19"/>
      <c r="E202" s="19"/>
      <c r="F202" s="19"/>
      <c r="G202" s="19"/>
      <c r="H202" s="19"/>
      <c r="I202" s="19"/>
      <c r="J202" s="19"/>
      <c r="K202" s="19"/>
      <c r="L202" s="19"/>
    </row>
    <row r="203">
      <c r="A203" s="19"/>
      <c r="B203" s="19"/>
      <c r="C203" s="19"/>
      <c r="D203" s="19"/>
      <c r="E203" s="19"/>
      <c r="F203" s="19"/>
      <c r="G203" s="19"/>
      <c r="H203" s="19"/>
      <c r="I203" s="19"/>
      <c r="J203" s="19"/>
      <c r="K203" s="19"/>
      <c r="L203" s="19"/>
    </row>
    <row r="204">
      <c r="A204" s="19"/>
      <c r="B204" s="19"/>
      <c r="C204" s="19"/>
      <c r="D204" s="19"/>
      <c r="E204" s="19"/>
      <c r="F204" s="19"/>
      <c r="G204" s="19"/>
      <c r="H204" s="19"/>
      <c r="I204" s="19"/>
      <c r="J204" s="19"/>
      <c r="K204" s="19"/>
      <c r="L204" s="19"/>
    </row>
    <row r="205">
      <c r="A205" s="19"/>
      <c r="B205" s="19"/>
      <c r="C205" s="19"/>
      <c r="D205" s="19"/>
      <c r="E205" s="19"/>
      <c r="F205" s="19"/>
      <c r="G205" s="19"/>
      <c r="H205" s="19"/>
      <c r="I205" s="19"/>
      <c r="J205" s="19"/>
      <c r="K205" s="19"/>
      <c r="L205" s="19"/>
    </row>
    <row r="206">
      <c r="A206" s="19"/>
      <c r="B206" s="19"/>
      <c r="C206" s="19"/>
      <c r="D206" s="19"/>
      <c r="E206" s="19"/>
      <c r="F206" s="19"/>
      <c r="G206" s="19"/>
      <c r="H206" s="19"/>
      <c r="I206" s="19"/>
      <c r="J206" s="19"/>
      <c r="K206" s="19"/>
      <c r="L206" s="19"/>
    </row>
    <row r="207">
      <c r="A207" s="19"/>
      <c r="B207" s="19"/>
      <c r="C207" s="19"/>
      <c r="D207" s="19"/>
      <c r="E207" s="19"/>
      <c r="F207" s="19"/>
      <c r="G207" s="19"/>
      <c r="H207" s="19"/>
      <c r="I207" s="19"/>
      <c r="J207" s="19"/>
      <c r="K207" s="19"/>
      <c r="L207" s="19"/>
    </row>
    <row r="208">
      <c r="A208" s="19"/>
      <c r="B208" s="19"/>
      <c r="C208" s="19"/>
      <c r="D208" s="19"/>
      <c r="E208" s="19"/>
      <c r="F208" s="19"/>
      <c r="G208" s="19"/>
      <c r="H208" s="19"/>
      <c r="I208" s="19"/>
      <c r="J208" s="19"/>
      <c r="K208" s="19"/>
      <c r="L208" s="19"/>
    </row>
    <row r="209">
      <c r="A209" s="19"/>
      <c r="B209" s="19"/>
      <c r="C209" s="19"/>
      <c r="D209" s="19"/>
      <c r="E209" s="19"/>
      <c r="F209" s="19"/>
      <c r="G209" s="19"/>
      <c r="H209" s="19"/>
      <c r="I209" s="19"/>
      <c r="J209" s="19"/>
      <c r="K209" s="19"/>
      <c r="L209" s="19"/>
    </row>
    <row r="210">
      <c r="A210" s="19"/>
      <c r="B210" s="19"/>
      <c r="C210" s="19"/>
      <c r="D210" s="19"/>
      <c r="E210" s="19"/>
      <c r="F210" s="19"/>
      <c r="G210" s="19"/>
      <c r="H210" s="19"/>
      <c r="I210" s="19"/>
      <c r="J210" s="19"/>
      <c r="K210" s="19"/>
      <c r="L210" s="19"/>
    </row>
    <row r="211">
      <c r="A211" s="19"/>
      <c r="B211" s="19"/>
      <c r="C211" s="19"/>
      <c r="D211" s="19"/>
      <c r="E211" s="19"/>
      <c r="F211" s="19"/>
      <c r="G211" s="19"/>
      <c r="H211" s="19"/>
      <c r="I211" s="19"/>
      <c r="J211" s="19"/>
      <c r="K211" s="19"/>
      <c r="L211" s="19"/>
    </row>
    <row r="212">
      <c r="A212" s="19"/>
      <c r="B212" s="19"/>
      <c r="C212" s="19"/>
      <c r="D212" s="19"/>
      <c r="E212" s="19"/>
      <c r="F212" s="19"/>
      <c r="G212" s="19"/>
      <c r="H212" s="19"/>
      <c r="I212" s="19"/>
      <c r="J212" s="19"/>
      <c r="K212" s="19"/>
      <c r="L212" s="19"/>
    </row>
    <row r="213">
      <c r="A213" s="19"/>
      <c r="B213" s="19"/>
      <c r="C213" s="19"/>
      <c r="D213" s="19"/>
      <c r="E213" s="19"/>
      <c r="F213" s="19"/>
      <c r="G213" s="19"/>
      <c r="H213" s="19"/>
      <c r="I213" s="19"/>
      <c r="J213" s="19"/>
      <c r="K213" s="19"/>
      <c r="L213" s="19"/>
    </row>
    <row r="214">
      <c r="A214" s="19"/>
      <c r="B214" s="19"/>
      <c r="C214" s="19"/>
      <c r="D214" s="19"/>
      <c r="E214" s="19"/>
      <c r="F214" s="19"/>
      <c r="G214" s="19"/>
      <c r="H214" s="19"/>
      <c r="I214" s="19"/>
      <c r="J214" s="19"/>
      <c r="K214" s="19"/>
      <c r="L214" s="19"/>
    </row>
    <row r="215">
      <c r="A215" s="19"/>
      <c r="B215" s="19"/>
      <c r="C215" s="19"/>
      <c r="D215" s="19"/>
      <c r="E215" s="19"/>
      <c r="F215" s="19"/>
      <c r="G215" s="19"/>
      <c r="H215" s="19"/>
      <c r="I215" s="19"/>
      <c r="J215" s="19"/>
      <c r="K215" s="19"/>
      <c r="L215" s="19"/>
    </row>
    <row r="216">
      <c r="A216" s="19"/>
      <c r="B216" s="19"/>
      <c r="C216" s="19"/>
      <c r="D216" s="19"/>
      <c r="E216" s="19"/>
      <c r="F216" s="19"/>
      <c r="G216" s="19"/>
      <c r="H216" s="19"/>
      <c r="I216" s="19"/>
      <c r="J216" s="19"/>
      <c r="K216" s="19"/>
      <c r="L216" s="19"/>
    </row>
    <row r="217">
      <c r="A217" s="19"/>
      <c r="B217" s="19"/>
      <c r="C217" s="19"/>
      <c r="D217" s="19"/>
      <c r="E217" s="19"/>
      <c r="F217" s="19"/>
      <c r="G217" s="19"/>
      <c r="H217" s="19"/>
      <c r="I217" s="19"/>
      <c r="J217" s="19"/>
      <c r="K217" s="19"/>
      <c r="L217" s="19"/>
    </row>
    <row r="218">
      <c r="A218" s="19"/>
      <c r="B218" s="19"/>
      <c r="C218" s="19"/>
      <c r="D218" s="19"/>
      <c r="E218" s="19"/>
      <c r="F218" s="19"/>
      <c r="G218" s="19"/>
      <c r="H218" s="19"/>
      <c r="I218" s="19"/>
      <c r="J218" s="19"/>
      <c r="K218" s="19"/>
      <c r="L218" s="19"/>
    </row>
    <row r="219">
      <c r="A219" s="19"/>
      <c r="B219" s="19"/>
      <c r="C219" s="19"/>
      <c r="D219" s="19"/>
      <c r="E219" s="19"/>
      <c r="F219" s="19"/>
      <c r="G219" s="19"/>
      <c r="H219" s="19"/>
      <c r="I219" s="19"/>
      <c r="J219" s="19"/>
      <c r="K219" s="19"/>
      <c r="L219" s="19"/>
    </row>
    <row r="220">
      <c r="A220" s="19"/>
      <c r="B220" s="19"/>
      <c r="C220" s="19"/>
      <c r="D220" s="19"/>
      <c r="E220" s="19"/>
      <c r="F220" s="19"/>
      <c r="G220" s="19"/>
      <c r="H220" s="19"/>
      <c r="I220" s="19"/>
      <c r="J220" s="19"/>
      <c r="K220" s="19"/>
      <c r="L220" s="19"/>
    </row>
    <row r="221">
      <c r="A221" s="19"/>
      <c r="B221" s="19"/>
      <c r="C221" s="19"/>
      <c r="D221" s="19"/>
      <c r="E221" s="19"/>
      <c r="F221" s="19"/>
      <c r="G221" s="19"/>
      <c r="H221" s="19"/>
      <c r="I221" s="19"/>
      <c r="J221" s="19"/>
      <c r="K221" s="19"/>
      <c r="L221" s="19"/>
    </row>
    <row r="222">
      <c r="A222" s="19"/>
      <c r="B222" s="19"/>
      <c r="C222" s="19"/>
      <c r="D222" s="19"/>
      <c r="E222" s="19"/>
      <c r="F222" s="19"/>
      <c r="G222" s="19"/>
      <c r="H222" s="19"/>
      <c r="I222" s="19"/>
      <c r="J222" s="19"/>
      <c r="K222" s="19"/>
      <c r="L222" s="19"/>
    </row>
    <row r="223">
      <c r="A223" s="19"/>
      <c r="B223" s="19"/>
      <c r="C223" s="19"/>
      <c r="D223" s="19"/>
      <c r="E223" s="19"/>
      <c r="F223" s="19"/>
      <c r="G223" s="19"/>
      <c r="H223" s="19"/>
      <c r="I223" s="19"/>
      <c r="J223" s="19"/>
      <c r="K223" s="19"/>
      <c r="L223" s="19"/>
    </row>
    <row r="224">
      <c r="A224" s="19"/>
      <c r="B224" s="19"/>
      <c r="C224" s="19"/>
      <c r="D224" s="19"/>
      <c r="E224" s="19"/>
      <c r="F224" s="19"/>
      <c r="G224" s="19"/>
      <c r="H224" s="19"/>
      <c r="I224" s="19"/>
      <c r="J224" s="19"/>
      <c r="K224" s="19"/>
      <c r="L224" s="19"/>
    </row>
    <row r="225">
      <c r="A225" s="19"/>
      <c r="B225" s="19"/>
      <c r="C225" s="19"/>
      <c r="D225" s="19"/>
      <c r="E225" s="19"/>
      <c r="F225" s="19"/>
      <c r="G225" s="19"/>
      <c r="H225" s="19"/>
      <c r="I225" s="19"/>
      <c r="J225" s="19"/>
      <c r="K225" s="19"/>
      <c r="L225" s="19"/>
    </row>
    <row r="226">
      <c r="A226" s="19"/>
      <c r="B226" s="19"/>
      <c r="C226" s="19"/>
      <c r="D226" s="19"/>
      <c r="E226" s="19"/>
      <c r="F226" s="19"/>
      <c r="G226" s="19"/>
      <c r="H226" s="19"/>
      <c r="I226" s="19"/>
      <c r="J226" s="19"/>
      <c r="K226" s="19"/>
      <c r="L226" s="19"/>
    </row>
    <row r="227">
      <c r="A227" s="19"/>
      <c r="B227" s="19"/>
      <c r="C227" s="19"/>
      <c r="D227" s="19"/>
      <c r="E227" s="19"/>
      <c r="F227" s="19"/>
      <c r="G227" s="19"/>
      <c r="H227" s="19"/>
      <c r="I227" s="19"/>
      <c r="J227" s="19"/>
      <c r="K227" s="19"/>
      <c r="L227" s="19"/>
    </row>
    <row r="228">
      <c r="A228" s="19"/>
      <c r="B228" s="19"/>
      <c r="C228" s="19"/>
      <c r="D228" s="19"/>
      <c r="E228" s="19"/>
      <c r="F228" s="19"/>
      <c r="G228" s="19"/>
      <c r="H228" s="19"/>
      <c r="I228" s="19"/>
      <c r="J228" s="19"/>
      <c r="K228" s="19"/>
      <c r="L228" s="19"/>
    </row>
    <row r="229">
      <c r="A229" s="19"/>
      <c r="B229" s="19"/>
      <c r="C229" s="19"/>
      <c r="D229" s="19"/>
      <c r="E229" s="19"/>
      <c r="F229" s="19"/>
      <c r="G229" s="19"/>
      <c r="H229" s="19"/>
      <c r="I229" s="19"/>
      <c r="J229" s="19"/>
      <c r="K229" s="19"/>
      <c r="L229" s="19"/>
    </row>
    <row r="230">
      <c r="A230" s="19"/>
      <c r="B230" s="19"/>
      <c r="C230" s="19"/>
      <c r="D230" s="19"/>
      <c r="E230" s="19"/>
      <c r="F230" s="19"/>
      <c r="G230" s="19"/>
      <c r="H230" s="19"/>
      <c r="I230" s="19"/>
      <c r="J230" s="19"/>
      <c r="K230" s="19"/>
      <c r="L230" s="19"/>
    </row>
    <row r="231">
      <c r="A231" s="19"/>
      <c r="B231" s="19"/>
      <c r="C231" s="19"/>
      <c r="D231" s="19"/>
      <c r="E231" s="19"/>
      <c r="F231" s="19"/>
      <c r="G231" s="19"/>
      <c r="H231" s="19"/>
      <c r="I231" s="19"/>
      <c r="J231" s="19"/>
      <c r="K231" s="19"/>
      <c r="L231" s="19"/>
    </row>
    <row r="232">
      <c r="A232" s="19"/>
      <c r="B232" s="19"/>
      <c r="C232" s="19"/>
      <c r="D232" s="19"/>
      <c r="E232" s="19"/>
      <c r="F232" s="19"/>
      <c r="G232" s="19"/>
      <c r="H232" s="19"/>
      <c r="I232" s="19"/>
      <c r="J232" s="19"/>
      <c r="K232" s="19"/>
      <c r="L232" s="19"/>
    </row>
    <row r="233">
      <c r="A233" s="19"/>
      <c r="B233" s="19"/>
      <c r="C233" s="19"/>
      <c r="D233" s="19"/>
      <c r="E233" s="19"/>
      <c r="F233" s="19"/>
      <c r="G233" s="19"/>
      <c r="H233" s="19"/>
      <c r="I233" s="19"/>
      <c r="J233" s="19"/>
      <c r="K233" s="19"/>
      <c r="L233" s="19"/>
    </row>
    <row r="234">
      <c r="A234" s="19"/>
      <c r="B234" s="19"/>
      <c r="C234" s="19"/>
      <c r="D234" s="19"/>
      <c r="E234" s="19"/>
      <c r="F234" s="19"/>
      <c r="G234" s="19"/>
      <c r="H234" s="19"/>
      <c r="I234" s="19"/>
      <c r="J234" s="19"/>
      <c r="K234" s="19"/>
      <c r="L234" s="19"/>
    </row>
    <row r="235">
      <c r="A235" s="19"/>
      <c r="B235" s="19"/>
      <c r="C235" s="19"/>
      <c r="D235" s="19"/>
      <c r="E235" s="19"/>
      <c r="F235" s="19"/>
      <c r="G235" s="19"/>
      <c r="H235" s="19"/>
      <c r="I235" s="19"/>
      <c r="J235" s="19"/>
      <c r="K235" s="19"/>
      <c r="L235" s="19"/>
    </row>
    <row r="236">
      <c r="A236" s="19"/>
      <c r="B236" s="19"/>
      <c r="C236" s="19"/>
      <c r="D236" s="19"/>
      <c r="E236" s="19"/>
      <c r="F236" s="19"/>
      <c r="G236" s="19"/>
      <c r="H236" s="19"/>
      <c r="I236" s="19"/>
      <c r="J236" s="19"/>
      <c r="K236" s="19"/>
      <c r="L236" s="19"/>
    </row>
    <row r="237">
      <c r="A237" s="19"/>
      <c r="B237" s="19"/>
      <c r="C237" s="19"/>
      <c r="D237" s="19"/>
      <c r="E237" s="19"/>
      <c r="F237" s="19"/>
      <c r="G237" s="19"/>
      <c r="H237" s="19"/>
      <c r="I237" s="19"/>
      <c r="J237" s="19"/>
      <c r="K237" s="19"/>
      <c r="L237" s="19"/>
    </row>
    <row r="238">
      <c r="A238" s="19"/>
      <c r="B238" s="19"/>
      <c r="C238" s="19"/>
      <c r="D238" s="19"/>
      <c r="E238" s="19"/>
      <c r="F238" s="19"/>
      <c r="G238" s="19"/>
      <c r="H238" s="19"/>
      <c r="I238" s="19"/>
      <c r="J238" s="19"/>
      <c r="K238" s="19"/>
      <c r="L238" s="19"/>
    </row>
    <row r="239">
      <c r="A239" s="19"/>
      <c r="B239" s="19"/>
      <c r="C239" s="19"/>
      <c r="D239" s="19"/>
      <c r="E239" s="19"/>
      <c r="F239" s="19"/>
      <c r="G239" s="19"/>
      <c r="H239" s="19"/>
      <c r="I239" s="19"/>
      <c r="J239" s="19"/>
      <c r="K239" s="19"/>
      <c r="L239" s="19"/>
    </row>
    <row r="240">
      <c r="A240" s="19"/>
      <c r="B240" s="19"/>
      <c r="C240" s="19"/>
      <c r="D240" s="19"/>
      <c r="E240" s="19"/>
      <c r="F240" s="19"/>
      <c r="G240" s="19"/>
      <c r="H240" s="19"/>
      <c r="I240" s="19"/>
      <c r="J240" s="19"/>
      <c r="K240" s="19"/>
      <c r="L240" s="19"/>
    </row>
    <row r="241">
      <c r="A241" s="19"/>
      <c r="B241" s="19"/>
      <c r="C241" s="19"/>
      <c r="D241" s="19"/>
      <c r="E241" s="19"/>
      <c r="F241" s="19"/>
      <c r="G241" s="19"/>
      <c r="H241" s="19"/>
      <c r="I241" s="19"/>
      <c r="J241" s="19"/>
      <c r="K241" s="19"/>
      <c r="L241" s="19"/>
    </row>
    <row r="242">
      <c r="A242" s="19"/>
      <c r="B242" s="19"/>
      <c r="C242" s="19"/>
      <c r="D242" s="19"/>
      <c r="E242" s="19"/>
      <c r="F242" s="19"/>
      <c r="G242" s="19"/>
      <c r="H242" s="19"/>
      <c r="I242" s="19"/>
      <c r="J242" s="19"/>
      <c r="K242" s="19"/>
      <c r="L242" s="19"/>
    </row>
    <row r="243">
      <c r="A243" s="19"/>
      <c r="B243" s="19"/>
      <c r="C243" s="19"/>
      <c r="D243" s="19"/>
      <c r="E243" s="19"/>
      <c r="F243" s="19"/>
      <c r="G243" s="19"/>
      <c r="H243" s="19"/>
      <c r="I243" s="19"/>
      <c r="J243" s="19"/>
      <c r="K243" s="19"/>
      <c r="L243" s="19"/>
    </row>
    <row r="244">
      <c r="A244" s="19"/>
      <c r="B244" s="19"/>
      <c r="C244" s="19"/>
      <c r="D244" s="19"/>
      <c r="E244" s="19"/>
      <c r="F244" s="19"/>
      <c r="G244" s="19"/>
      <c r="H244" s="19"/>
      <c r="I244" s="19"/>
      <c r="J244" s="19"/>
      <c r="K244" s="19"/>
      <c r="L244" s="19"/>
    </row>
    <row r="245">
      <c r="A245" s="19"/>
      <c r="B245" s="19"/>
      <c r="C245" s="19"/>
      <c r="D245" s="19"/>
      <c r="E245" s="19"/>
      <c r="F245" s="19"/>
      <c r="G245" s="19"/>
      <c r="H245" s="19"/>
      <c r="I245" s="19"/>
      <c r="J245" s="19"/>
      <c r="K245" s="19"/>
      <c r="L245" s="19"/>
    </row>
    <row r="246">
      <c r="A246" s="19"/>
      <c r="B246" s="19"/>
      <c r="C246" s="19"/>
      <c r="D246" s="19"/>
      <c r="E246" s="19"/>
      <c r="F246" s="19"/>
      <c r="G246" s="19"/>
      <c r="H246" s="19"/>
      <c r="I246" s="19"/>
      <c r="J246" s="19"/>
      <c r="K246" s="19"/>
      <c r="L246" s="19"/>
    </row>
    <row r="247">
      <c r="A247" s="19"/>
      <c r="B247" s="19"/>
      <c r="C247" s="19"/>
      <c r="D247" s="19"/>
      <c r="E247" s="19"/>
      <c r="F247" s="19"/>
      <c r="G247" s="19"/>
      <c r="H247" s="19"/>
      <c r="I247" s="19"/>
      <c r="J247" s="19"/>
      <c r="K247" s="19"/>
      <c r="L247" s="19"/>
    </row>
    <row r="248">
      <c r="A248" s="19"/>
      <c r="B248" s="19"/>
      <c r="C248" s="19"/>
      <c r="D248" s="19"/>
      <c r="E248" s="19"/>
      <c r="F248" s="19"/>
      <c r="G248" s="19"/>
      <c r="H248" s="19"/>
      <c r="I248" s="19"/>
      <c r="J248" s="19"/>
      <c r="K248" s="19"/>
      <c r="L248" s="19"/>
    </row>
    <row r="249">
      <c r="A249" s="19"/>
      <c r="B249" s="19"/>
      <c r="C249" s="19"/>
      <c r="D249" s="19"/>
      <c r="E249" s="19"/>
      <c r="F249" s="19"/>
      <c r="G249" s="19"/>
      <c r="H249" s="19"/>
      <c r="I249" s="19"/>
      <c r="J249" s="19"/>
      <c r="K249" s="19"/>
      <c r="L249" s="19"/>
    </row>
    <row r="250">
      <c r="A250" s="19"/>
      <c r="B250" s="19"/>
      <c r="C250" s="19"/>
      <c r="D250" s="19"/>
      <c r="E250" s="19"/>
      <c r="F250" s="19"/>
      <c r="G250" s="19"/>
      <c r="H250" s="19"/>
      <c r="I250" s="19"/>
      <c r="J250" s="19"/>
      <c r="K250" s="19"/>
      <c r="L250" s="19"/>
    </row>
    <row r="251">
      <c r="A251" s="19"/>
      <c r="B251" s="19"/>
      <c r="C251" s="19"/>
      <c r="D251" s="19"/>
      <c r="E251" s="19"/>
      <c r="F251" s="19"/>
      <c r="G251" s="19"/>
      <c r="H251" s="19"/>
      <c r="I251" s="19"/>
      <c r="J251" s="19"/>
      <c r="K251" s="19"/>
      <c r="L251" s="19"/>
    </row>
    <row r="252">
      <c r="A252" s="19"/>
      <c r="B252" s="19"/>
      <c r="C252" s="19"/>
      <c r="D252" s="19"/>
      <c r="E252" s="19"/>
      <c r="F252" s="19"/>
      <c r="G252" s="19"/>
      <c r="H252" s="19"/>
      <c r="I252" s="19"/>
      <c r="J252" s="19"/>
      <c r="K252" s="19"/>
      <c r="L252" s="19"/>
    </row>
    <row r="253">
      <c r="A253" s="19"/>
      <c r="B253" s="19"/>
      <c r="C253" s="19"/>
      <c r="D253" s="19"/>
      <c r="E253" s="19"/>
      <c r="F253" s="19"/>
      <c r="G253" s="19"/>
      <c r="H253" s="19"/>
      <c r="I253" s="19"/>
      <c r="J253" s="19"/>
      <c r="K253" s="19"/>
      <c r="L253" s="19"/>
    </row>
    <row r="254">
      <c r="A254" s="19"/>
      <c r="B254" s="19"/>
      <c r="C254" s="19"/>
      <c r="D254" s="19"/>
      <c r="E254" s="19"/>
      <c r="F254" s="19"/>
      <c r="G254" s="19"/>
      <c r="H254" s="19"/>
      <c r="I254" s="19"/>
      <c r="J254" s="19"/>
      <c r="K254" s="19"/>
      <c r="L254" s="19"/>
    </row>
    <row r="255">
      <c r="A255" s="19"/>
      <c r="B255" s="19"/>
      <c r="C255" s="19"/>
      <c r="D255" s="19"/>
      <c r="E255" s="19"/>
      <c r="F255" s="19"/>
      <c r="G255" s="19"/>
      <c r="H255" s="19"/>
      <c r="I255" s="19"/>
      <c r="J255" s="19"/>
      <c r="K255" s="19"/>
      <c r="L255" s="19"/>
    </row>
    <row r="256">
      <c r="A256" s="19"/>
      <c r="B256" s="19"/>
      <c r="C256" s="19"/>
      <c r="D256" s="19"/>
      <c r="E256" s="19"/>
      <c r="F256" s="19"/>
      <c r="G256" s="19"/>
      <c r="H256" s="19"/>
      <c r="I256" s="19"/>
      <c r="J256" s="19"/>
      <c r="K256" s="19"/>
      <c r="L256" s="19"/>
    </row>
    <row r="257">
      <c r="A257" s="19"/>
      <c r="B257" s="19"/>
      <c r="C257" s="19"/>
      <c r="D257" s="19"/>
      <c r="E257" s="19"/>
      <c r="F257" s="19"/>
      <c r="G257" s="19"/>
      <c r="H257" s="19"/>
      <c r="I257" s="19"/>
      <c r="J257" s="19"/>
      <c r="K257" s="19"/>
      <c r="L257" s="19"/>
    </row>
    <row r="258">
      <c r="A258" s="19"/>
      <c r="B258" s="19"/>
      <c r="C258" s="19"/>
      <c r="D258" s="19"/>
      <c r="E258" s="19"/>
      <c r="F258" s="19"/>
      <c r="G258" s="19"/>
      <c r="H258" s="19"/>
      <c r="I258" s="19"/>
      <c r="J258" s="19"/>
      <c r="K258" s="19"/>
      <c r="L258" s="19"/>
    </row>
    <row r="259">
      <c r="A259" s="19"/>
      <c r="B259" s="19"/>
      <c r="C259" s="19"/>
      <c r="D259" s="19"/>
      <c r="E259" s="19"/>
      <c r="F259" s="19"/>
      <c r="G259" s="19"/>
      <c r="H259" s="19"/>
      <c r="I259" s="19"/>
      <c r="J259" s="19"/>
      <c r="K259" s="19"/>
      <c r="L259" s="19"/>
    </row>
    <row r="260">
      <c r="A260" s="19"/>
      <c r="B260" s="19"/>
      <c r="C260" s="19"/>
      <c r="D260" s="19"/>
      <c r="E260" s="19"/>
      <c r="F260" s="19"/>
      <c r="G260" s="19"/>
      <c r="H260" s="19"/>
      <c r="I260" s="19"/>
      <c r="J260" s="19"/>
      <c r="K260" s="19"/>
      <c r="L260" s="19"/>
    </row>
    <row r="261">
      <c r="A261" s="19"/>
      <c r="B261" s="19"/>
      <c r="C261" s="19"/>
      <c r="D261" s="19"/>
      <c r="E261" s="19"/>
      <c r="F261" s="19"/>
      <c r="G261" s="19"/>
      <c r="H261" s="19"/>
      <c r="I261" s="19"/>
      <c r="J261" s="19"/>
      <c r="K261" s="19"/>
      <c r="L261" s="19"/>
    </row>
    <row r="262">
      <c r="A262" s="19"/>
      <c r="B262" s="19"/>
      <c r="C262" s="19"/>
      <c r="D262" s="19"/>
      <c r="E262" s="19"/>
      <c r="F262" s="19"/>
      <c r="G262" s="19"/>
      <c r="H262" s="19"/>
      <c r="I262" s="19"/>
      <c r="J262" s="19"/>
      <c r="K262" s="19"/>
      <c r="L262" s="19"/>
    </row>
    <row r="263">
      <c r="A263" s="19"/>
      <c r="B263" s="19"/>
      <c r="C263" s="19"/>
      <c r="D263" s="19"/>
      <c r="E263" s="19"/>
      <c r="F263" s="19"/>
      <c r="G263" s="19"/>
      <c r="H263" s="19"/>
      <c r="I263" s="19"/>
      <c r="J263" s="19"/>
      <c r="K263" s="19"/>
      <c r="L263" s="19"/>
    </row>
    <row r="264">
      <c r="A264" s="19"/>
      <c r="B264" s="19"/>
      <c r="C264" s="19"/>
      <c r="D264" s="19"/>
      <c r="E264" s="19"/>
      <c r="F264" s="19"/>
      <c r="G264" s="19"/>
      <c r="H264" s="19"/>
      <c r="I264" s="19"/>
      <c r="J264" s="19"/>
      <c r="K264" s="19"/>
      <c r="L264" s="19"/>
    </row>
    <row r="265">
      <c r="A265" s="19"/>
      <c r="B265" s="19"/>
      <c r="C265" s="19"/>
      <c r="D265" s="19"/>
      <c r="E265" s="19"/>
      <c r="F265" s="19"/>
      <c r="G265" s="19"/>
      <c r="H265" s="19"/>
      <c r="I265" s="19"/>
      <c r="J265" s="19"/>
      <c r="K265" s="19"/>
      <c r="L265" s="19"/>
    </row>
    <row r="266">
      <c r="A266" s="19"/>
      <c r="B266" s="19"/>
      <c r="C266" s="19"/>
      <c r="D266" s="19"/>
      <c r="E266" s="19"/>
      <c r="F266" s="19"/>
      <c r="G266" s="19"/>
      <c r="H266" s="19"/>
      <c r="I266" s="19"/>
      <c r="J266" s="19"/>
      <c r="K266" s="19"/>
      <c r="L266" s="19"/>
    </row>
    <row r="267">
      <c r="A267" s="19"/>
      <c r="B267" s="19"/>
      <c r="C267" s="19"/>
      <c r="D267" s="19"/>
      <c r="E267" s="19"/>
      <c r="F267" s="19"/>
      <c r="G267" s="19"/>
      <c r="H267" s="19"/>
      <c r="I267" s="19"/>
      <c r="J267" s="19"/>
      <c r="K267" s="19"/>
      <c r="L267" s="19"/>
    </row>
    <row r="268">
      <c r="A268" s="19"/>
      <c r="B268" s="19"/>
      <c r="C268" s="19"/>
      <c r="D268" s="19"/>
      <c r="E268" s="19"/>
      <c r="F268" s="19"/>
      <c r="G268" s="19"/>
      <c r="H268" s="19"/>
      <c r="I268" s="19"/>
      <c r="J268" s="19"/>
      <c r="K268" s="19"/>
      <c r="L268" s="19"/>
    </row>
    <row r="269">
      <c r="A269" s="19"/>
      <c r="B269" s="19"/>
      <c r="C269" s="19"/>
      <c r="D269" s="19"/>
      <c r="E269" s="19"/>
      <c r="F269" s="19"/>
      <c r="G269" s="19"/>
      <c r="H269" s="19"/>
      <c r="I269" s="19"/>
      <c r="J269" s="19"/>
      <c r="K269" s="19"/>
      <c r="L269" s="19"/>
    </row>
    <row r="270">
      <c r="A270" s="19"/>
      <c r="B270" s="19"/>
      <c r="C270" s="19"/>
      <c r="D270" s="19"/>
      <c r="E270" s="19"/>
      <c r="F270" s="19"/>
      <c r="G270" s="19"/>
      <c r="H270" s="19"/>
      <c r="I270" s="19"/>
      <c r="J270" s="19"/>
      <c r="K270" s="19"/>
      <c r="L270" s="19"/>
    </row>
    <row r="271">
      <c r="A271" s="19"/>
      <c r="B271" s="19"/>
      <c r="C271" s="19"/>
      <c r="D271" s="19"/>
      <c r="E271" s="19"/>
      <c r="F271" s="19"/>
      <c r="G271" s="19"/>
      <c r="H271" s="19"/>
      <c r="I271" s="19"/>
      <c r="J271" s="19"/>
      <c r="K271" s="19"/>
      <c r="L271" s="19"/>
    </row>
    <row r="272">
      <c r="A272" s="19"/>
      <c r="B272" s="19"/>
      <c r="C272" s="19"/>
      <c r="D272" s="19"/>
      <c r="E272" s="19"/>
      <c r="F272" s="19"/>
      <c r="G272" s="19"/>
      <c r="H272" s="19"/>
      <c r="I272" s="19"/>
      <c r="J272" s="19"/>
      <c r="K272" s="19"/>
      <c r="L272" s="19"/>
    </row>
    <row r="273">
      <c r="A273" s="19"/>
      <c r="B273" s="19"/>
      <c r="C273" s="19"/>
      <c r="D273" s="19"/>
      <c r="E273" s="19"/>
      <c r="F273" s="19"/>
      <c r="G273" s="19"/>
      <c r="H273" s="19"/>
      <c r="I273" s="19"/>
      <c r="J273" s="19"/>
      <c r="K273" s="19"/>
      <c r="L273" s="19"/>
    </row>
    <row r="274">
      <c r="A274" s="19"/>
      <c r="B274" s="19"/>
      <c r="C274" s="19"/>
      <c r="D274" s="19"/>
      <c r="E274" s="19"/>
      <c r="F274" s="19"/>
      <c r="G274" s="19"/>
      <c r="H274" s="19"/>
      <c r="I274" s="19"/>
      <c r="J274" s="19"/>
      <c r="K274" s="19"/>
      <c r="L274" s="19"/>
    </row>
    <row r="275">
      <c r="A275" s="19"/>
      <c r="B275" s="19"/>
      <c r="C275" s="19"/>
      <c r="D275" s="19"/>
      <c r="E275" s="19"/>
      <c r="F275" s="19"/>
      <c r="G275" s="19"/>
      <c r="H275" s="19"/>
      <c r="I275" s="19"/>
      <c r="J275" s="19"/>
      <c r="K275" s="19"/>
      <c r="L275" s="19"/>
    </row>
    <row r="276">
      <c r="A276" s="19"/>
      <c r="B276" s="19"/>
      <c r="C276" s="19"/>
      <c r="D276" s="19"/>
      <c r="E276" s="19"/>
      <c r="F276" s="19"/>
      <c r="G276" s="19"/>
      <c r="H276" s="19"/>
      <c r="I276" s="19"/>
      <c r="J276" s="19"/>
      <c r="K276" s="19"/>
      <c r="L276" s="19"/>
    </row>
    <row r="277">
      <c r="A277" s="19"/>
      <c r="B277" s="19"/>
      <c r="C277" s="19"/>
      <c r="D277" s="19"/>
      <c r="E277" s="19"/>
      <c r="F277" s="19"/>
      <c r="G277" s="19"/>
      <c r="H277" s="19"/>
      <c r="I277" s="19"/>
      <c r="J277" s="19"/>
      <c r="K277" s="19"/>
      <c r="L277" s="19"/>
    </row>
    <row r="278">
      <c r="A278" s="19"/>
      <c r="B278" s="19"/>
      <c r="C278" s="19"/>
      <c r="D278" s="19"/>
      <c r="E278" s="19"/>
      <c r="F278" s="19"/>
      <c r="G278" s="19"/>
      <c r="H278" s="19"/>
      <c r="I278" s="19"/>
      <c r="J278" s="19"/>
      <c r="K278" s="19"/>
      <c r="L278" s="19"/>
    </row>
    <row r="279">
      <c r="A279" s="19"/>
      <c r="B279" s="19"/>
      <c r="C279" s="19"/>
      <c r="D279" s="19"/>
      <c r="E279" s="19"/>
      <c r="F279" s="19"/>
      <c r="G279" s="19"/>
      <c r="H279" s="19"/>
      <c r="I279" s="19"/>
      <c r="J279" s="19"/>
      <c r="K279" s="19"/>
      <c r="L279" s="19"/>
    </row>
    <row r="280">
      <c r="A280" s="19"/>
      <c r="B280" s="19"/>
      <c r="C280" s="19"/>
      <c r="D280" s="19"/>
      <c r="E280" s="19"/>
      <c r="F280" s="19"/>
      <c r="G280" s="19"/>
      <c r="H280" s="19"/>
      <c r="I280" s="19"/>
      <c r="J280" s="19"/>
      <c r="K280" s="19"/>
      <c r="L280" s="19"/>
    </row>
    <row r="281">
      <c r="A281" s="19"/>
      <c r="B281" s="19"/>
      <c r="C281" s="19"/>
      <c r="D281" s="19"/>
      <c r="E281" s="19"/>
      <c r="F281" s="19"/>
      <c r="G281" s="19"/>
      <c r="H281" s="19"/>
      <c r="I281" s="19"/>
      <c r="J281" s="19"/>
      <c r="K281" s="19"/>
      <c r="L281" s="19"/>
    </row>
    <row r="282">
      <c r="A282" s="19"/>
      <c r="B282" s="19"/>
      <c r="C282" s="19"/>
      <c r="D282" s="19"/>
      <c r="E282" s="19"/>
      <c r="F282" s="19"/>
      <c r="G282" s="19"/>
      <c r="H282" s="19"/>
      <c r="I282" s="19"/>
      <c r="J282" s="19"/>
      <c r="K282" s="19"/>
      <c r="L282" s="19"/>
    </row>
    <row r="283">
      <c r="A283" s="19"/>
      <c r="B283" s="19"/>
      <c r="C283" s="19"/>
      <c r="D283" s="19"/>
      <c r="E283" s="19"/>
      <c r="F283" s="19"/>
      <c r="G283" s="19"/>
      <c r="H283" s="19"/>
      <c r="I283" s="19"/>
      <c r="J283" s="19"/>
      <c r="K283" s="19"/>
      <c r="L283" s="19"/>
    </row>
    <row r="284">
      <c r="A284" s="19"/>
      <c r="B284" s="19"/>
      <c r="C284" s="19"/>
      <c r="D284" s="19"/>
      <c r="E284" s="19"/>
      <c r="F284" s="19"/>
      <c r="G284" s="19"/>
      <c r="H284" s="19"/>
      <c r="I284" s="19"/>
      <c r="J284" s="19"/>
      <c r="K284" s="19"/>
      <c r="L284" s="19"/>
    </row>
    <row r="285">
      <c r="A285" s="19"/>
      <c r="B285" s="19"/>
      <c r="C285" s="19"/>
      <c r="D285" s="19"/>
      <c r="E285" s="19"/>
      <c r="F285" s="19"/>
      <c r="G285" s="19"/>
      <c r="H285" s="19"/>
      <c r="I285" s="19"/>
      <c r="J285" s="19"/>
      <c r="K285" s="19"/>
      <c r="L285" s="19"/>
    </row>
    <row r="286">
      <c r="A286" s="19"/>
      <c r="B286" s="19"/>
      <c r="C286" s="19"/>
      <c r="D286" s="19"/>
      <c r="E286" s="19"/>
      <c r="F286" s="19"/>
      <c r="G286" s="19"/>
      <c r="H286" s="19"/>
      <c r="I286" s="19"/>
      <c r="J286" s="19"/>
      <c r="K286" s="19"/>
      <c r="L286" s="19"/>
    </row>
    <row r="287">
      <c r="A287" s="19"/>
      <c r="B287" s="19"/>
      <c r="C287" s="19"/>
      <c r="D287" s="19"/>
      <c r="E287" s="19"/>
      <c r="F287" s="19"/>
      <c r="G287" s="19"/>
      <c r="H287" s="19"/>
      <c r="I287" s="19"/>
      <c r="J287" s="19"/>
      <c r="K287" s="19"/>
      <c r="L287" s="19"/>
    </row>
    <row r="288">
      <c r="A288" s="19"/>
      <c r="B288" s="19"/>
      <c r="C288" s="19"/>
      <c r="D288" s="19"/>
      <c r="E288" s="19"/>
      <c r="F288" s="19"/>
      <c r="G288" s="19"/>
      <c r="H288" s="19"/>
      <c r="I288" s="19"/>
      <c r="J288" s="19"/>
      <c r="K288" s="19"/>
      <c r="L288" s="19"/>
    </row>
    <row r="289">
      <c r="A289" s="19"/>
      <c r="B289" s="19"/>
      <c r="C289" s="19"/>
      <c r="D289" s="19"/>
      <c r="E289" s="19"/>
      <c r="F289" s="19"/>
      <c r="G289" s="19"/>
      <c r="H289" s="19"/>
      <c r="I289" s="19"/>
      <c r="J289" s="19"/>
      <c r="K289" s="19"/>
      <c r="L289" s="19"/>
    </row>
    <row r="290">
      <c r="A290" s="19"/>
      <c r="B290" s="19"/>
      <c r="C290" s="19"/>
      <c r="D290" s="19"/>
      <c r="E290" s="19"/>
      <c r="F290" s="19"/>
      <c r="G290" s="19"/>
      <c r="H290" s="19"/>
      <c r="I290" s="19"/>
      <c r="J290" s="19"/>
      <c r="K290" s="19"/>
      <c r="L290" s="19"/>
    </row>
    <row r="291">
      <c r="A291" s="19"/>
      <c r="B291" s="19"/>
      <c r="C291" s="19"/>
      <c r="D291" s="19"/>
      <c r="E291" s="19"/>
      <c r="F291" s="19"/>
      <c r="G291" s="19"/>
      <c r="H291" s="19"/>
      <c r="I291" s="19"/>
      <c r="J291" s="19"/>
      <c r="K291" s="19"/>
      <c r="L291" s="19"/>
    </row>
    <row r="292">
      <c r="A292" s="19"/>
      <c r="B292" s="19"/>
      <c r="C292" s="19"/>
      <c r="D292" s="19"/>
      <c r="E292" s="19"/>
      <c r="F292" s="19"/>
      <c r="G292" s="19"/>
      <c r="H292" s="19"/>
      <c r="I292" s="19"/>
      <c r="J292" s="19"/>
      <c r="K292" s="19"/>
      <c r="L292" s="19"/>
    </row>
    <row r="293">
      <c r="A293" s="19"/>
      <c r="B293" s="19"/>
      <c r="C293" s="19"/>
      <c r="D293" s="19"/>
      <c r="E293" s="19"/>
      <c r="F293" s="19"/>
      <c r="G293" s="19"/>
      <c r="H293" s="19"/>
      <c r="I293" s="19"/>
      <c r="J293" s="19"/>
      <c r="K293" s="19"/>
      <c r="L293" s="19"/>
    </row>
    <row r="294">
      <c r="A294" s="19"/>
      <c r="B294" s="19"/>
      <c r="C294" s="19"/>
      <c r="D294" s="19"/>
      <c r="E294" s="19"/>
      <c r="F294" s="19"/>
      <c r="G294" s="19"/>
      <c r="H294" s="19"/>
      <c r="I294" s="19"/>
      <c r="J294" s="19"/>
      <c r="K294" s="19"/>
      <c r="L294" s="19"/>
    </row>
    <row r="295">
      <c r="A295" s="19"/>
      <c r="B295" s="19"/>
      <c r="C295" s="19"/>
      <c r="D295" s="19"/>
      <c r="E295" s="19"/>
      <c r="F295" s="19"/>
      <c r="G295" s="19"/>
      <c r="H295" s="19"/>
      <c r="I295" s="19"/>
      <c r="J295" s="19"/>
      <c r="K295" s="19"/>
      <c r="L295" s="19"/>
    </row>
    <row r="296">
      <c r="A296" s="19"/>
      <c r="B296" s="19"/>
      <c r="C296" s="19"/>
      <c r="D296" s="19"/>
      <c r="E296" s="19"/>
      <c r="F296" s="19"/>
      <c r="G296" s="19"/>
      <c r="H296" s="19"/>
      <c r="I296" s="19"/>
      <c r="J296" s="19"/>
      <c r="K296" s="19"/>
      <c r="L296" s="19"/>
    </row>
    <row r="297">
      <c r="A297" s="19"/>
      <c r="B297" s="19"/>
      <c r="C297" s="19"/>
      <c r="D297" s="19"/>
      <c r="E297" s="19"/>
      <c r="F297" s="19"/>
      <c r="G297" s="19"/>
      <c r="H297" s="19"/>
      <c r="I297" s="19"/>
      <c r="J297" s="19"/>
      <c r="K297" s="19"/>
      <c r="L297" s="19"/>
    </row>
    <row r="298">
      <c r="A298" s="19"/>
      <c r="B298" s="19"/>
      <c r="C298" s="19"/>
      <c r="D298" s="19"/>
      <c r="E298" s="19"/>
      <c r="F298" s="19"/>
      <c r="G298" s="19"/>
      <c r="H298" s="19"/>
      <c r="I298" s="19"/>
      <c r="J298" s="19"/>
      <c r="K298" s="19"/>
      <c r="L298" s="19"/>
    </row>
    <row r="299">
      <c r="A299" s="19"/>
      <c r="B299" s="19"/>
      <c r="C299" s="19"/>
      <c r="D299" s="19"/>
      <c r="E299" s="19"/>
      <c r="F299" s="19"/>
      <c r="G299" s="19"/>
      <c r="H299" s="19"/>
      <c r="I299" s="19"/>
      <c r="J299" s="19"/>
      <c r="K299" s="19"/>
      <c r="L299" s="19"/>
    </row>
    <row r="300">
      <c r="A300" s="19"/>
      <c r="B300" s="19"/>
      <c r="C300" s="19"/>
      <c r="D300" s="19"/>
      <c r="E300" s="19"/>
      <c r="F300" s="19"/>
      <c r="G300" s="19"/>
      <c r="H300" s="19"/>
      <c r="I300" s="19"/>
      <c r="J300" s="19"/>
      <c r="K300" s="19"/>
      <c r="L300" s="19"/>
    </row>
    <row r="301">
      <c r="A301" s="19"/>
      <c r="B301" s="19"/>
      <c r="C301" s="19"/>
      <c r="D301" s="19"/>
      <c r="E301" s="19"/>
      <c r="F301" s="19"/>
      <c r="G301" s="19"/>
      <c r="H301" s="19"/>
      <c r="I301" s="19"/>
      <c r="J301" s="19"/>
      <c r="K301" s="19"/>
      <c r="L301" s="19"/>
    </row>
    <row r="302">
      <c r="A302" s="19"/>
      <c r="B302" s="19"/>
      <c r="C302" s="19"/>
      <c r="D302" s="19"/>
      <c r="E302" s="19"/>
      <c r="F302" s="19"/>
      <c r="G302" s="19"/>
      <c r="H302" s="19"/>
      <c r="I302" s="19"/>
      <c r="J302" s="19"/>
      <c r="K302" s="19"/>
      <c r="L302" s="19"/>
    </row>
    <row r="303">
      <c r="A303" s="19"/>
      <c r="B303" s="19"/>
      <c r="C303" s="19"/>
      <c r="D303" s="19"/>
      <c r="E303" s="19"/>
      <c r="F303" s="19"/>
      <c r="G303" s="19"/>
      <c r="H303" s="19"/>
      <c r="I303" s="19"/>
      <c r="J303" s="19"/>
      <c r="K303" s="19"/>
      <c r="L303" s="19"/>
    </row>
    <row r="304">
      <c r="A304" s="19"/>
      <c r="B304" s="19"/>
      <c r="C304" s="19"/>
      <c r="D304" s="19"/>
      <c r="E304" s="19"/>
      <c r="F304" s="19"/>
      <c r="G304" s="19"/>
      <c r="H304" s="19"/>
      <c r="I304" s="19"/>
      <c r="J304" s="19"/>
      <c r="K304" s="19"/>
      <c r="L304" s="19"/>
    </row>
    <row r="305">
      <c r="A305" s="19"/>
      <c r="B305" s="19"/>
      <c r="C305" s="19"/>
      <c r="D305" s="19"/>
      <c r="E305" s="19"/>
      <c r="F305" s="19"/>
      <c r="G305" s="19"/>
      <c r="H305" s="19"/>
      <c r="I305" s="19"/>
      <c r="J305" s="19"/>
      <c r="K305" s="19"/>
      <c r="L305" s="19"/>
    </row>
    <row r="306">
      <c r="A306" s="19"/>
      <c r="B306" s="19"/>
      <c r="C306" s="19"/>
      <c r="D306" s="19"/>
      <c r="E306" s="19"/>
      <c r="F306" s="19"/>
      <c r="G306" s="19"/>
      <c r="H306" s="19"/>
      <c r="I306" s="19"/>
      <c r="J306" s="19"/>
      <c r="K306" s="19"/>
      <c r="L306" s="19"/>
    </row>
    <row r="307">
      <c r="A307" s="19"/>
      <c r="B307" s="19"/>
      <c r="C307" s="19"/>
      <c r="D307" s="19"/>
      <c r="E307" s="19"/>
      <c r="F307" s="19"/>
      <c r="G307" s="19"/>
      <c r="H307" s="19"/>
      <c r="I307" s="19"/>
      <c r="J307" s="19"/>
      <c r="K307" s="19"/>
      <c r="L307" s="19"/>
    </row>
    <row r="308">
      <c r="A308" s="19"/>
      <c r="B308" s="19"/>
      <c r="C308" s="19"/>
      <c r="D308" s="19"/>
      <c r="E308" s="19"/>
      <c r="F308" s="19"/>
      <c r="G308" s="19"/>
      <c r="H308" s="19"/>
      <c r="I308" s="19"/>
      <c r="J308" s="19"/>
      <c r="K308" s="19"/>
      <c r="L308" s="19"/>
    </row>
    <row r="309">
      <c r="A309" s="19"/>
      <c r="B309" s="19"/>
      <c r="C309" s="19"/>
      <c r="D309" s="19"/>
      <c r="E309" s="19"/>
      <c r="F309" s="19"/>
      <c r="G309" s="19"/>
      <c r="H309" s="19"/>
      <c r="I309" s="19"/>
      <c r="J309" s="19"/>
      <c r="K309" s="19"/>
      <c r="L309" s="19"/>
    </row>
    <row r="310">
      <c r="A310" s="19"/>
      <c r="B310" s="19"/>
      <c r="C310" s="19"/>
      <c r="D310" s="19"/>
      <c r="E310" s="19"/>
      <c r="F310" s="19"/>
      <c r="G310" s="19"/>
      <c r="H310" s="19"/>
      <c r="I310" s="19"/>
      <c r="J310" s="19"/>
      <c r="K310" s="19"/>
      <c r="L310" s="19"/>
    </row>
    <row r="311">
      <c r="A311" s="19"/>
      <c r="B311" s="19"/>
      <c r="C311" s="19"/>
      <c r="D311" s="19"/>
      <c r="E311" s="19"/>
      <c r="F311" s="19"/>
      <c r="G311" s="19"/>
      <c r="H311" s="19"/>
      <c r="I311" s="19"/>
      <c r="J311" s="19"/>
      <c r="K311" s="19"/>
      <c r="L311" s="19"/>
    </row>
    <row r="312">
      <c r="A312" s="19"/>
      <c r="B312" s="19"/>
      <c r="C312" s="19"/>
      <c r="D312" s="19"/>
      <c r="E312" s="19"/>
      <c r="F312" s="19"/>
      <c r="G312" s="19"/>
      <c r="H312" s="19"/>
      <c r="I312" s="19"/>
      <c r="J312" s="19"/>
      <c r="K312" s="19"/>
      <c r="L312" s="19"/>
    </row>
    <row r="313">
      <c r="A313" s="19"/>
      <c r="B313" s="19"/>
      <c r="C313" s="19"/>
      <c r="D313" s="19"/>
      <c r="E313" s="19"/>
      <c r="F313" s="19"/>
      <c r="G313" s="19"/>
      <c r="H313" s="19"/>
      <c r="I313" s="19"/>
      <c r="J313" s="19"/>
      <c r="K313" s="19"/>
      <c r="L313" s="19"/>
    </row>
    <row r="314">
      <c r="A314" s="19"/>
      <c r="B314" s="19"/>
      <c r="C314" s="19"/>
      <c r="D314" s="19"/>
      <c r="E314" s="19"/>
      <c r="F314" s="19"/>
      <c r="G314" s="19"/>
      <c r="H314" s="19"/>
      <c r="I314" s="19"/>
      <c r="J314" s="19"/>
      <c r="K314" s="19"/>
      <c r="L314" s="19"/>
    </row>
    <row r="315">
      <c r="A315" s="19"/>
      <c r="B315" s="19"/>
      <c r="C315" s="19"/>
      <c r="D315" s="19"/>
      <c r="E315" s="19"/>
      <c r="F315" s="19"/>
      <c r="G315" s="19"/>
      <c r="H315" s="19"/>
      <c r="I315" s="19"/>
      <c r="J315" s="19"/>
      <c r="K315" s="19"/>
      <c r="L315" s="19"/>
    </row>
    <row r="316">
      <c r="A316" s="19"/>
      <c r="B316" s="19"/>
      <c r="C316" s="19"/>
      <c r="D316" s="19"/>
      <c r="E316" s="19"/>
      <c r="F316" s="19"/>
      <c r="G316" s="19"/>
      <c r="H316" s="19"/>
      <c r="I316" s="19"/>
      <c r="J316" s="19"/>
      <c r="K316" s="19"/>
      <c r="L316" s="19"/>
    </row>
    <row r="317">
      <c r="A317" s="19"/>
      <c r="B317" s="19"/>
      <c r="C317" s="19"/>
      <c r="D317" s="19"/>
      <c r="E317" s="19"/>
      <c r="F317" s="19"/>
      <c r="G317" s="19"/>
      <c r="H317" s="19"/>
      <c r="I317" s="19"/>
      <c r="J317" s="19"/>
      <c r="K317" s="19"/>
      <c r="L317" s="19"/>
    </row>
    <row r="318">
      <c r="A318" s="19"/>
      <c r="B318" s="19"/>
      <c r="C318" s="19"/>
      <c r="D318" s="19"/>
      <c r="E318" s="19"/>
      <c r="F318" s="19"/>
      <c r="G318" s="19"/>
      <c r="H318" s="19"/>
      <c r="I318" s="19"/>
      <c r="J318" s="19"/>
      <c r="K318" s="19"/>
      <c r="L318" s="19"/>
    </row>
    <row r="319">
      <c r="A319" s="19"/>
      <c r="B319" s="19"/>
      <c r="C319" s="19"/>
      <c r="D319" s="19"/>
      <c r="E319" s="19"/>
      <c r="F319" s="19"/>
      <c r="G319" s="19"/>
      <c r="H319" s="19"/>
      <c r="I319" s="19"/>
      <c r="J319" s="19"/>
      <c r="K319" s="19"/>
      <c r="L319" s="19"/>
    </row>
    <row r="320">
      <c r="A320" s="19"/>
      <c r="B320" s="19"/>
      <c r="C320" s="19"/>
      <c r="D320" s="19"/>
      <c r="E320" s="19"/>
      <c r="F320" s="19"/>
      <c r="G320" s="19"/>
      <c r="H320" s="19"/>
      <c r="I320" s="19"/>
      <c r="J320" s="19"/>
      <c r="K320" s="19"/>
      <c r="L320" s="19"/>
    </row>
    <row r="321">
      <c r="A321" s="19"/>
      <c r="B321" s="19"/>
      <c r="C321" s="19"/>
      <c r="D321" s="19"/>
      <c r="E321" s="19"/>
      <c r="F321" s="19"/>
      <c r="G321" s="19"/>
      <c r="H321" s="19"/>
      <c r="I321" s="19"/>
      <c r="J321" s="19"/>
      <c r="K321" s="19"/>
      <c r="L321" s="19"/>
    </row>
    <row r="322">
      <c r="A322" s="19"/>
      <c r="B322" s="19"/>
      <c r="C322" s="19"/>
      <c r="D322" s="19"/>
      <c r="E322" s="19"/>
      <c r="F322" s="19"/>
      <c r="G322" s="19"/>
      <c r="H322" s="19"/>
      <c r="I322" s="19"/>
      <c r="J322" s="19"/>
      <c r="K322" s="19"/>
      <c r="L322" s="19"/>
    </row>
    <row r="323">
      <c r="A323" s="19"/>
      <c r="B323" s="19"/>
      <c r="C323" s="19"/>
      <c r="D323" s="19"/>
      <c r="E323" s="19"/>
      <c r="F323" s="19"/>
      <c r="G323" s="19"/>
      <c r="H323" s="19"/>
      <c r="I323" s="19"/>
      <c r="J323" s="19"/>
      <c r="K323" s="19"/>
      <c r="L323" s="19"/>
    </row>
    <row r="324">
      <c r="A324" s="19"/>
      <c r="B324" s="19"/>
      <c r="C324" s="19"/>
      <c r="D324" s="19"/>
      <c r="E324" s="19"/>
      <c r="F324" s="19"/>
      <c r="G324" s="19"/>
      <c r="H324" s="19"/>
      <c r="I324" s="19"/>
      <c r="J324" s="19"/>
      <c r="K324" s="19"/>
      <c r="L324" s="19"/>
    </row>
    <row r="325">
      <c r="A325" s="19"/>
      <c r="B325" s="19"/>
      <c r="C325" s="19"/>
      <c r="D325" s="19"/>
      <c r="E325" s="19"/>
      <c r="F325" s="19"/>
      <c r="G325" s="19"/>
      <c r="H325" s="19"/>
      <c r="I325" s="19"/>
      <c r="J325" s="19"/>
      <c r="K325" s="19"/>
      <c r="L325" s="19"/>
    </row>
    <row r="326">
      <c r="A326" s="19"/>
      <c r="B326" s="19"/>
      <c r="C326" s="19"/>
      <c r="D326" s="19"/>
      <c r="E326" s="19"/>
      <c r="F326" s="19"/>
      <c r="G326" s="19"/>
      <c r="H326" s="19"/>
      <c r="I326" s="19"/>
      <c r="J326" s="19"/>
      <c r="K326" s="19"/>
      <c r="L326" s="19"/>
    </row>
    <row r="327">
      <c r="A327" s="19"/>
      <c r="B327" s="19"/>
      <c r="C327" s="19"/>
      <c r="D327" s="19"/>
      <c r="E327" s="19"/>
      <c r="F327" s="19"/>
      <c r="G327" s="19"/>
      <c r="H327" s="19"/>
      <c r="I327" s="19"/>
      <c r="J327" s="19"/>
      <c r="K327" s="19"/>
      <c r="L327" s="19"/>
    </row>
    <row r="328">
      <c r="A328" s="19"/>
      <c r="B328" s="19"/>
      <c r="C328" s="19"/>
      <c r="D328" s="19"/>
      <c r="E328" s="19"/>
      <c r="F328" s="19"/>
      <c r="G328" s="19"/>
      <c r="H328" s="19"/>
      <c r="I328" s="19"/>
      <c r="J328" s="19"/>
      <c r="K328" s="19"/>
      <c r="L328" s="19"/>
    </row>
    <row r="329">
      <c r="A329" s="19"/>
      <c r="B329" s="19"/>
      <c r="C329" s="19"/>
      <c r="D329" s="19"/>
      <c r="E329" s="19"/>
      <c r="F329" s="19"/>
      <c r="G329" s="19"/>
      <c r="H329" s="19"/>
      <c r="I329" s="19"/>
      <c r="J329" s="19"/>
      <c r="K329" s="19"/>
      <c r="L329" s="19"/>
    </row>
    <row r="330">
      <c r="A330" s="19"/>
      <c r="B330" s="19"/>
      <c r="C330" s="19"/>
      <c r="D330" s="19"/>
      <c r="E330" s="19"/>
      <c r="F330" s="19"/>
      <c r="G330" s="19"/>
      <c r="H330" s="19"/>
      <c r="I330" s="19"/>
      <c r="J330" s="19"/>
      <c r="K330" s="19"/>
      <c r="L330" s="19"/>
    </row>
    <row r="331">
      <c r="A331" s="19"/>
      <c r="B331" s="19"/>
      <c r="C331" s="19"/>
      <c r="D331" s="19"/>
      <c r="E331" s="19"/>
      <c r="F331" s="19"/>
      <c r="G331" s="19"/>
      <c r="H331" s="19"/>
      <c r="I331" s="19"/>
      <c r="J331" s="19"/>
      <c r="K331" s="19"/>
      <c r="L331" s="19"/>
    </row>
    <row r="332">
      <c r="A332" s="19"/>
      <c r="B332" s="19"/>
      <c r="C332" s="19"/>
      <c r="D332" s="19"/>
      <c r="E332" s="19"/>
      <c r="F332" s="19"/>
      <c r="G332" s="19"/>
      <c r="H332" s="19"/>
      <c r="I332" s="19"/>
      <c r="J332" s="19"/>
      <c r="K332" s="19"/>
      <c r="L332" s="19"/>
    </row>
    <row r="333">
      <c r="A333" s="19"/>
      <c r="B333" s="19"/>
      <c r="C333" s="19"/>
      <c r="D333" s="19"/>
      <c r="E333" s="19"/>
      <c r="F333" s="19"/>
      <c r="G333" s="19"/>
      <c r="H333" s="19"/>
      <c r="I333" s="19"/>
      <c r="J333" s="19"/>
      <c r="K333" s="19"/>
      <c r="L333" s="19"/>
    </row>
    <row r="334">
      <c r="A334" s="19"/>
      <c r="B334" s="19"/>
      <c r="C334" s="19"/>
      <c r="D334" s="19"/>
      <c r="E334" s="19"/>
      <c r="F334" s="19"/>
      <c r="G334" s="19"/>
      <c r="H334" s="19"/>
      <c r="I334" s="19"/>
      <c r="J334" s="19"/>
      <c r="K334" s="19"/>
      <c r="L334" s="19"/>
    </row>
    <row r="335">
      <c r="A335" s="19"/>
      <c r="B335" s="19"/>
      <c r="C335" s="19"/>
      <c r="D335" s="19"/>
      <c r="E335" s="19"/>
      <c r="F335" s="19"/>
      <c r="G335" s="19"/>
      <c r="H335" s="19"/>
      <c r="I335" s="19"/>
      <c r="J335" s="19"/>
      <c r="K335" s="19"/>
      <c r="L335" s="19"/>
    </row>
    <row r="336">
      <c r="A336" s="19"/>
      <c r="B336" s="19"/>
      <c r="C336" s="19"/>
      <c r="D336" s="19"/>
      <c r="E336" s="19"/>
      <c r="F336" s="19"/>
      <c r="G336" s="19"/>
      <c r="H336" s="19"/>
      <c r="I336" s="19"/>
      <c r="J336" s="19"/>
      <c r="K336" s="19"/>
      <c r="L336" s="19"/>
    </row>
    <row r="337">
      <c r="A337" s="19"/>
      <c r="B337" s="19"/>
      <c r="C337" s="19"/>
      <c r="D337" s="19"/>
      <c r="E337" s="19"/>
      <c r="F337" s="19"/>
      <c r="G337" s="19"/>
      <c r="H337" s="19"/>
      <c r="I337" s="19"/>
      <c r="J337" s="19"/>
      <c r="K337" s="19"/>
      <c r="L337" s="19"/>
    </row>
    <row r="338">
      <c r="A338" s="19"/>
      <c r="B338" s="19"/>
      <c r="C338" s="19"/>
      <c r="D338" s="19"/>
      <c r="E338" s="19"/>
      <c r="F338" s="19"/>
      <c r="G338" s="19"/>
      <c r="H338" s="19"/>
      <c r="I338" s="19"/>
      <c r="J338" s="19"/>
      <c r="K338" s="19"/>
      <c r="L338" s="19"/>
    </row>
    <row r="339">
      <c r="A339" s="19"/>
      <c r="B339" s="19"/>
      <c r="C339" s="19"/>
      <c r="D339" s="19"/>
      <c r="E339" s="19"/>
      <c r="F339" s="19"/>
      <c r="G339" s="19"/>
      <c r="H339" s="19"/>
      <c r="I339" s="19"/>
      <c r="J339" s="19"/>
      <c r="K339" s="19"/>
      <c r="L339" s="19"/>
    </row>
    <row r="340">
      <c r="A340" s="19"/>
      <c r="B340" s="19"/>
      <c r="C340" s="19"/>
      <c r="D340" s="19"/>
      <c r="E340" s="19"/>
      <c r="F340" s="19"/>
      <c r="G340" s="19"/>
      <c r="H340" s="19"/>
      <c r="I340" s="19"/>
      <c r="J340" s="19"/>
      <c r="K340" s="19"/>
      <c r="L340" s="19"/>
    </row>
    <row r="341">
      <c r="A341" s="19"/>
      <c r="B341" s="19"/>
      <c r="C341" s="19"/>
      <c r="D341" s="19"/>
      <c r="E341" s="19"/>
      <c r="F341" s="19"/>
      <c r="G341" s="19"/>
      <c r="H341" s="19"/>
      <c r="I341" s="19"/>
      <c r="J341" s="19"/>
      <c r="K341" s="19"/>
      <c r="L341" s="19"/>
    </row>
    <row r="342">
      <c r="A342" s="19"/>
      <c r="B342" s="19"/>
      <c r="C342" s="19"/>
      <c r="D342" s="19"/>
      <c r="E342" s="19"/>
      <c r="F342" s="19"/>
      <c r="G342" s="19"/>
      <c r="H342" s="19"/>
      <c r="I342" s="19"/>
      <c r="J342" s="19"/>
      <c r="K342" s="19"/>
      <c r="L342" s="19"/>
    </row>
    <row r="343">
      <c r="A343" s="19"/>
      <c r="B343" s="19"/>
      <c r="C343" s="19"/>
      <c r="D343" s="19"/>
      <c r="E343" s="19"/>
      <c r="F343" s="19"/>
      <c r="G343" s="19"/>
      <c r="H343" s="19"/>
      <c r="I343" s="19"/>
      <c r="J343" s="19"/>
      <c r="K343" s="19"/>
      <c r="L343" s="19"/>
    </row>
    <row r="344">
      <c r="A344" s="19"/>
      <c r="B344" s="19"/>
      <c r="C344" s="19"/>
      <c r="D344" s="19"/>
      <c r="E344" s="19"/>
      <c r="F344" s="19"/>
      <c r="G344" s="19"/>
      <c r="H344" s="19"/>
      <c r="I344" s="19"/>
      <c r="J344" s="19"/>
      <c r="K344" s="19"/>
      <c r="L344" s="19"/>
    </row>
    <row r="345">
      <c r="A345" s="19"/>
      <c r="B345" s="19"/>
      <c r="C345" s="19"/>
      <c r="D345" s="19"/>
      <c r="E345" s="19"/>
      <c r="F345" s="19"/>
      <c r="G345" s="19"/>
      <c r="H345" s="19"/>
      <c r="I345" s="19"/>
      <c r="J345" s="19"/>
      <c r="K345" s="19"/>
      <c r="L345" s="19"/>
    </row>
    <row r="346">
      <c r="A346" s="19"/>
      <c r="B346" s="19"/>
      <c r="C346" s="19"/>
      <c r="D346" s="19"/>
      <c r="E346" s="19"/>
      <c r="F346" s="19"/>
      <c r="G346" s="19"/>
      <c r="H346" s="19"/>
      <c r="I346" s="19"/>
      <c r="J346" s="19"/>
      <c r="K346" s="19"/>
      <c r="L346" s="19"/>
    </row>
    <row r="347">
      <c r="A347" s="19"/>
      <c r="B347" s="19"/>
      <c r="C347" s="19"/>
      <c r="D347" s="19"/>
      <c r="E347" s="19"/>
      <c r="F347" s="19"/>
      <c r="G347" s="19"/>
      <c r="H347" s="19"/>
      <c r="I347" s="19"/>
      <c r="J347" s="19"/>
      <c r="K347" s="19"/>
      <c r="L347" s="19"/>
    </row>
    <row r="348">
      <c r="A348" s="19"/>
      <c r="B348" s="19"/>
      <c r="C348" s="19"/>
      <c r="D348" s="19"/>
      <c r="E348" s="19"/>
      <c r="F348" s="19"/>
      <c r="G348" s="19"/>
      <c r="H348" s="19"/>
      <c r="I348" s="19"/>
      <c r="J348" s="19"/>
      <c r="K348" s="19"/>
      <c r="L348" s="19"/>
    </row>
    <row r="349">
      <c r="A349" s="19"/>
      <c r="B349" s="19"/>
      <c r="C349" s="19"/>
      <c r="D349" s="19"/>
      <c r="E349" s="19"/>
      <c r="F349" s="19"/>
      <c r="G349" s="19"/>
      <c r="H349" s="19"/>
      <c r="I349" s="19"/>
      <c r="J349" s="19"/>
      <c r="K349" s="19"/>
      <c r="L349" s="19"/>
    </row>
    <row r="350">
      <c r="A350" s="19"/>
      <c r="B350" s="19"/>
      <c r="C350" s="19"/>
      <c r="D350" s="19"/>
      <c r="E350" s="19"/>
      <c r="F350" s="19"/>
      <c r="G350" s="19"/>
      <c r="H350" s="19"/>
      <c r="I350" s="19"/>
      <c r="J350" s="19"/>
      <c r="K350" s="19"/>
      <c r="L350" s="19"/>
    </row>
    <row r="351">
      <c r="A351" s="19"/>
      <c r="B351" s="19"/>
      <c r="C351" s="19"/>
      <c r="D351" s="19"/>
      <c r="E351" s="19"/>
      <c r="F351" s="19"/>
      <c r="G351" s="19"/>
      <c r="H351" s="19"/>
      <c r="I351" s="19"/>
      <c r="J351" s="19"/>
      <c r="K351" s="19"/>
      <c r="L351" s="19"/>
    </row>
    <row r="352">
      <c r="A352" s="19"/>
      <c r="B352" s="19"/>
      <c r="C352" s="19"/>
      <c r="D352" s="19"/>
      <c r="E352" s="19"/>
      <c r="F352" s="19"/>
      <c r="G352" s="19"/>
      <c r="H352" s="19"/>
      <c r="I352" s="19"/>
      <c r="J352" s="19"/>
      <c r="K352" s="19"/>
      <c r="L352" s="19"/>
    </row>
    <row r="353">
      <c r="A353" s="19"/>
      <c r="B353" s="19"/>
      <c r="C353" s="19"/>
      <c r="D353" s="19"/>
      <c r="E353" s="19"/>
      <c r="F353" s="19"/>
      <c r="G353" s="19"/>
      <c r="H353" s="19"/>
      <c r="I353" s="19"/>
      <c r="J353" s="19"/>
      <c r="K353" s="19"/>
      <c r="L353" s="19"/>
    </row>
    <row r="354">
      <c r="A354" s="19"/>
      <c r="B354" s="19"/>
      <c r="C354" s="19"/>
      <c r="D354" s="19"/>
      <c r="E354" s="19"/>
      <c r="F354" s="19"/>
      <c r="G354" s="19"/>
      <c r="H354" s="19"/>
      <c r="I354" s="19"/>
      <c r="J354" s="19"/>
      <c r="K354" s="19"/>
      <c r="L354" s="19"/>
    </row>
    <row r="355">
      <c r="A355" s="19"/>
      <c r="B355" s="19"/>
      <c r="C355" s="19"/>
      <c r="D355" s="19"/>
      <c r="E355" s="19"/>
      <c r="F355" s="19"/>
      <c r="G355" s="19"/>
      <c r="H355" s="19"/>
      <c r="I355" s="19"/>
      <c r="J355" s="19"/>
      <c r="K355" s="19"/>
      <c r="L355" s="19"/>
    </row>
    <row r="356">
      <c r="A356" s="19"/>
      <c r="B356" s="19"/>
      <c r="C356" s="19"/>
      <c r="D356" s="19"/>
      <c r="E356" s="19"/>
      <c r="F356" s="19"/>
      <c r="G356" s="19"/>
      <c r="H356" s="19"/>
      <c r="I356" s="19"/>
      <c r="J356" s="19"/>
      <c r="K356" s="19"/>
      <c r="L356" s="19"/>
    </row>
    <row r="357">
      <c r="A357" s="19"/>
      <c r="B357" s="19"/>
      <c r="C357" s="19"/>
      <c r="D357" s="19"/>
      <c r="E357" s="19"/>
      <c r="F357" s="19"/>
      <c r="G357" s="19"/>
      <c r="H357" s="19"/>
      <c r="I357" s="19"/>
      <c r="J357" s="19"/>
      <c r="K357" s="19"/>
      <c r="L357" s="19"/>
    </row>
    <row r="358">
      <c r="A358" s="19"/>
      <c r="B358" s="19"/>
      <c r="C358" s="19"/>
      <c r="D358" s="19"/>
      <c r="E358" s="19"/>
      <c r="F358" s="19"/>
      <c r="G358" s="19"/>
      <c r="H358" s="19"/>
      <c r="I358" s="19"/>
      <c r="J358" s="19"/>
      <c r="K358" s="19"/>
      <c r="L358" s="19"/>
    </row>
    <row r="359">
      <c r="A359" s="19"/>
      <c r="B359" s="19"/>
      <c r="C359" s="19"/>
      <c r="D359" s="19"/>
      <c r="E359" s="19"/>
      <c r="F359" s="19"/>
      <c r="G359" s="19"/>
      <c r="H359" s="19"/>
      <c r="I359" s="19"/>
      <c r="J359" s="19"/>
      <c r="K359" s="19"/>
      <c r="L359" s="19"/>
    </row>
    <row r="360">
      <c r="A360" s="19"/>
      <c r="B360" s="19"/>
      <c r="C360" s="19"/>
      <c r="D360" s="19"/>
      <c r="E360" s="19"/>
      <c r="F360" s="19"/>
      <c r="G360" s="19"/>
      <c r="H360" s="19"/>
      <c r="I360" s="19"/>
      <c r="J360" s="19"/>
      <c r="K360" s="19"/>
      <c r="L360" s="19"/>
    </row>
    <row r="361">
      <c r="A361" s="19"/>
      <c r="B361" s="19"/>
      <c r="C361" s="19"/>
      <c r="D361" s="19"/>
      <c r="E361" s="19"/>
      <c r="F361" s="19"/>
      <c r="G361" s="19"/>
      <c r="H361" s="19"/>
      <c r="I361" s="19"/>
      <c r="J361" s="19"/>
      <c r="K361" s="19"/>
      <c r="L361" s="19"/>
    </row>
    <row r="362">
      <c r="A362" s="19"/>
      <c r="B362" s="19"/>
      <c r="C362" s="19"/>
      <c r="D362" s="19"/>
      <c r="E362" s="19"/>
      <c r="F362" s="19"/>
      <c r="G362" s="19"/>
      <c r="H362" s="19"/>
      <c r="I362" s="19"/>
      <c r="J362" s="19"/>
      <c r="K362" s="19"/>
      <c r="L362" s="19"/>
    </row>
    <row r="363">
      <c r="A363" s="19"/>
      <c r="B363" s="19"/>
      <c r="C363" s="19"/>
      <c r="D363" s="19"/>
      <c r="E363" s="19"/>
      <c r="F363" s="19"/>
      <c r="G363" s="19"/>
      <c r="H363" s="19"/>
      <c r="I363" s="19"/>
      <c r="J363" s="19"/>
      <c r="K363" s="19"/>
      <c r="L363" s="19"/>
    </row>
    <row r="364">
      <c r="A364" s="19"/>
      <c r="B364" s="19"/>
      <c r="C364" s="19"/>
      <c r="D364" s="19"/>
      <c r="E364" s="19"/>
      <c r="F364" s="19"/>
      <c r="G364" s="19"/>
      <c r="H364" s="19"/>
      <c r="I364" s="19"/>
      <c r="J364" s="19"/>
      <c r="K364" s="19"/>
      <c r="L364" s="19"/>
    </row>
    <row r="365">
      <c r="A365" s="19"/>
      <c r="B365" s="19"/>
      <c r="C365" s="19"/>
      <c r="D365" s="19"/>
      <c r="E365" s="19"/>
      <c r="F365" s="19"/>
      <c r="G365" s="19"/>
      <c r="H365" s="19"/>
      <c r="I365" s="19"/>
      <c r="J365" s="19"/>
      <c r="K365" s="19"/>
      <c r="L365" s="19"/>
    </row>
    <row r="366">
      <c r="A366" s="19"/>
      <c r="B366" s="19"/>
      <c r="C366" s="19"/>
      <c r="D366" s="19"/>
      <c r="E366" s="19"/>
      <c r="F366" s="19"/>
      <c r="G366" s="19"/>
      <c r="H366" s="19"/>
      <c r="I366" s="19"/>
      <c r="J366" s="19"/>
      <c r="K366" s="19"/>
      <c r="L366" s="19"/>
    </row>
    <row r="367">
      <c r="A367" s="19"/>
      <c r="B367" s="19"/>
      <c r="C367" s="19"/>
      <c r="D367" s="19"/>
      <c r="E367" s="19"/>
      <c r="F367" s="19"/>
      <c r="G367" s="19"/>
      <c r="H367" s="19"/>
      <c r="I367" s="19"/>
      <c r="J367" s="19"/>
      <c r="K367" s="19"/>
      <c r="L367" s="19"/>
    </row>
    <row r="368">
      <c r="A368" s="19"/>
      <c r="B368" s="19"/>
      <c r="C368" s="19"/>
      <c r="D368" s="19"/>
      <c r="E368" s="19"/>
      <c r="F368" s="19"/>
      <c r="G368" s="19"/>
      <c r="H368" s="19"/>
      <c r="I368" s="19"/>
      <c r="J368" s="19"/>
      <c r="K368" s="19"/>
      <c r="L368" s="19"/>
    </row>
    <row r="369">
      <c r="A369" s="19"/>
      <c r="B369" s="19"/>
      <c r="C369" s="19"/>
      <c r="D369" s="19"/>
      <c r="E369" s="19"/>
      <c r="F369" s="19"/>
      <c r="G369" s="19"/>
      <c r="H369" s="19"/>
      <c r="I369" s="19"/>
      <c r="J369" s="19"/>
      <c r="K369" s="19"/>
      <c r="L369" s="19"/>
    </row>
    <row r="370">
      <c r="A370" s="19"/>
      <c r="B370" s="19"/>
      <c r="C370" s="19"/>
      <c r="D370" s="19"/>
      <c r="E370" s="19"/>
      <c r="F370" s="19"/>
      <c r="G370" s="19"/>
      <c r="H370" s="19"/>
      <c r="I370" s="19"/>
      <c r="J370" s="19"/>
      <c r="K370" s="19"/>
      <c r="L370" s="19"/>
    </row>
    <row r="371">
      <c r="A371" s="19"/>
      <c r="B371" s="19"/>
      <c r="C371" s="19"/>
      <c r="D371" s="19"/>
      <c r="E371" s="19"/>
      <c r="F371" s="19"/>
      <c r="G371" s="19"/>
      <c r="H371" s="19"/>
      <c r="I371" s="19"/>
      <c r="J371" s="19"/>
      <c r="K371" s="19"/>
      <c r="L371" s="19"/>
    </row>
    <row r="372">
      <c r="A372" s="19"/>
      <c r="B372" s="19"/>
      <c r="C372" s="19"/>
      <c r="D372" s="19"/>
      <c r="E372" s="19"/>
      <c r="F372" s="19"/>
      <c r="G372" s="19"/>
      <c r="H372" s="19"/>
      <c r="I372" s="19"/>
      <c r="J372" s="19"/>
      <c r="K372" s="19"/>
      <c r="L372" s="19"/>
    </row>
    <row r="373">
      <c r="A373" s="19"/>
      <c r="B373" s="19"/>
      <c r="C373" s="19"/>
      <c r="D373" s="19"/>
      <c r="E373" s="19"/>
      <c r="F373" s="19"/>
      <c r="G373" s="19"/>
      <c r="H373" s="19"/>
      <c r="I373" s="19"/>
      <c r="J373" s="19"/>
      <c r="K373" s="19"/>
      <c r="L373" s="19"/>
    </row>
    <row r="374">
      <c r="A374" s="19"/>
      <c r="B374" s="19"/>
      <c r="C374" s="19"/>
      <c r="D374" s="19"/>
      <c r="E374" s="19"/>
      <c r="F374" s="19"/>
      <c r="G374" s="19"/>
      <c r="H374" s="19"/>
      <c r="I374" s="19"/>
      <c r="J374" s="19"/>
      <c r="K374" s="19"/>
      <c r="L374" s="19"/>
    </row>
    <row r="375">
      <c r="A375" s="19"/>
      <c r="B375" s="19"/>
      <c r="C375" s="19"/>
      <c r="D375" s="19"/>
      <c r="E375" s="19"/>
      <c r="F375" s="19"/>
      <c r="G375" s="19"/>
      <c r="H375" s="19"/>
      <c r="I375" s="19"/>
      <c r="J375" s="19"/>
      <c r="K375" s="19"/>
      <c r="L375" s="19"/>
    </row>
    <row r="376">
      <c r="A376" s="19"/>
      <c r="B376" s="19"/>
      <c r="C376" s="19"/>
      <c r="D376" s="19"/>
      <c r="E376" s="19"/>
      <c r="F376" s="19"/>
      <c r="G376" s="19"/>
      <c r="H376" s="19"/>
      <c r="I376" s="19"/>
      <c r="J376" s="19"/>
      <c r="K376" s="19"/>
      <c r="L376" s="19"/>
    </row>
    <row r="377">
      <c r="A377" s="19"/>
      <c r="B377" s="19"/>
      <c r="C377" s="19"/>
      <c r="D377" s="19"/>
      <c r="E377" s="19"/>
      <c r="F377" s="19"/>
      <c r="G377" s="19"/>
      <c r="H377" s="19"/>
      <c r="I377" s="19"/>
      <c r="J377" s="19"/>
      <c r="K377" s="19"/>
      <c r="L377" s="19"/>
    </row>
    <row r="378">
      <c r="A378" s="19"/>
      <c r="B378" s="19"/>
      <c r="C378" s="19"/>
      <c r="D378" s="19"/>
      <c r="E378" s="19"/>
      <c r="F378" s="19"/>
      <c r="G378" s="19"/>
      <c r="H378" s="19"/>
      <c r="I378" s="19"/>
      <c r="J378" s="19"/>
      <c r="K378" s="19"/>
      <c r="L378" s="19"/>
    </row>
    <row r="379">
      <c r="A379" s="19"/>
      <c r="B379" s="19"/>
      <c r="C379" s="19"/>
      <c r="D379" s="19"/>
      <c r="E379" s="19"/>
      <c r="F379" s="19"/>
      <c r="G379" s="19"/>
      <c r="H379" s="19"/>
      <c r="I379" s="19"/>
      <c r="J379" s="19"/>
      <c r="K379" s="19"/>
      <c r="L379" s="19"/>
    </row>
    <row r="380">
      <c r="A380" s="19"/>
      <c r="B380" s="19"/>
      <c r="C380" s="19"/>
      <c r="D380" s="19"/>
      <c r="E380" s="19"/>
      <c r="F380" s="19"/>
      <c r="G380" s="19"/>
      <c r="H380" s="19"/>
      <c r="I380" s="19"/>
      <c r="J380" s="19"/>
      <c r="K380" s="19"/>
      <c r="L380" s="19"/>
    </row>
    <row r="381">
      <c r="A381" s="19"/>
      <c r="B381" s="19"/>
      <c r="C381" s="19"/>
      <c r="D381" s="19"/>
      <c r="E381" s="19"/>
      <c r="F381" s="19"/>
      <c r="G381" s="19"/>
      <c r="H381" s="19"/>
      <c r="I381" s="19"/>
      <c r="J381" s="19"/>
      <c r="K381" s="19"/>
      <c r="L381" s="19"/>
    </row>
    <row r="382">
      <c r="A382" s="19"/>
      <c r="B382" s="19"/>
      <c r="C382" s="19"/>
      <c r="D382" s="19"/>
      <c r="E382" s="19"/>
      <c r="F382" s="19"/>
      <c r="G382" s="19"/>
      <c r="H382" s="19"/>
      <c r="I382" s="19"/>
      <c r="J382" s="19"/>
      <c r="K382" s="19"/>
      <c r="L382" s="19"/>
    </row>
    <row r="383">
      <c r="A383" s="19"/>
      <c r="B383" s="19"/>
      <c r="C383" s="19"/>
      <c r="D383" s="19"/>
      <c r="E383" s="19"/>
      <c r="F383" s="19"/>
      <c r="G383" s="19"/>
      <c r="H383" s="19"/>
      <c r="I383" s="19"/>
      <c r="J383" s="19"/>
      <c r="K383" s="19"/>
      <c r="L383" s="19"/>
    </row>
    <row r="384">
      <c r="A384" s="19"/>
      <c r="B384" s="19"/>
      <c r="C384" s="19"/>
      <c r="D384" s="19"/>
      <c r="E384" s="19"/>
      <c r="F384" s="19"/>
      <c r="G384" s="19"/>
      <c r="H384" s="19"/>
      <c r="I384" s="19"/>
      <c r="J384" s="19"/>
      <c r="K384" s="19"/>
      <c r="L384" s="19"/>
    </row>
    <row r="385">
      <c r="A385" s="19"/>
      <c r="B385" s="19"/>
      <c r="C385" s="19"/>
      <c r="D385" s="19"/>
      <c r="E385" s="19"/>
      <c r="F385" s="19"/>
      <c r="G385" s="19"/>
      <c r="H385" s="19"/>
      <c r="I385" s="19"/>
      <c r="J385" s="19"/>
      <c r="K385" s="19"/>
      <c r="L385" s="19"/>
    </row>
    <row r="386">
      <c r="A386" s="19"/>
      <c r="B386" s="19"/>
      <c r="C386" s="19"/>
      <c r="D386" s="19"/>
      <c r="E386" s="19"/>
      <c r="F386" s="19"/>
      <c r="G386" s="19"/>
      <c r="H386" s="19"/>
      <c r="I386" s="19"/>
      <c r="J386" s="19"/>
      <c r="K386" s="19"/>
      <c r="L386" s="19"/>
    </row>
    <row r="387">
      <c r="A387" s="19"/>
      <c r="B387" s="19"/>
      <c r="C387" s="19"/>
      <c r="D387" s="19"/>
      <c r="E387" s="19"/>
      <c r="F387" s="19"/>
      <c r="G387" s="19"/>
      <c r="H387" s="19"/>
      <c r="I387" s="19"/>
      <c r="J387" s="19"/>
      <c r="K387" s="19"/>
      <c r="L387" s="19"/>
    </row>
    <row r="388">
      <c r="A388" s="19"/>
      <c r="B388" s="19"/>
      <c r="C388" s="19"/>
      <c r="D388" s="19"/>
      <c r="E388" s="19"/>
      <c r="F388" s="19"/>
      <c r="G388" s="19"/>
      <c r="H388" s="19"/>
      <c r="I388" s="19"/>
      <c r="J388" s="19"/>
      <c r="K388" s="19"/>
      <c r="L388" s="19"/>
    </row>
    <row r="389">
      <c r="A389" s="19"/>
      <c r="B389" s="19"/>
      <c r="C389" s="19"/>
      <c r="D389" s="19"/>
      <c r="E389" s="19"/>
      <c r="F389" s="19"/>
      <c r="G389" s="19"/>
      <c r="H389" s="19"/>
      <c r="I389" s="19"/>
      <c r="J389" s="19"/>
      <c r="K389" s="19"/>
      <c r="L389" s="19"/>
    </row>
    <row r="390">
      <c r="A390" s="19"/>
      <c r="B390" s="19"/>
      <c r="C390" s="19"/>
      <c r="D390" s="19"/>
      <c r="E390" s="19"/>
      <c r="F390" s="19"/>
      <c r="G390" s="19"/>
      <c r="H390" s="19"/>
      <c r="I390" s="19"/>
      <c r="J390" s="19"/>
      <c r="K390" s="19"/>
      <c r="L390" s="19"/>
    </row>
    <row r="391">
      <c r="A391" s="19"/>
      <c r="B391" s="19"/>
      <c r="C391" s="19"/>
      <c r="D391" s="19"/>
      <c r="E391" s="19"/>
      <c r="F391" s="19"/>
      <c r="G391" s="19"/>
      <c r="H391" s="19"/>
      <c r="I391" s="19"/>
      <c r="J391" s="19"/>
      <c r="K391" s="19"/>
      <c r="L391" s="19"/>
    </row>
    <row r="392">
      <c r="A392" s="19"/>
      <c r="B392" s="19"/>
      <c r="C392" s="19"/>
      <c r="D392" s="19"/>
      <c r="E392" s="19"/>
      <c r="F392" s="19"/>
      <c r="G392" s="19"/>
      <c r="H392" s="19"/>
      <c r="I392" s="19"/>
      <c r="J392" s="19"/>
      <c r="K392" s="19"/>
      <c r="L392" s="19"/>
    </row>
    <row r="393">
      <c r="A393" s="19"/>
      <c r="B393" s="19"/>
      <c r="C393" s="19"/>
      <c r="D393" s="19"/>
      <c r="E393" s="19"/>
      <c r="F393" s="19"/>
      <c r="G393" s="19"/>
      <c r="H393" s="19"/>
      <c r="I393" s="19"/>
      <c r="J393" s="19"/>
      <c r="K393" s="19"/>
      <c r="L393" s="19"/>
    </row>
    <row r="394">
      <c r="A394" s="19"/>
      <c r="B394" s="19"/>
      <c r="C394" s="19"/>
      <c r="D394" s="19"/>
      <c r="E394" s="19"/>
      <c r="F394" s="19"/>
      <c r="G394" s="19"/>
      <c r="H394" s="19"/>
      <c r="I394" s="19"/>
      <c r="J394" s="19"/>
      <c r="K394" s="19"/>
      <c r="L394" s="19"/>
    </row>
    <row r="395">
      <c r="A395" s="19"/>
      <c r="B395" s="19"/>
      <c r="C395" s="19"/>
      <c r="D395" s="19"/>
      <c r="E395" s="19"/>
      <c r="F395" s="19"/>
      <c r="G395" s="19"/>
      <c r="H395" s="19"/>
      <c r="I395" s="19"/>
      <c r="J395" s="19"/>
      <c r="K395" s="19"/>
      <c r="L395" s="19"/>
    </row>
    <row r="396">
      <c r="A396" s="19"/>
      <c r="B396" s="19"/>
      <c r="C396" s="19"/>
      <c r="D396" s="19"/>
      <c r="E396" s="19"/>
      <c r="F396" s="19"/>
      <c r="G396" s="19"/>
      <c r="H396" s="19"/>
      <c r="I396" s="19"/>
      <c r="J396" s="19"/>
      <c r="K396" s="19"/>
      <c r="L396" s="19"/>
    </row>
    <row r="397">
      <c r="A397" s="19"/>
      <c r="B397" s="19"/>
      <c r="C397" s="19"/>
      <c r="D397" s="19"/>
      <c r="E397" s="19"/>
      <c r="F397" s="19"/>
      <c r="G397" s="19"/>
      <c r="H397" s="19"/>
      <c r="I397" s="19"/>
      <c r="J397" s="19"/>
      <c r="K397" s="19"/>
      <c r="L397" s="19"/>
    </row>
    <row r="398">
      <c r="A398" s="19"/>
      <c r="B398" s="19"/>
      <c r="C398" s="19"/>
      <c r="D398" s="19"/>
      <c r="E398" s="19"/>
      <c r="F398" s="19"/>
      <c r="G398" s="19"/>
      <c r="H398" s="19"/>
      <c r="I398" s="19"/>
      <c r="J398" s="19"/>
      <c r="K398" s="19"/>
      <c r="L398" s="19"/>
    </row>
    <row r="399">
      <c r="A399" s="19"/>
      <c r="B399" s="19"/>
      <c r="C399" s="19"/>
      <c r="D399" s="19"/>
      <c r="E399" s="19"/>
      <c r="F399" s="19"/>
      <c r="G399" s="19"/>
      <c r="H399" s="19"/>
      <c r="I399" s="19"/>
      <c r="J399" s="19"/>
      <c r="K399" s="19"/>
      <c r="L399" s="19"/>
    </row>
    <row r="400">
      <c r="A400" s="19"/>
      <c r="B400" s="19"/>
      <c r="C400" s="19"/>
      <c r="D400" s="19"/>
      <c r="E400" s="19"/>
      <c r="F400" s="19"/>
      <c r="G400" s="19"/>
      <c r="H400" s="19"/>
      <c r="I400" s="19"/>
      <c r="J400" s="19"/>
      <c r="K400" s="19"/>
      <c r="L400" s="19"/>
    </row>
    <row r="401">
      <c r="A401" s="19"/>
      <c r="B401" s="19"/>
      <c r="C401" s="19"/>
      <c r="D401" s="19"/>
      <c r="E401" s="19"/>
      <c r="F401" s="19"/>
      <c r="G401" s="19"/>
      <c r="H401" s="19"/>
      <c r="I401" s="19"/>
      <c r="J401" s="19"/>
      <c r="K401" s="19"/>
      <c r="L401" s="19"/>
    </row>
    <row r="402">
      <c r="A402" s="19"/>
      <c r="B402" s="19"/>
      <c r="C402" s="19"/>
      <c r="D402" s="19"/>
      <c r="E402" s="19"/>
      <c r="F402" s="19"/>
      <c r="G402" s="19"/>
      <c r="H402" s="19"/>
      <c r="I402" s="19"/>
      <c r="J402" s="19"/>
      <c r="K402" s="19"/>
      <c r="L402" s="19"/>
    </row>
    <row r="403">
      <c r="A403" s="19"/>
      <c r="B403" s="19"/>
      <c r="C403" s="19"/>
      <c r="D403" s="19"/>
      <c r="E403" s="19"/>
      <c r="F403" s="19"/>
      <c r="G403" s="19"/>
      <c r="H403" s="19"/>
      <c r="I403" s="19"/>
      <c r="J403" s="19"/>
      <c r="K403" s="19"/>
      <c r="L403" s="19"/>
    </row>
    <row r="404">
      <c r="A404" s="19"/>
      <c r="B404" s="19"/>
      <c r="C404" s="19"/>
      <c r="D404" s="19"/>
      <c r="E404" s="19"/>
      <c r="F404" s="19"/>
      <c r="G404" s="19"/>
      <c r="H404" s="19"/>
      <c r="I404" s="19"/>
      <c r="J404" s="19"/>
      <c r="K404" s="19"/>
      <c r="L404" s="19"/>
    </row>
    <row r="405">
      <c r="A405" s="19"/>
      <c r="B405" s="19"/>
      <c r="C405" s="19"/>
      <c r="D405" s="19"/>
      <c r="E405" s="19"/>
      <c r="F405" s="19"/>
      <c r="G405" s="19"/>
      <c r="H405" s="19"/>
      <c r="I405" s="19"/>
      <c r="J405" s="19"/>
      <c r="K405" s="19"/>
      <c r="L405" s="19"/>
    </row>
    <row r="406">
      <c r="A406" s="19"/>
      <c r="B406" s="19"/>
      <c r="C406" s="19"/>
      <c r="D406" s="19"/>
      <c r="E406" s="19"/>
      <c r="F406" s="19"/>
      <c r="G406" s="19"/>
      <c r="H406" s="19"/>
      <c r="I406" s="19"/>
      <c r="J406" s="19"/>
      <c r="K406" s="19"/>
      <c r="L406" s="19"/>
    </row>
    <row r="407">
      <c r="A407" s="19"/>
      <c r="B407" s="19"/>
      <c r="C407" s="19"/>
      <c r="D407" s="19"/>
      <c r="E407" s="19"/>
      <c r="F407" s="19"/>
      <c r="G407" s="19"/>
      <c r="H407" s="19"/>
      <c r="I407" s="19"/>
      <c r="J407" s="19"/>
      <c r="K407" s="19"/>
      <c r="L407" s="19"/>
    </row>
    <row r="408">
      <c r="A408" s="19"/>
      <c r="B408" s="19"/>
      <c r="C408" s="19"/>
      <c r="D408" s="19"/>
      <c r="E408" s="19"/>
      <c r="F408" s="19"/>
      <c r="G408" s="19"/>
      <c r="H408" s="19"/>
      <c r="I408" s="19"/>
      <c r="J408" s="19"/>
      <c r="K408" s="19"/>
      <c r="L408" s="19"/>
    </row>
    <row r="409">
      <c r="A409" s="19"/>
      <c r="B409" s="19"/>
      <c r="C409" s="19"/>
      <c r="D409" s="19"/>
      <c r="E409" s="19"/>
      <c r="F409" s="19"/>
      <c r="G409" s="19"/>
      <c r="H409" s="19"/>
      <c r="I409" s="19"/>
      <c r="J409" s="19"/>
      <c r="K409" s="19"/>
      <c r="L409" s="19"/>
    </row>
    <row r="410">
      <c r="A410" s="19"/>
      <c r="B410" s="19"/>
      <c r="C410" s="19"/>
      <c r="D410" s="19"/>
      <c r="E410" s="19"/>
      <c r="F410" s="19"/>
      <c r="G410" s="19"/>
      <c r="H410" s="19"/>
      <c r="I410" s="19"/>
      <c r="J410" s="19"/>
      <c r="K410" s="19"/>
      <c r="L410" s="19"/>
    </row>
    <row r="411">
      <c r="A411" s="19"/>
      <c r="B411" s="19"/>
      <c r="C411" s="19"/>
      <c r="D411" s="19"/>
      <c r="E411" s="19"/>
      <c r="F411" s="19"/>
      <c r="G411" s="19"/>
      <c r="H411" s="19"/>
      <c r="I411" s="19"/>
      <c r="J411" s="19"/>
      <c r="K411" s="19"/>
      <c r="L411" s="19"/>
    </row>
    <row r="412">
      <c r="A412" s="19"/>
      <c r="B412" s="19"/>
      <c r="C412" s="19"/>
      <c r="D412" s="19"/>
      <c r="E412" s="19"/>
      <c r="F412" s="19"/>
      <c r="G412" s="19"/>
      <c r="H412" s="19"/>
      <c r="I412" s="19"/>
      <c r="J412" s="19"/>
      <c r="K412" s="19"/>
      <c r="L412" s="19"/>
    </row>
    <row r="413">
      <c r="A413" s="19"/>
      <c r="B413" s="19"/>
      <c r="C413" s="19"/>
      <c r="D413" s="19"/>
      <c r="E413" s="19"/>
      <c r="F413" s="19"/>
      <c r="G413" s="19"/>
      <c r="H413" s="19"/>
      <c r="I413" s="19"/>
      <c r="J413" s="19"/>
      <c r="K413" s="19"/>
      <c r="L413" s="19"/>
    </row>
    <row r="414">
      <c r="A414" s="19"/>
      <c r="B414" s="19"/>
      <c r="C414" s="19"/>
      <c r="D414" s="19"/>
      <c r="E414" s="19"/>
      <c r="F414" s="19"/>
      <c r="G414" s="19"/>
      <c r="H414" s="19"/>
      <c r="I414" s="19"/>
      <c r="J414" s="19"/>
      <c r="K414" s="19"/>
      <c r="L414" s="19"/>
    </row>
    <row r="415">
      <c r="A415" s="19"/>
      <c r="B415" s="19"/>
      <c r="C415" s="19"/>
      <c r="D415" s="19"/>
      <c r="E415" s="19"/>
      <c r="F415" s="19"/>
      <c r="G415" s="19"/>
      <c r="H415" s="19"/>
      <c r="I415" s="19"/>
      <c r="J415" s="19"/>
      <c r="K415" s="19"/>
      <c r="L415" s="19"/>
    </row>
    <row r="416">
      <c r="A416" s="19"/>
      <c r="B416" s="19"/>
      <c r="C416" s="19"/>
      <c r="D416" s="19"/>
      <c r="E416" s="19"/>
      <c r="F416" s="19"/>
      <c r="G416" s="19"/>
      <c r="H416" s="19"/>
      <c r="I416" s="19"/>
      <c r="J416" s="19"/>
      <c r="K416" s="19"/>
      <c r="L416" s="19"/>
    </row>
    <row r="417">
      <c r="A417" s="19"/>
      <c r="B417" s="19"/>
      <c r="C417" s="19"/>
      <c r="D417" s="19"/>
      <c r="E417" s="19"/>
      <c r="F417" s="19"/>
      <c r="G417" s="19"/>
      <c r="H417" s="19"/>
      <c r="I417" s="19"/>
      <c r="J417" s="19"/>
      <c r="K417" s="19"/>
      <c r="L417" s="19"/>
    </row>
    <row r="418">
      <c r="A418" s="19"/>
      <c r="B418" s="19"/>
      <c r="C418" s="19"/>
      <c r="D418" s="19"/>
      <c r="E418" s="19"/>
      <c r="F418" s="19"/>
      <c r="G418" s="19"/>
      <c r="H418" s="19"/>
      <c r="I418" s="19"/>
      <c r="J418" s="19"/>
      <c r="K418" s="19"/>
      <c r="L418" s="19"/>
    </row>
    <row r="419">
      <c r="A419" s="19"/>
      <c r="B419" s="19"/>
      <c r="C419" s="19"/>
      <c r="D419" s="19"/>
      <c r="E419" s="19"/>
      <c r="F419" s="19"/>
      <c r="G419" s="19"/>
      <c r="H419" s="19"/>
      <c r="I419" s="19"/>
      <c r="J419" s="19"/>
      <c r="K419" s="19"/>
      <c r="L419" s="19"/>
    </row>
    <row r="420">
      <c r="A420" s="19"/>
      <c r="B420" s="19"/>
      <c r="C420" s="19"/>
      <c r="D420" s="19"/>
      <c r="E420" s="19"/>
      <c r="F420" s="19"/>
      <c r="G420" s="19"/>
      <c r="H420" s="19"/>
      <c r="I420" s="19"/>
      <c r="J420" s="19"/>
      <c r="K420" s="19"/>
      <c r="L420" s="19"/>
    </row>
    <row r="421">
      <c r="A421" s="19"/>
      <c r="B421" s="19"/>
      <c r="C421" s="19"/>
      <c r="D421" s="19"/>
      <c r="E421" s="19"/>
      <c r="F421" s="19"/>
      <c r="G421" s="19"/>
      <c r="H421" s="19"/>
      <c r="I421" s="19"/>
      <c r="J421" s="19"/>
      <c r="K421" s="19"/>
      <c r="L421" s="19"/>
    </row>
    <row r="422">
      <c r="A422" s="19"/>
      <c r="B422" s="19"/>
      <c r="C422" s="19"/>
      <c r="D422" s="19"/>
      <c r="E422" s="19"/>
      <c r="F422" s="19"/>
      <c r="G422" s="19"/>
      <c r="H422" s="19"/>
      <c r="I422" s="19"/>
      <c r="J422" s="19"/>
      <c r="K422" s="19"/>
      <c r="L422" s="19"/>
    </row>
    <row r="423">
      <c r="A423" s="19"/>
      <c r="B423" s="19"/>
      <c r="C423" s="19"/>
      <c r="D423" s="19"/>
      <c r="E423" s="19"/>
      <c r="F423" s="19"/>
      <c r="G423" s="19"/>
      <c r="H423" s="19"/>
      <c r="I423" s="19"/>
      <c r="J423" s="19"/>
      <c r="K423" s="19"/>
      <c r="L423" s="19"/>
    </row>
    <row r="424">
      <c r="A424" s="19"/>
      <c r="B424" s="19"/>
      <c r="C424" s="19"/>
      <c r="D424" s="19"/>
      <c r="E424" s="19"/>
      <c r="F424" s="19"/>
      <c r="G424" s="19"/>
      <c r="H424" s="19"/>
      <c r="I424" s="19"/>
      <c r="J424" s="19"/>
      <c r="K424" s="19"/>
      <c r="L424" s="19"/>
    </row>
    <row r="425">
      <c r="A425" s="19"/>
      <c r="B425" s="19"/>
      <c r="C425" s="19"/>
      <c r="D425" s="19"/>
      <c r="E425" s="19"/>
      <c r="F425" s="19"/>
      <c r="G425" s="19"/>
      <c r="H425" s="19"/>
      <c r="I425" s="19"/>
      <c r="J425" s="19"/>
      <c r="K425" s="19"/>
      <c r="L425" s="19"/>
    </row>
    <row r="426">
      <c r="A426" s="19"/>
      <c r="B426" s="19"/>
      <c r="C426" s="19"/>
      <c r="D426" s="19"/>
      <c r="E426" s="19"/>
      <c r="F426" s="19"/>
      <c r="G426" s="19"/>
      <c r="H426" s="19"/>
      <c r="I426" s="19"/>
      <c r="J426" s="19"/>
      <c r="K426" s="19"/>
      <c r="L426" s="19"/>
    </row>
    <row r="427">
      <c r="A427" s="19"/>
      <c r="B427" s="19"/>
      <c r="C427" s="19"/>
      <c r="D427" s="19"/>
      <c r="E427" s="19"/>
      <c r="F427" s="19"/>
      <c r="G427" s="19"/>
      <c r="H427" s="19"/>
      <c r="I427" s="19"/>
      <c r="J427" s="19"/>
      <c r="K427" s="19"/>
      <c r="L427" s="19"/>
    </row>
    <row r="428">
      <c r="A428" s="19"/>
      <c r="B428" s="19"/>
      <c r="C428" s="19"/>
      <c r="D428" s="19"/>
      <c r="E428" s="19"/>
      <c r="F428" s="19"/>
      <c r="G428" s="19"/>
      <c r="H428" s="19"/>
      <c r="I428" s="19"/>
      <c r="J428" s="19"/>
      <c r="K428" s="19"/>
      <c r="L428" s="19"/>
    </row>
    <row r="429">
      <c r="A429" s="19"/>
      <c r="B429" s="19"/>
      <c r="C429" s="19"/>
      <c r="D429" s="19"/>
      <c r="E429" s="19"/>
      <c r="F429" s="19"/>
      <c r="G429" s="19"/>
      <c r="H429" s="19"/>
      <c r="I429" s="19"/>
      <c r="J429" s="19"/>
      <c r="K429" s="19"/>
      <c r="L429" s="19"/>
    </row>
    <row r="430">
      <c r="A430" s="19"/>
      <c r="B430" s="19"/>
      <c r="C430" s="19"/>
      <c r="D430" s="19"/>
      <c r="E430" s="19"/>
      <c r="F430" s="19"/>
      <c r="G430" s="19"/>
      <c r="H430" s="19"/>
      <c r="I430" s="19"/>
      <c r="J430" s="19"/>
      <c r="K430" s="19"/>
      <c r="L430" s="19"/>
    </row>
    <row r="431">
      <c r="A431" s="19"/>
      <c r="B431" s="19"/>
      <c r="C431" s="19"/>
      <c r="D431" s="19"/>
      <c r="E431" s="19"/>
      <c r="F431" s="19"/>
      <c r="G431" s="19"/>
      <c r="H431" s="19"/>
      <c r="I431" s="19"/>
      <c r="J431" s="19"/>
      <c r="K431" s="19"/>
      <c r="L431" s="19"/>
    </row>
    <row r="432">
      <c r="A432" s="19"/>
      <c r="B432" s="19"/>
      <c r="C432" s="19"/>
      <c r="D432" s="19"/>
      <c r="E432" s="19"/>
      <c r="F432" s="19"/>
      <c r="G432" s="19"/>
      <c r="H432" s="19"/>
      <c r="I432" s="19"/>
      <c r="J432" s="19"/>
      <c r="K432" s="19"/>
      <c r="L432" s="19"/>
    </row>
    <row r="433">
      <c r="A433" s="19"/>
      <c r="B433" s="19"/>
      <c r="C433" s="19"/>
      <c r="D433" s="19"/>
      <c r="E433" s="19"/>
      <c r="F433" s="19"/>
      <c r="G433" s="19"/>
      <c r="H433" s="19"/>
      <c r="I433" s="19"/>
      <c r="J433" s="19"/>
      <c r="K433" s="19"/>
      <c r="L433" s="19"/>
    </row>
    <row r="434">
      <c r="A434" s="19"/>
      <c r="B434" s="19"/>
      <c r="C434" s="19"/>
      <c r="D434" s="19"/>
      <c r="E434" s="19"/>
      <c r="F434" s="19"/>
      <c r="G434" s="19"/>
      <c r="H434" s="19"/>
      <c r="I434" s="19"/>
      <c r="J434" s="19"/>
      <c r="K434" s="19"/>
      <c r="L434" s="19"/>
    </row>
    <row r="435">
      <c r="A435" s="19"/>
      <c r="B435" s="19"/>
      <c r="C435" s="19"/>
      <c r="D435" s="19"/>
      <c r="E435" s="19"/>
      <c r="F435" s="19"/>
      <c r="G435" s="19"/>
      <c r="H435" s="19"/>
      <c r="I435" s="19"/>
      <c r="J435" s="19"/>
      <c r="K435" s="19"/>
      <c r="L435" s="19"/>
    </row>
    <row r="436">
      <c r="A436" s="19"/>
      <c r="B436" s="19"/>
      <c r="C436" s="19"/>
      <c r="D436" s="19"/>
      <c r="E436" s="19"/>
      <c r="F436" s="19"/>
      <c r="G436" s="19"/>
      <c r="H436" s="19"/>
      <c r="I436" s="19"/>
      <c r="J436" s="19"/>
      <c r="K436" s="19"/>
      <c r="L436" s="19"/>
    </row>
    <row r="437">
      <c r="A437" s="19"/>
      <c r="B437" s="19"/>
      <c r="C437" s="19"/>
      <c r="D437" s="19"/>
      <c r="E437" s="19"/>
      <c r="F437" s="19"/>
      <c r="G437" s="19"/>
      <c r="H437" s="19"/>
      <c r="I437" s="19"/>
      <c r="J437" s="19"/>
      <c r="K437" s="19"/>
      <c r="L437" s="19"/>
    </row>
    <row r="438">
      <c r="A438" s="19"/>
      <c r="B438" s="19"/>
      <c r="C438" s="19"/>
      <c r="D438" s="19"/>
      <c r="E438" s="19"/>
      <c r="F438" s="19"/>
      <c r="G438" s="19"/>
      <c r="H438" s="19"/>
      <c r="I438" s="19"/>
      <c r="J438" s="19"/>
      <c r="K438" s="19"/>
      <c r="L438" s="19"/>
    </row>
    <row r="439">
      <c r="A439" s="19"/>
      <c r="B439" s="19"/>
      <c r="C439" s="19"/>
      <c r="D439" s="19"/>
      <c r="E439" s="19"/>
      <c r="F439" s="19"/>
      <c r="G439" s="19"/>
      <c r="H439" s="19"/>
      <c r="I439" s="19"/>
      <c r="J439" s="19"/>
      <c r="K439" s="19"/>
      <c r="L439" s="19"/>
    </row>
    <row r="440">
      <c r="A440" s="19"/>
      <c r="B440" s="19"/>
      <c r="C440" s="19"/>
      <c r="D440" s="19"/>
      <c r="E440" s="19"/>
      <c r="F440" s="19"/>
      <c r="G440" s="19"/>
      <c r="H440" s="19"/>
      <c r="I440" s="19"/>
      <c r="J440" s="19"/>
      <c r="K440" s="19"/>
      <c r="L440" s="19"/>
    </row>
    <row r="441">
      <c r="A441" s="19"/>
      <c r="B441" s="19"/>
      <c r="C441" s="19"/>
      <c r="D441" s="19"/>
      <c r="E441" s="19"/>
      <c r="F441" s="19"/>
      <c r="G441" s="19"/>
      <c r="H441" s="19"/>
      <c r="I441" s="19"/>
      <c r="J441" s="19"/>
      <c r="K441" s="19"/>
      <c r="L441" s="19"/>
    </row>
    <row r="442">
      <c r="A442" s="19"/>
      <c r="B442" s="19"/>
      <c r="C442" s="19"/>
      <c r="D442" s="19"/>
      <c r="E442" s="19"/>
      <c r="F442" s="19"/>
      <c r="G442" s="19"/>
      <c r="H442" s="19"/>
      <c r="I442" s="19"/>
      <c r="J442" s="19"/>
      <c r="K442" s="19"/>
      <c r="L442" s="19"/>
    </row>
    <row r="443">
      <c r="A443" s="19"/>
      <c r="B443" s="19"/>
      <c r="C443" s="19"/>
      <c r="D443" s="19"/>
      <c r="E443" s="19"/>
      <c r="F443" s="19"/>
      <c r="G443" s="19"/>
      <c r="H443" s="19"/>
      <c r="I443" s="19"/>
      <c r="J443" s="19"/>
      <c r="K443" s="19"/>
      <c r="L443" s="19"/>
    </row>
    <row r="444">
      <c r="A444" s="19"/>
      <c r="B444" s="19"/>
      <c r="C444" s="19"/>
      <c r="D444" s="19"/>
      <c r="E444" s="19"/>
      <c r="F444" s="19"/>
      <c r="G444" s="19"/>
      <c r="H444" s="19"/>
      <c r="I444" s="19"/>
      <c r="J444" s="19"/>
      <c r="K444" s="19"/>
      <c r="L444" s="19"/>
    </row>
    <row r="445">
      <c r="A445" s="19"/>
      <c r="B445" s="19"/>
      <c r="C445" s="19"/>
      <c r="D445" s="19"/>
      <c r="E445" s="19"/>
      <c r="F445" s="19"/>
      <c r="G445" s="19"/>
      <c r="H445" s="19"/>
      <c r="I445" s="19"/>
      <c r="J445" s="19"/>
      <c r="K445" s="19"/>
      <c r="L445" s="19"/>
    </row>
    <row r="446">
      <c r="A446" s="19"/>
      <c r="B446" s="19"/>
      <c r="C446" s="19"/>
      <c r="D446" s="19"/>
      <c r="E446" s="19"/>
      <c r="F446" s="19"/>
      <c r="G446" s="19"/>
      <c r="H446" s="19"/>
      <c r="I446" s="19"/>
      <c r="J446" s="19"/>
      <c r="K446" s="19"/>
      <c r="L446" s="19"/>
    </row>
    <row r="447">
      <c r="A447" s="19"/>
      <c r="B447" s="19"/>
      <c r="C447" s="19"/>
      <c r="D447" s="19"/>
      <c r="E447" s="19"/>
      <c r="F447" s="19"/>
      <c r="G447" s="19"/>
      <c r="H447" s="19"/>
      <c r="I447" s="19"/>
      <c r="J447" s="19"/>
      <c r="K447" s="19"/>
      <c r="L447" s="19"/>
    </row>
    <row r="448">
      <c r="A448" s="19"/>
      <c r="B448" s="19"/>
      <c r="C448" s="19"/>
      <c r="D448" s="19"/>
      <c r="E448" s="19"/>
      <c r="F448" s="19"/>
      <c r="G448" s="19"/>
      <c r="H448" s="19"/>
      <c r="I448" s="19"/>
      <c r="J448" s="19"/>
      <c r="K448" s="19"/>
      <c r="L448" s="19"/>
    </row>
    <row r="449">
      <c r="A449" s="19"/>
      <c r="B449" s="19"/>
      <c r="C449" s="19"/>
      <c r="D449" s="19"/>
      <c r="E449" s="19"/>
      <c r="F449" s="19"/>
      <c r="G449" s="19"/>
      <c r="H449" s="19"/>
      <c r="I449" s="19"/>
      <c r="J449" s="19"/>
      <c r="K449" s="19"/>
      <c r="L449" s="19"/>
    </row>
    <row r="450">
      <c r="A450" s="19"/>
      <c r="B450" s="19"/>
      <c r="C450" s="19"/>
      <c r="D450" s="19"/>
      <c r="E450" s="19"/>
      <c r="F450" s="19"/>
      <c r="G450" s="19"/>
      <c r="H450" s="19"/>
      <c r="I450" s="19"/>
      <c r="J450" s="19"/>
      <c r="K450" s="19"/>
      <c r="L450" s="19"/>
    </row>
    <row r="451">
      <c r="A451" s="19"/>
      <c r="B451" s="19"/>
      <c r="C451" s="19"/>
      <c r="D451" s="19"/>
      <c r="E451" s="19"/>
      <c r="F451" s="19"/>
      <c r="G451" s="19"/>
      <c r="H451" s="19"/>
      <c r="I451" s="19"/>
      <c r="J451" s="19"/>
      <c r="K451" s="19"/>
      <c r="L451" s="19"/>
    </row>
    <row r="452">
      <c r="A452" s="19"/>
      <c r="B452" s="19"/>
      <c r="C452" s="19"/>
      <c r="D452" s="19"/>
      <c r="E452" s="19"/>
      <c r="F452" s="19"/>
      <c r="G452" s="19"/>
      <c r="H452" s="19"/>
      <c r="I452" s="19"/>
      <c r="J452" s="19"/>
      <c r="K452" s="19"/>
      <c r="L452" s="19"/>
    </row>
    <row r="453">
      <c r="A453" s="19"/>
      <c r="B453" s="19"/>
      <c r="C453" s="19"/>
      <c r="D453" s="19"/>
      <c r="E453" s="19"/>
      <c r="F453" s="19"/>
      <c r="G453" s="19"/>
      <c r="H453" s="19"/>
      <c r="I453" s="19"/>
      <c r="J453" s="19"/>
      <c r="K453" s="19"/>
      <c r="L453" s="19"/>
    </row>
    <row r="454">
      <c r="A454" s="19"/>
      <c r="B454" s="19"/>
      <c r="C454" s="19"/>
      <c r="D454" s="19"/>
      <c r="E454" s="19"/>
      <c r="F454" s="19"/>
      <c r="G454" s="19"/>
      <c r="H454" s="19"/>
      <c r="I454" s="19"/>
      <c r="J454" s="19"/>
      <c r="K454" s="19"/>
      <c r="L454" s="19"/>
    </row>
    <row r="455">
      <c r="A455" s="19"/>
      <c r="B455" s="19"/>
      <c r="C455" s="19"/>
      <c r="D455" s="19"/>
      <c r="E455" s="19"/>
      <c r="F455" s="19"/>
      <c r="G455" s="19"/>
      <c r="H455" s="19"/>
      <c r="I455" s="19"/>
      <c r="J455" s="19"/>
      <c r="K455" s="19"/>
      <c r="L455" s="19"/>
    </row>
    <row r="456">
      <c r="A456" s="19"/>
      <c r="B456" s="19"/>
      <c r="C456" s="19"/>
      <c r="D456" s="19"/>
      <c r="E456" s="19"/>
      <c r="F456" s="19"/>
      <c r="G456" s="19"/>
      <c r="H456" s="19"/>
      <c r="I456" s="19"/>
      <c r="J456" s="19"/>
      <c r="K456" s="19"/>
      <c r="L456" s="19"/>
    </row>
    <row r="457">
      <c r="A457" s="19"/>
      <c r="B457" s="19"/>
      <c r="C457" s="19"/>
      <c r="D457" s="19"/>
      <c r="E457" s="19"/>
      <c r="F457" s="19"/>
      <c r="G457" s="19"/>
      <c r="H457" s="19"/>
      <c r="I457" s="19"/>
      <c r="J457" s="19"/>
      <c r="K457" s="19"/>
      <c r="L457" s="19"/>
    </row>
    <row r="458">
      <c r="A458" s="19"/>
      <c r="B458" s="19"/>
      <c r="C458" s="19"/>
      <c r="D458" s="19"/>
      <c r="E458" s="19"/>
      <c r="F458" s="19"/>
      <c r="G458" s="19"/>
      <c r="H458" s="19"/>
      <c r="I458" s="19"/>
      <c r="J458" s="19"/>
      <c r="K458" s="19"/>
      <c r="L458" s="19"/>
    </row>
    <row r="459">
      <c r="A459" s="19"/>
      <c r="B459" s="19"/>
      <c r="C459" s="19"/>
      <c r="D459" s="19"/>
      <c r="E459" s="19"/>
      <c r="F459" s="19"/>
      <c r="G459" s="19"/>
      <c r="H459" s="19"/>
      <c r="I459" s="19"/>
      <c r="J459" s="19"/>
      <c r="K459" s="19"/>
      <c r="L459" s="19"/>
    </row>
    <row r="460">
      <c r="A460" s="19"/>
      <c r="B460" s="19"/>
      <c r="C460" s="19"/>
      <c r="D460" s="19"/>
      <c r="E460" s="19"/>
      <c r="F460" s="19"/>
      <c r="G460" s="19"/>
      <c r="H460" s="19"/>
      <c r="I460" s="19"/>
      <c r="J460" s="19"/>
      <c r="K460" s="19"/>
      <c r="L460" s="19"/>
    </row>
    <row r="461">
      <c r="A461" s="19"/>
      <c r="B461" s="19"/>
      <c r="C461" s="19"/>
      <c r="D461" s="19"/>
      <c r="E461" s="19"/>
      <c r="F461" s="19"/>
      <c r="G461" s="19"/>
      <c r="H461" s="19"/>
      <c r="I461" s="19"/>
      <c r="J461" s="19"/>
      <c r="K461" s="19"/>
      <c r="L461" s="19"/>
    </row>
    <row r="462">
      <c r="A462" s="19"/>
      <c r="B462" s="19"/>
      <c r="C462" s="19"/>
      <c r="D462" s="19"/>
      <c r="E462" s="19"/>
      <c r="F462" s="19"/>
      <c r="G462" s="19"/>
      <c r="H462" s="19"/>
      <c r="I462" s="19"/>
      <c r="J462" s="19"/>
      <c r="K462" s="19"/>
      <c r="L462" s="19"/>
    </row>
    <row r="463">
      <c r="A463" s="19"/>
      <c r="B463" s="19"/>
      <c r="C463" s="19"/>
      <c r="D463" s="19"/>
      <c r="E463" s="19"/>
      <c r="F463" s="19"/>
      <c r="G463" s="19"/>
      <c r="H463" s="19"/>
      <c r="I463" s="19"/>
      <c r="J463" s="19"/>
      <c r="K463" s="19"/>
      <c r="L463" s="19"/>
    </row>
    <row r="464">
      <c r="A464" s="19"/>
      <c r="B464" s="19"/>
      <c r="C464" s="19"/>
      <c r="D464" s="19"/>
      <c r="E464" s="19"/>
      <c r="F464" s="19"/>
      <c r="G464" s="19"/>
      <c r="H464" s="19"/>
      <c r="I464" s="19"/>
      <c r="J464" s="19"/>
      <c r="K464" s="19"/>
      <c r="L464" s="19"/>
    </row>
    <row r="465">
      <c r="A465" s="19"/>
      <c r="B465" s="19"/>
      <c r="C465" s="19"/>
      <c r="D465" s="19"/>
      <c r="E465" s="19"/>
      <c r="F465" s="19"/>
      <c r="G465" s="19"/>
      <c r="H465" s="19"/>
      <c r="I465" s="19"/>
      <c r="J465" s="19"/>
      <c r="K465" s="19"/>
      <c r="L465" s="19"/>
    </row>
    <row r="466">
      <c r="A466" s="19"/>
      <c r="B466" s="19"/>
      <c r="C466" s="19"/>
      <c r="D466" s="19"/>
      <c r="E466" s="19"/>
      <c r="F466" s="19"/>
      <c r="G466" s="19"/>
      <c r="H466" s="19"/>
      <c r="I466" s="19"/>
      <c r="J466" s="19"/>
      <c r="K466" s="19"/>
      <c r="L466" s="19"/>
    </row>
    <row r="467">
      <c r="A467" s="19"/>
      <c r="B467" s="19"/>
      <c r="C467" s="19"/>
      <c r="D467" s="19"/>
      <c r="E467" s="19"/>
      <c r="F467" s="19"/>
      <c r="G467" s="19"/>
      <c r="H467" s="19"/>
      <c r="I467" s="19"/>
      <c r="J467" s="19"/>
      <c r="K467" s="19"/>
      <c r="L467" s="19"/>
    </row>
    <row r="468">
      <c r="A468" s="19"/>
      <c r="B468" s="19"/>
      <c r="C468" s="19"/>
      <c r="D468" s="19"/>
      <c r="E468" s="19"/>
      <c r="F468" s="19"/>
      <c r="G468" s="19"/>
      <c r="H468" s="19"/>
      <c r="I468" s="19"/>
      <c r="J468" s="19"/>
      <c r="K468" s="19"/>
      <c r="L468" s="19"/>
    </row>
    <row r="469">
      <c r="A469" s="19"/>
      <c r="B469" s="19"/>
      <c r="C469" s="19"/>
      <c r="D469" s="19"/>
      <c r="E469" s="19"/>
      <c r="F469" s="19"/>
      <c r="G469" s="19"/>
      <c r="H469" s="19"/>
      <c r="I469" s="19"/>
      <c r="J469" s="19"/>
      <c r="K469" s="19"/>
      <c r="L469" s="19"/>
    </row>
    <row r="470">
      <c r="A470" s="19"/>
      <c r="B470" s="19"/>
      <c r="C470" s="19"/>
      <c r="D470" s="19"/>
      <c r="E470" s="19"/>
      <c r="F470" s="19"/>
      <c r="G470" s="19"/>
      <c r="H470" s="19"/>
      <c r="I470" s="19"/>
      <c r="J470" s="19"/>
      <c r="K470" s="19"/>
      <c r="L470" s="19"/>
    </row>
    <row r="471">
      <c r="A471" s="19"/>
      <c r="B471" s="19"/>
      <c r="C471" s="19"/>
      <c r="D471" s="19"/>
      <c r="E471" s="19"/>
      <c r="F471" s="19"/>
      <c r="G471" s="19"/>
      <c r="H471" s="19"/>
      <c r="I471" s="19"/>
      <c r="J471" s="19"/>
      <c r="K471" s="19"/>
      <c r="L471" s="19"/>
    </row>
    <row r="472">
      <c r="A472" s="19"/>
      <c r="B472" s="19"/>
      <c r="C472" s="19"/>
      <c r="D472" s="19"/>
      <c r="E472" s="19"/>
      <c r="F472" s="19"/>
      <c r="G472" s="19"/>
      <c r="H472" s="19"/>
      <c r="I472" s="19"/>
      <c r="J472" s="19"/>
      <c r="K472" s="19"/>
      <c r="L472" s="19"/>
    </row>
    <row r="473">
      <c r="A473" s="19"/>
      <c r="B473" s="19"/>
      <c r="C473" s="19"/>
      <c r="D473" s="19"/>
      <c r="E473" s="19"/>
      <c r="F473" s="19"/>
      <c r="G473" s="19"/>
      <c r="H473" s="19"/>
      <c r="I473" s="19"/>
      <c r="J473" s="19"/>
      <c r="K473" s="19"/>
      <c r="L473" s="19"/>
    </row>
    <row r="474">
      <c r="A474" s="19"/>
      <c r="B474" s="19"/>
      <c r="C474" s="19"/>
      <c r="D474" s="19"/>
      <c r="E474" s="19"/>
      <c r="F474" s="19"/>
      <c r="G474" s="19"/>
      <c r="H474" s="19"/>
      <c r="I474" s="19"/>
      <c r="J474" s="19"/>
      <c r="K474" s="19"/>
      <c r="L474" s="19"/>
    </row>
    <row r="475">
      <c r="A475" s="19"/>
      <c r="B475" s="19"/>
      <c r="C475" s="19"/>
      <c r="D475" s="19"/>
      <c r="E475" s="19"/>
      <c r="F475" s="19"/>
      <c r="G475" s="19"/>
      <c r="H475" s="19"/>
      <c r="I475" s="19"/>
      <c r="J475" s="19"/>
      <c r="K475" s="19"/>
      <c r="L475" s="19"/>
    </row>
    <row r="476">
      <c r="A476" s="19"/>
      <c r="B476" s="19"/>
      <c r="C476" s="19"/>
      <c r="D476" s="19"/>
      <c r="E476" s="19"/>
      <c r="F476" s="19"/>
      <c r="G476" s="19"/>
      <c r="H476" s="19"/>
      <c r="I476" s="19"/>
      <c r="J476" s="19"/>
      <c r="K476" s="19"/>
      <c r="L476" s="19"/>
    </row>
    <row r="477">
      <c r="A477" s="19"/>
      <c r="B477" s="19"/>
      <c r="C477" s="19"/>
      <c r="D477" s="19"/>
      <c r="E477" s="19"/>
      <c r="F477" s="19"/>
      <c r="G477" s="19"/>
      <c r="H477" s="19"/>
      <c r="I477" s="19"/>
      <c r="J477" s="19"/>
      <c r="K477" s="19"/>
      <c r="L477" s="19"/>
    </row>
    <row r="478">
      <c r="A478" s="19"/>
      <c r="B478" s="19"/>
      <c r="C478" s="19"/>
      <c r="D478" s="19"/>
      <c r="E478" s="19"/>
      <c r="F478" s="19"/>
      <c r="G478" s="19"/>
      <c r="H478" s="19"/>
      <c r="I478" s="19"/>
      <c r="J478" s="19"/>
      <c r="K478" s="19"/>
      <c r="L478" s="19"/>
    </row>
    <row r="479">
      <c r="A479" s="19"/>
      <c r="B479" s="19"/>
      <c r="C479" s="19"/>
      <c r="D479" s="19"/>
      <c r="E479" s="19"/>
      <c r="F479" s="19"/>
      <c r="G479" s="19"/>
      <c r="H479" s="19"/>
      <c r="I479" s="19"/>
      <c r="J479" s="19"/>
      <c r="K479" s="19"/>
      <c r="L479" s="19"/>
    </row>
    <row r="480">
      <c r="A480" s="19"/>
      <c r="B480" s="19"/>
      <c r="C480" s="19"/>
      <c r="D480" s="19"/>
      <c r="E480" s="19"/>
      <c r="F480" s="19"/>
      <c r="G480" s="19"/>
      <c r="H480" s="19"/>
      <c r="I480" s="19"/>
      <c r="J480" s="19"/>
      <c r="K480" s="19"/>
      <c r="L480" s="19"/>
    </row>
    <row r="481">
      <c r="A481" s="19"/>
      <c r="B481" s="19"/>
      <c r="C481" s="19"/>
      <c r="D481" s="19"/>
      <c r="E481" s="19"/>
      <c r="F481" s="19"/>
      <c r="G481" s="19"/>
      <c r="H481" s="19"/>
      <c r="I481" s="19"/>
      <c r="J481" s="19"/>
      <c r="K481" s="19"/>
      <c r="L481" s="19"/>
    </row>
    <row r="482">
      <c r="A482" s="19"/>
      <c r="B482" s="19"/>
      <c r="C482" s="19"/>
      <c r="D482" s="19"/>
      <c r="E482" s="19"/>
      <c r="F482" s="19"/>
      <c r="G482" s="19"/>
      <c r="H482" s="19"/>
      <c r="I482" s="19"/>
      <c r="J482" s="19"/>
      <c r="K482" s="19"/>
      <c r="L482" s="19"/>
    </row>
    <row r="483">
      <c r="A483" s="19"/>
      <c r="B483" s="19"/>
      <c r="C483" s="19"/>
      <c r="D483" s="19"/>
      <c r="E483" s="19"/>
      <c r="F483" s="19"/>
      <c r="G483" s="19"/>
      <c r="H483" s="19"/>
      <c r="I483" s="19"/>
      <c r="J483" s="19"/>
      <c r="K483" s="19"/>
      <c r="L483" s="19"/>
    </row>
    <row r="484">
      <c r="A484" s="19"/>
      <c r="B484" s="19"/>
      <c r="C484" s="19"/>
      <c r="D484" s="19"/>
      <c r="E484" s="19"/>
      <c r="F484" s="19"/>
      <c r="G484" s="19"/>
      <c r="H484" s="19"/>
      <c r="I484" s="19"/>
      <c r="J484" s="19"/>
      <c r="K484" s="19"/>
      <c r="L484" s="19"/>
    </row>
    <row r="485">
      <c r="A485" s="19"/>
      <c r="B485" s="19"/>
      <c r="C485" s="19"/>
      <c r="D485" s="19"/>
      <c r="E485" s="19"/>
      <c r="F485" s="19"/>
      <c r="G485" s="19"/>
      <c r="H485" s="19"/>
      <c r="I485" s="19"/>
      <c r="J485" s="19"/>
      <c r="K485" s="19"/>
      <c r="L485" s="19"/>
    </row>
    <row r="486">
      <c r="A486" s="19"/>
      <c r="B486" s="19"/>
      <c r="C486" s="19"/>
      <c r="D486" s="19"/>
      <c r="E486" s="19"/>
      <c r="F486" s="19"/>
      <c r="G486" s="19"/>
      <c r="H486" s="19"/>
      <c r="I486" s="19"/>
      <c r="J486" s="19"/>
      <c r="K486" s="19"/>
      <c r="L486" s="19"/>
    </row>
    <row r="487">
      <c r="A487" s="19"/>
      <c r="B487" s="19"/>
      <c r="C487" s="19"/>
      <c r="D487" s="19"/>
      <c r="E487" s="19"/>
      <c r="F487" s="19"/>
      <c r="G487" s="19"/>
      <c r="H487" s="19"/>
      <c r="I487" s="19"/>
      <c r="J487" s="19"/>
      <c r="K487" s="19"/>
      <c r="L487" s="19"/>
    </row>
    <row r="488">
      <c r="A488" s="19"/>
      <c r="B488" s="19"/>
      <c r="C488" s="19"/>
      <c r="D488" s="19"/>
      <c r="E488" s="19"/>
      <c r="F488" s="19"/>
      <c r="G488" s="19"/>
      <c r="H488" s="19"/>
      <c r="I488" s="19"/>
      <c r="J488" s="19"/>
      <c r="K488" s="19"/>
      <c r="L488" s="19"/>
    </row>
    <row r="489">
      <c r="A489" s="19"/>
      <c r="B489" s="19"/>
      <c r="C489" s="19"/>
      <c r="D489" s="19"/>
      <c r="E489" s="19"/>
      <c r="F489" s="19"/>
      <c r="G489" s="19"/>
      <c r="H489" s="19"/>
      <c r="I489" s="19"/>
      <c r="J489" s="19"/>
      <c r="K489" s="19"/>
      <c r="L489" s="19"/>
    </row>
    <row r="490">
      <c r="A490" s="19"/>
      <c r="B490" s="19"/>
      <c r="C490" s="19"/>
      <c r="D490" s="19"/>
      <c r="E490" s="19"/>
      <c r="F490" s="19"/>
      <c r="G490" s="19"/>
      <c r="H490" s="19"/>
      <c r="I490" s="19"/>
      <c r="J490" s="19"/>
      <c r="K490" s="19"/>
      <c r="L490" s="19"/>
    </row>
    <row r="491">
      <c r="A491" s="19"/>
      <c r="B491" s="19"/>
      <c r="C491" s="19"/>
      <c r="D491" s="19"/>
      <c r="E491" s="19"/>
      <c r="F491" s="19"/>
      <c r="G491" s="19"/>
      <c r="H491" s="19"/>
      <c r="I491" s="19"/>
      <c r="J491" s="19"/>
      <c r="K491" s="19"/>
      <c r="L491" s="19"/>
    </row>
    <row r="492">
      <c r="A492" s="19"/>
      <c r="B492" s="19"/>
      <c r="C492" s="19"/>
      <c r="D492" s="19"/>
      <c r="E492" s="19"/>
      <c r="F492" s="19"/>
      <c r="G492" s="19"/>
      <c r="H492" s="19"/>
      <c r="I492" s="19"/>
      <c r="J492" s="19"/>
      <c r="K492" s="19"/>
      <c r="L492" s="19"/>
    </row>
    <row r="493">
      <c r="A493" s="19"/>
      <c r="B493" s="19"/>
      <c r="C493" s="19"/>
      <c r="D493" s="19"/>
      <c r="E493" s="19"/>
      <c r="F493" s="19"/>
      <c r="G493" s="19"/>
      <c r="H493" s="19"/>
      <c r="I493" s="19"/>
      <c r="J493" s="19"/>
      <c r="K493" s="19"/>
      <c r="L493" s="19"/>
    </row>
    <row r="494">
      <c r="A494" s="19"/>
      <c r="B494" s="19"/>
      <c r="C494" s="19"/>
      <c r="D494" s="19"/>
      <c r="E494" s="19"/>
      <c r="F494" s="19"/>
      <c r="G494" s="19"/>
      <c r="H494" s="19"/>
      <c r="I494" s="19"/>
      <c r="J494" s="19"/>
      <c r="K494" s="19"/>
      <c r="L494" s="19"/>
    </row>
    <row r="495">
      <c r="A495" s="19"/>
      <c r="B495" s="19"/>
      <c r="C495" s="19"/>
      <c r="D495" s="19"/>
      <c r="E495" s="19"/>
      <c r="F495" s="19"/>
      <c r="G495" s="19"/>
      <c r="H495" s="19"/>
      <c r="I495" s="19"/>
      <c r="J495" s="19"/>
      <c r="K495" s="19"/>
      <c r="L495" s="19"/>
    </row>
    <row r="496">
      <c r="A496" s="19"/>
      <c r="B496" s="19"/>
      <c r="C496" s="19"/>
      <c r="D496" s="19"/>
      <c r="E496" s="19"/>
      <c r="F496" s="19"/>
      <c r="G496" s="19"/>
      <c r="H496" s="19"/>
      <c r="I496" s="19"/>
      <c r="J496" s="19"/>
      <c r="K496" s="19"/>
      <c r="L496" s="19"/>
    </row>
    <row r="497">
      <c r="A497" s="19"/>
      <c r="B497" s="19"/>
      <c r="C497" s="19"/>
      <c r="D497" s="19"/>
      <c r="E497" s="19"/>
      <c r="F497" s="19"/>
      <c r="G497" s="19"/>
      <c r="H497" s="19"/>
      <c r="I497" s="19"/>
      <c r="J497" s="19"/>
      <c r="K497" s="19"/>
      <c r="L497" s="19"/>
    </row>
    <row r="498">
      <c r="A498" s="19"/>
      <c r="B498" s="19"/>
      <c r="C498" s="19"/>
      <c r="D498" s="19"/>
      <c r="E498" s="19"/>
      <c r="F498" s="19"/>
      <c r="G498" s="19"/>
      <c r="H498" s="19"/>
      <c r="I498" s="19"/>
      <c r="J498" s="19"/>
      <c r="K498" s="19"/>
      <c r="L498" s="19"/>
    </row>
    <row r="499">
      <c r="A499" s="19"/>
      <c r="B499" s="19"/>
      <c r="C499" s="19"/>
      <c r="D499" s="19"/>
      <c r="E499" s="19"/>
      <c r="F499" s="19"/>
      <c r="G499" s="19"/>
      <c r="H499" s="19"/>
      <c r="I499" s="19"/>
      <c r="J499" s="19"/>
      <c r="K499" s="19"/>
      <c r="L499" s="19"/>
    </row>
    <row r="500">
      <c r="A500" s="19"/>
      <c r="B500" s="19"/>
      <c r="C500" s="19"/>
      <c r="D500" s="19"/>
      <c r="E500" s="19"/>
      <c r="F500" s="19"/>
      <c r="G500" s="19"/>
      <c r="H500" s="19"/>
      <c r="I500" s="19"/>
      <c r="J500" s="19"/>
      <c r="K500" s="19"/>
      <c r="L500" s="19"/>
    </row>
    <row r="501">
      <c r="A501" s="19"/>
      <c r="B501" s="19"/>
      <c r="C501" s="19"/>
      <c r="D501" s="19"/>
      <c r="E501" s="19"/>
      <c r="F501" s="19"/>
      <c r="G501" s="19"/>
      <c r="H501" s="19"/>
      <c r="I501" s="19"/>
      <c r="J501" s="19"/>
      <c r="K501" s="19"/>
      <c r="L501" s="19"/>
    </row>
    <row r="502">
      <c r="A502" s="19"/>
      <c r="B502" s="19"/>
      <c r="C502" s="19"/>
      <c r="D502" s="19"/>
      <c r="E502" s="19"/>
      <c r="F502" s="19"/>
      <c r="G502" s="19"/>
      <c r="H502" s="19"/>
      <c r="I502" s="19"/>
      <c r="J502" s="19"/>
      <c r="K502" s="19"/>
      <c r="L502" s="19"/>
    </row>
    <row r="503">
      <c r="A503" s="19"/>
      <c r="B503" s="19"/>
      <c r="C503" s="19"/>
      <c r="D503" s="19"/>
      <c r="E503" s="19"/>
      <c r="F503" s="19"/>
      <c r="G503" s="19"/>
      <c r="H503" s="19"/>
      <c r="I503" s="19"/>
      <c r="J503" s="19"/>
      <c r="K503" s="19"/>
      <c r="L503" s="19"/>
    </row>
    <row r="504">
      <c r="A504" s="19"/>
      <c r="B504" s="19"/>
      <c r="C504" s="19"/>
      <c r="D504" s="19"/>
      <c r="E504" s="19"/>
      <c r="F504" s="19"/>
      <c r="G504" s="19"/>
      <c r="H504" s="19"/>
      <c r="I504" s="19"/>
      <c r="J504" s="19"/>
      <c r="K504" s="19"/>
      <c r="L504" s="19"/>
    </row>
    <row r="505">
      <c r="A505" s="19"/>
      <c r="B505" s="19"/>
      <c r="C505" s="19"/>
      <c r="D505" s="19"/>
      <c r="E505" s="19"/>
      <c r="F505" s="19"/>
      <c r="G505" s="19"/>
      <c r="H505" s="19"/>
      <c r="I505" s="19"/>
      <c r="J505" s="19"/>
      <c r="K505" s="19"/>
      <c r="L505" s="19"/>
    </row>
    <row r="506">
      <c r="A506" s="19"/>
      <c r="B506" s="19"/>
      <c r="C506" s="19"/>
      <c r="D506" s="19"/>
      <c r="E506" s="19"/>
      <c r="F506" s="19"/>
      <c r="G506" s="19"/>
      <c r="H506" s="19"/>
      <c r="I506" s="19"/>
      <c r="J506" s="19"/>
      <c r="K506" s="19"/>
      <c r="L506" s="19"/>
    </row>
    <row r="507">
      <c r="A507" s="19"/>
      <c r="B507" s="19"/>
      <c r="C507" s="19"/>
      <c r="D507" s="19"/>
      <c r="E507" s="19"/>
      <c r="F507" s="19"/>
      <c r="G507" s="19"/>
      <c r="H507" s="19"/>
      <c r="I507" s="19"/>
      <c r="J507" s="19"/>
      <c r="K507" s="19"/>
      <c r="L507" s="19"/>
    </row>
    <row r="508">
      <c r="A508" s="19"/>
      <c r="B508" s="19"/>
      <c r="C508" s="19"/>
      <c r="D508" s="19"/>
      <c r="E508" s="19"/>
      <c r="F508" s="19"/>
      <c r="G508" s="19"/>
      <c r="H508" s="19"/>
      <c r="I508" s="19"/>
      <c r="J508" s="19"/>
      <c r="K508" s="19"/>
      <c r="L508" s="19"/>
    </row>
    <row r="509">
      <c r="A509" s="19"/>
      <c r="B509" s="19"/>
      <c r="C509" s="19"/>
      <c r="D509" s="19"/>
      <c r="E509" s="19"/>
      <c r="F509" s="19"/>
      <c r="G509" s="19"/>
      <c r="H509" s="19"/>
      <c r="I509" s="19"/>
      <c r="J509" s="19"/>
      <c r="K509" s="19"/>
      <c r="L509" s="19"/>
    </row>
    <row r="510">
      <c r="A510" s="19"/>
      <c r="B510" s="19"/>
      <c r="C510" s="19"/>
      <c r="D510" s="19"/>
      <c r="E510" s="19"/>
      <c r="F510" s="19"/>
      <c r="G510" s="19"/>
      <c r="H510" s="19"/>
      <c r="I510" s="19"/>
      <c r="J510" s="19"/>
      <c r="K510" s="19"/>
      <c r="L510" s="19"/>
    </row>
    <row r="511">
      <c r="A511" s="19"/>
      <c r="B511" s="19"/>
      <c r="C511" s="19"/>
      <c r="D511" s="19"/>
      <c r="E511" s="19"/>
      <c r="F511" s="19"/>
      <c r="G511" s="19"/>
      <c r="H511" s="19"/>
      <c r="I511" s="19"/>
      <c r="J511" s="19"/>
      <c r="K511" s="19"/>
      <c r="L511" s="19"/>
    </row>
    <row r="512">
      <c r="A512" s="19"/>
      <c r="B512" s="19"/>
      <c r="C512" s="19"/>
      <c r="D512" s="19"/>
      <c r="E512" s="19"/>
      <c r="F512" s="19"/>
      <c r="G512" s="19"/>
      <c r="H512" s="19"/>
      <c r="I512" s="19"/>
      <c r="J512" s="19"/>
      <c r="K512" s="19"/>
      <c r="L512" s="19"/>
    </row>
    <row r="513">
      <c r="A513" s="19"/>
      <c r="B513" s="19"/>
      <c r="C513" s="19"/>
      <c r="D513" s="19"/>
      <c r="E513" s="19"/>
      <c r="F513" s="19"/>
      <c r="G513" s="19"/>
      <c r="H513" s="19"/>
      <c r="I513" s="19"/>
      <c r="J513" s="19"/>
      <c r="K513" s="19"/>
      <c r="L513" s="19"/>
    </row>
    <row r="514">
      <c r="A514" s="19"/>
      <c r="B514" s="19"/>
      <c r="C514" s="19"/>
      <c r="D514" s="19"/>
      <c r="E514" s="19"/>
      <c r="F514" s="19"/>
      <c r="G514" s="19"/>
      <c r="H514" s="19"/>
      <c r="I514" s="19"/>
      <c r="J514" s="19"/>
      <c r="K514" s="19"/>
      <c r="L514" s="19"/>
    </row>
    <row r="515">
      <c r="A515" s="19"/>
      <c r="B515" s="19"/>
      <c r="C515" s="19"/>
      <c r="D515" s="19"/>
      <c r="E515" s="19"/>
      <c r="F515" s="19"/>
      <c r="G515" s="19"/>
      <c r="H515" s="19"/>
      <c r="I515" s="19"/>
      <c r="J515" s="19"/>
      <c r="K515" s="19"/>
      <c r="L515" s="19"/>
    </row>
    <row r="516">
      <c r="A516" s="19"/>
      <c r="B516" s="19"/>
      <c r="C516" s="19"/>
      <c r="D516" s="19"/>
      <c r="E516" s="19"/>
      <c r="F516" s="19"/>
      <c r="G516" s="19"/>
      <c r="H516" s="19"/>
      <c r="I516" s="19"/>
      <c r="J516" s="19"/>
      <c r="K516" s="19"/>
      <c r="L516" s="19"/>
    </row>
    <row r="517">
      <c r="A517" s="19"/>
      <c r="B517" s="19"/>
      <c r="C517" s="19"/>
      <c r="D517" s="19"/>
      <c r="E517" s="19"/>
      <c r="F517" s="19"/>
      <c r="G517" s="19"/>
      <c r="H517" s="19"/>
      <c r="I517" s="19"/>
      <c r="J517" s="19"/>
      <c r="K517" s="19"/>
      <c r="L517" s="19"/>
    </row>
    <row r="518">
      <c r="A518" s="19"/>
      <c r="B518" s="19"/>
      <c r="C518" s="19"/>
      <c r="D518" s="19"/>
      <c r="E518" s="19"/>
      <c r="F518" s="19"/>
      <c r="G518" s="19"/>
      <c r="H518" s="19"/>
      <c r="I518" s="19"/>
      <c r="J518" s="19"/>
      <c r="K518" s="19"/>
      <c r="L518" s="19"/>
    </row>
    <row r="519">
      <c r="A519" s="19"/>
      <c r="B519" s="19"/>
      <c r="C519" s="19"/>
      <c r="D519" s="19"/>
      <c r="E519" s="19"/>
      <c r="F519" s="19"/>
      <c r="G519" s="19"/>
      <c r="H519" s="19"/>
      <c r="I519" s="19"/>
      <c r="J519" s="19"/>
      <c r="K519" s="19"/>
      <c r="L519" s="19"/>
    </row>
    <row r="520">
      <c r="A520" s="19"/>
      <c r="B520" s="19"/>
      <c r="C520" s="19"/>
      <c r="D520" s="19"/>
      <c r="E520" s="19"/>
      <c r="F520" s="19"/>
      <c r="G520" s="19"/>
      <c r="H520" s="19"/>
      <c r="I520" s="19"/>
      <c r="J520" s="19"/>
      <c r="K520" s="19"/>
      <c r="L520" s="19"/>
    </row>
    <row r="521">
      <c r="A521" s="19"/>
      <c r="B521" s="19"/>
      <c r="C521" s="19"/>
      <c r="D521" s="19"/>
      <c r="E521" s="19"/>
      <c r="F521" s="19"/>
      <c r="G521" s="19"/>
      <c r="H521" s="19"/>
      <c r="I521" s="19"/>
      <c r="J521" s="19"/>
      <c r="K521" s="19"/>
      <c r="L521" s="19"/>
    </row>
    <row r="522">
      <c r="A522" s="19"/>
      <c r="B522" s="19"/>
      <c r="C522" s="19"/>
      <c r="D522" s="19"/>
      <c r="E522" s="19"/>
      <c r="F522" s="19"/>
      <c r="G522" s="19"/>
      <c r="H522" s="19"/>
      <c r="I522" s="19"/>
      <c r="J522" s="19"/>
      <c r="K522" s="19"/>
      <c r="L522" s="19"/>
    </row>
    <row r="523">
      <c r="A523" s="19"/>
      <c r="B523" s="19"/>
      <c r="C523" s="19"/>
      <c r="D523" s="19"/>
      <c r="E523" s="19"/>
      <c r="F523" s="19"/>
      <c r="G523" s="19"/>
      <c r="H523" s="19"/>
      <c r="I523" s="19"/>
      <c r="J523" s="19"/>
      <c r="K523" s="19"/>
      <c r="L523" s="19"/>
    </row>
    <row r="524">
      <c r="A524" s="19"/>
      <c r="B524" s="19"/>
      <c r="C524" s="19"/>
      <c r="D524" s="19"/>
      <c r="E524" s="19"/>
      <c r="F524" s="19"/>
      <c r="G524" s="19"/>
      <c r="H524" s="19"/>
      <c r="I524" s="19"/>
      <c r="J524" s="19"/>
      <c r="K524" s="19"/>
      <c r="L524" s="19"/>
    </row>
    <row r="525">
      <c r="A525" s="19"/>
      <c r="B525" s="19"/>
      <c r="C525" s="19"/>
      <c r="D525" s="19"/>
      <c r="E525" s="19"/>
      <c r="F525" s="19"/>
      <c r="G525" s="19"/>
      <c r="H525" s="19"/>
      <c r="I525" s="19"/>
      <c r="J525" s="19"/>
      <c r="K525" s="19"/>
      <c r="L525" s="19"/>
    </row>
    <row r="526">
      <c r="A526" s="19"/>
      <c r="B526" s="19"/>
      <c r="C526" s="19"/>
      <c r="D526" s="19"/>
      <c r="E526" s="19"/>
      <c r="F526" s="19"/>
      <c r="G526" s="19"/>
      <c r="H526" s="19"/>
      <c r="I526" s="19"/>
      <c r="J526" s="19"/>
      <c r="K526" s="19"/>
      <c r="L526" s="19"/>
    </row>
    <row r="527">
      <c r="A527" s="19"/>
      <c r="B527" s="19"/>
      <c r="C527" s="19"/>
      <c r="D527" s="19"/>
      <c r="E527" s="19"/>
      <c r="F527" s="19"/>
      <c r="G527" s="19"/>
      <c r="H527" s="19"/>
      <c r="I527" s="19"/>
      <c r="J527" s="19"/>
      <c r="K527" s="19"/>
      <c r="L527" s="19"/>
    </row>
    <row r="528">
      <c r="A528" s="19"/>
      <c r="B528" s="19"/>
      <c r="C528" s="19"/>
      <c r="D528" s="19"/>
      <c r="E528" s="19"/>
      <c r="F528" s="19"/>
      <c r="G528" s="19"/>
      <c r="H528" s="19"/>
      <c r="I528" s="19"/>
      <c r="J528" s="19"/>
      <c r="K528" s="19"/>
      <c r="L528" s="19"/>
    </row>
    <row r="529">
      <c r="A529" s="19"/>
      <c r="B529" s="19"/>
      <c r="C529" s="19"/>
      <c r="D529" s="19"/>
      <c r="E529" s="19"/>
      <c r="F529" s="19"/>
      <c r="G529" s="19"/>
      <c r="H529" s="19"/>
      <c r="I529" s="19"/>
      <c r="J529" s="19"/>
      <c r="K529" s="19"/>
      <c r="L529" s="19"/>
    </row>
    <row r="530">
      <c r="A530" s="19"/>
      <c r="B530" s="19"/>
      <c r="C530" s="19"/>
      <c r="D530" s="19"/>
      <c r="E530" s="19"/>
      <c r="F530" s="19"/>
      <c r="G530" s="19"/>
      <c r="H530" s="19"/>
      <c r="I530" s="19"/>
      <c r="J530" s="19"/>
      <c r="K530" s="19"/>
      <c r="L530" s="19"/>
    </row>
    <row r="531">
      <c r="A531" s="19"/>
      <c r="B531" s="19"/>
      <c r="C531" s="19"/>
      <c r="D531" s="19"/>
      <c r="E531" s="19"/>
      <c r="F531" s="19"/>
      <c r="G531" s="19"/>
      <c r="H531" s="19"/>
      <c r="I531" s="19"/>
      <c r="J531" s="19"/>
      <c r="K531" s="19"/>
      <c r="L531" s="19"/>
    </row>
    <row r="532">
      <c r="A532" s="19"/>
      <c r="B532" s="19"/>
      <c r="C532" s="19"/>
      <c r="D532" s="19"/>
      <c r="E532" s="19"/>
      <c r="F532" s="19"/>
      <c r="G532" s="19"/>
      <c r="H532" s="19"/>
      <c r="I532" s="19"/>
      <c r="J532" s="19"/>
      <c r="K532" s="19"/>
      <c r="L532" s="19"/>
    </row>
    <row r="533">
      <c r="A533" s="19"/>
      <c r="B533" s="19"/>
      <c r="C533" s="19"/>
      <c r="D533" s="19"/>
      <c r="E533" s="19"/>
      <c r="F533" s="19"/>
      <c r="G533" s="19"/>
      <c r="H533" s="19"/>
      <c r="I533" s="19"/>
      <c r="J533" s="19"/>
      <c r="K533" s="19"/>
      <c r="L533" s="19"/>
    </row>
    <row r="534">
      <c r="A534" s="19"/>
      <c r="B534" s="19"/>
      <c r="C534" s="19"/>
      <c r="D534" s="19"/>
      <c r="E534" s="19"/>
      <c r="F534" s="19"/>
      <c r="G534" s="19"/>
      <c r="H534" s="19"/>
      <c r="I534" s="19"/>
      <c r="J534" s="19"/>
      <c r="K534" s="19"/>
      <c r="L534" s="19"/>
    </row>
    <row r="535">
      <c r="A535" s="19"/>
      <c r="B535" s="19"/>
      <c r="C535" s="19"/>
      <c r="D535" s="19"/>
      <c r="E535" s="19"/>
      <c r="F535" s="19"/>
      <c r="G535" s="19"/>
      <c r="H535" s="19"/>
      <c r="I535" s="19"/>
      <c r="J535" s="19"/>
      <c r="K535" s="19"/>
      <c r="L535" s="19"/>
    </row>
    <row r="536">
      <c r="A536" s="19"/>
      <c r="B536" s="19"/>
      <c r="C536" s="19"/>
      <c r="D536" s="19"/>
      <c r="E536" s="19"/>
      <c r="F536" s="19"/>
      <c r="G536" s="19"/>
      <c r="H536" s="19"/>
      <c r="I536" s="19"/>
      <c r="J536" s="19"/>
      <c r="K536" s="19"/>
      <c r="L536" s="19"/>
    </row>
    <row r="537">
      <c r="A537" s="19"/>
      <c r="B537" s="19"/>
      <c r="C537" s="19"/>
      <c r="D537" s="19"/>
      <c r="E537" s="19"/>
      <c r="F537" s="19"/>
      <c r="G537" s="19"/>
      <c r="H537" s="19"/>
      <c r="I537" s="19"/>
      <c r="J537" s="19"/>
      <c r="K537" s="19"/>
      <c r="L537" s="19"/>
    </row>
    <row r="538">
      <c r="A538" s="19"/>
      <c r="B538" s="19"/>
      <c r="C538" s="19"/>
      <c r="D538" s="19"/>
      <c r="E538" s="19"/>
      <c r="F538" s="19"/>
      <c r="G538" s="19"/>
      <c r="H538" s="19"/>
      <c r="I538" s="19"/>
      <c r="J538" s="19"/>
      <c r="K538" s="19"/>
      <c r="L538" s="19"/>
    </row>
    <row r="539">
      <c r="A539" s="19"/>
      <c r="B539" s="19"/>
      <c r="C539" s="19"/>
      <c r="D539" s="19"/>
      <c r="E539" s="19"/>
      <c r="F539" s="19"/>
      <c r="G539" s="19"/>
      <c r="H539" s="19"/>
      <c r="I539" s="19"/>
      <c r="J539" s="19"/>
      <c r="K539" s="19"/>
      <c r="L539" s="19"/>
    </row>
    <row r="540">
      <c r="A540" s="19"/>
      <c r="B540" s="19"/>
      <c r="C540" s="19"/>
      <c r="D540" s="19"/>
      <c r="E540" s="19"/>
      <c r="F540" s="19"/>
      <c r="G540" s="19"/>
      <c r="H540" s="19"/>
      <c r="I540" s="19"/>
      <c r="J540" s="19"/>
      <c r="K540" s="19"/>
      <c r="L540" s="19"/>
    </row>
    <row r="541">
      <c r="A541" s="19"/>
      <c r="B541" s="19"/>
      <c r="C541" s="19"/>
      <c r="D541" s="19"/>
      <c r="E541" s="19"/>
      <c r="F541" s="19"/>
      <c r="G541" s="19"/>
      <c r="H541" s="19"/>
      <c r="I541" s="19"/>
      <c r="J541" s="19"/>
      <c r="K541" s="19"/>
      <c r="L541" s="19"/>
    </row>
    <row r="542">
      <c r="A542" s="19"/>
      <c r="B542" s="19"/>
      <c r="C542" s="19"/>
      <c r="D542" s="19"/>
      <c r="E542" s="19"/>
      <c r="F542" s="19"/>
      <c r="G542" s="19"/>
      <c r="H542" s="19"/>
      <c r="I542" s="19"/>
      <c r="J542" s="19"/>
      <c r="K542" s="19"/>
      <c r="L542" s="19"/>
    </row>
    <row r="543">
      <c r="A543" s="19"/>
      <c r="B543" s="19"/>
      <c r="C543" s="19"/>
      <c r="D543" s="19"/>
      <c r="E543" s="19"/>
      <c r="F543" s="19"/>
      <c r="G543" s="19"/>
      <c r="H543" s="19"/>
      <c r="I543" s="19"/>
      <c r="J543" s="19"/>
      <c r="K543" s="19"/>
      <c r="L543" s="19"/>
    </row>
    <row r="544">
      <c r="A544" s="19"/>
      <c r="B544" s="19"/>
      <c r="C544" s="19"/>
      <c r="D544" s="19"/>
      <c r="E544" s="19"/>
      <c r="F544" s="19"/>
      <c r="G544" s="19"/>
      <c r="H544" s="19"/>
      <c r="I544" s="19"/>
      <c r="J544" s="19"/>
      <c r="K544" s="19"/>
      <c r="L544" s="19"/>
    </row>
    <row r="545">
      <c r="A545" s="19"/>
      <c r="B545" s="19"/>
      <c r="C545" s="19"/>
      <c r="D545" s="19"/>
      <c r="E545" s="19"/>
      <c r="F545" s="19"/>
      <c r="G545" s="19"/>
      <c r="H545" s="19"/>
      <c r="I545" s="19"/>
      <c r="J545" s="19"/>
      <c r="K545" s="19"/>
      <c r="L545" s="19"/>
    </row>
    <row r="546">
      <c r="A546" s="19"/>
      <c r="B546" s="19"/>
      <c r="C546" s="19"/>
      <c r="D546" s="19"/>
      <c r="E546" s="19"/>
      <c r="F546" s="19"/>
      <c r="G546" s="19"/>
      <c r="H546" s="19"/>
      <c r="I546" s="19"/>
      <c r="J546" s="19"/>
      <c r="K546" s="19"/>
      <c r="L546" s="19"/>
    </row>
    <row r="547">
      <c r="A547" s="19"/>
      <c r="B547" s="19"/>
      <c r="C547" s="19"/>
      <c r="D547" s="19"/>
      <c r="E547" s="19"/>
      <c r="F547" s="19"/>
      <c r="G547" s="19"/>
      <c r="H547" s="19"/>
      <c r="I547" s="19"/>
      <c r="J547" s="19"/>
      <c r="K547" s="19"/>
      <c r="L547" s="19"/>
    </row>
    <row r="548">
      <c r="A548" s="19"/>
      <c r="B548" s="19"/>
      <c r="C548" s="19"/>
      <c r="D548" s="19"/>
      <c r="E548" s="19"/>
      <c r="F548" s="19"/>
      <c r="G548" s="19"/>
      <c r="H548" s="19"/>
      <c r="I548" s="19"/>
      <c r="J548" s="19"/>
      <c r="K548" s="19"/>
      <c r="L548" s="19"/>
    </row>
    <row r="549">
      <c r="A549" s="19"/>
      <c r="B549" s="19"/>
      <c r="C549" s="19"/>
      <c r="D549" s="19"/>
      <c r="E549" s="19"/>
      <c r="F549" s="19"/>
      <c r="G549" s="19"/>
      <c r="H549" s="19"/>
      <c r="I549" s="19"/>
      <c r="J549" s="19"/>
      <c r="K549" s="19"/>
      <c r="L549" s="19"/>
    </row>
    <row r="550">
      <c r="A550" s="19"/>
      <c r="B550" s="19"/>
      <c r="C550" s="19"/>
      <c r="D550" s="19"/>
      <c r="E550" s="19"/>
      <c r="F550" s="19"/>
      <c r="G550" s="19"/>
      <c r="H550" s="19"/>
      <c r="I550" s="19"/>
      <c r="J550" s="19"/>
      <c r="K550" s="19"/>
      <c r="L550" s="19"/>
    </row>
    <row r="551">
      <c r="A551" s="19"/>
      <c r="B551" s="19"/>
      <c r="C551" s="19"/>
      <c r="D551" s="19"/>
      <c r="E551" s="19"/>
      <c r="F551" s="19"/>
      <c r="G551" s="19"/>
      <c r="H551" s="19"/>
      <c r="I551" s="19"/>
      <c r="J551" s="19"/>
      <c r="K551" s="19"/>
      <c r="L551" s="19"/>
    </row>
    <row r="552">
      <c r="A552" s="19"/>
      <c r="B552" s="19"/>
      <c r="C552" s="19"/>
      <c r="D552" s="19"/>
      <c r="E552" s="19"/>
      <c r="F552" s="19"/>
      <c r="G552" s="19"/>
      <c r="H552" s="19"/>
      <c r="I552" s="19"/>
      <c r="J552" s="19"/>
      <c r="K552" s="19"/>
      <c r="L552" s="19"/>
    </row>
    <row r="553">
      <c r="A553" s="19"/>
      <c r="B553" s="19"/>
      <c r="C553" s="19"/>
      <c r="D553" s="19"/>
      <c r="E553" s="19"/>
      <c r="F553" s="19"/>
      <c r="G553" s="19"/>
      <c r="H553" s="19"/>
      <c r="I553" s="19"/>
      <c r="J553" s="19"/>
      <c r="K553" s="19"/>
      <c r="L553" s="19"/>
    </row>
    <row r="554">
      <c r="A554" s="19"/>
      <c r="B554" s="19"/>
      <c r="C554" s="19"/>
      <c r="D554" s="19"/>
      <c r="E554" s="19"/>
      <c r="F554" s="19"/>
      <c r="G554" s="19"/>
      <c r="H554" s="19"/>
      <c r="I554" s="19"/>
      <c r="J554" s="19"/>
      <c r="K554" s="19"/>
      <c r="L554" s="19"/>
    </row>
    <row r="555">
      <c r="A555" s="19"/>
      <c r="B555" s="19"/>
      <c r="C555" s="19"/>
      <c r="D555" s="19"/>
      <c r="E555" s="19"/>
      <c r="F555" s="19"/>
      <c r="G555" s="19"/>
      <c r="H555" s="19"/>
      <c r="I555" s="19"/>
      <c r="J555" s="19"/>
      <c r="K555" s="19"/>
      <c r="L555" s="19"/>
    </row>
    <row r="556">
      <c r="A556" s="19"/>
      <c r="B556" s="19"/>
      <c r="C556" s="19"/>
      <c r="D556" s="19"/>
      <c r="E556" s="19"/>
      <c r="F556" s="19"/>
      <c r="G556" s="19"/>
      <c r="H556" s="19"/>
      <c r="I556" s="19"/>
      <c r="J556" s="19"/>
      <c r="K556" s="19"/>
      <c r="L556" s="19"/>
    </row>
    <row r="557">
      <c r="A557" s="19"/>
      <c r="B557" s="19"/>
      <c r="C557" s="19"/>
      <c r="D557" s="19"/>
      <c r="E557" s="19"/>
      <c r="F557" s="19"/>
      <c r="G557" s="19"/>
      <c r="H557" s="19"/>
      <c r="I557" s="19"/>
      <c r="J557" s="19"/>
      <c r="K557" s="19"/>
      <c r="L557" s="19"/>
    </row>
    <row r="558">
      <c r="A558" s="19"/>
      <c r="B558" s="19"/>
      <c r="C558" s="19"/>
      <c r="D558" s="19"/>
      <c r="E558" s="19"/>
      <c r="F558" s="19"/>
      <c r="G558" s="19"/>
      <c r="H558" s="19"/>
      <c r="I558" s="19"/>
      <c r="J558" s="19"/>
      <c r="K558" s="19"/>
      <c r="L558" s="19"/>
    </row>
    <row r="559">
      <c r="A559" s="19"/>
      <c r="B559" s="19"/>
      <c r="C559" s="19"/>
      <c r="D559" s="19"/>
      <c r="E559" s="19"/>
      <c r="F559" s="19"/>
      <c r="G559" s="19"/>
      <c r="H559" s="19"/>
      <c r="I559" s="19"/>
      <c r="J559" s="19"/>
      <c r="K559" s="19"/>
      <c r="L559" s="19"/>
    </row>
    <row r="560">
      <c r="A560" s="19"/>
      <c r="B560" s="19"/>
      <c r="C560" s="19"/>
      <c r="D560" s="19"/>
      <c r="E560" s="19"/>
      <c r="F560" s="19"/>
      <c r="G560" s="19"/>
      <c r="H560" s="19"/>
      <c r="I560" s="19"/>
      <c r="J560" s="19"/>
      <c r="K560" s="19"/>
      <c r="L560" s="19"/>
    </row>
    <row r="561">
      <c r="A561" s="19"/>
      <c r="B561" s="19"/>
      <c r="C561" s="19"/>
      <c r="D561" s="19"/>
      <c r="E561" s="19"/>
      <c r="F561" s="19"/>
      <c r="G561" s="19"/>
      <c r="H561" s="19"/>
      <c r="I561" s="19"/>
      <c r="J561" s="19"/>
      <c r="K561" s="19"/>
      <c r="L561" s="19"/>
    </row>
    <row r="562">
      <c r="A562" s="19"/>
      <c r="B562" s="19"/>
      <c r="C562" s="19"/>
      <c r="D562" s="19"/>
      <c r="E562" s="19"/>
      <c r="F562" s="19"/>
      <c r="G562" s="19"/>
      <c r="H562" s="19"/>
      <c r="I562" s="19"/>
      <c r="J562" s="19"/>
      <c r="K562" s="19"/>
      <c r="L562" s="19"/>
    </row>
    <row r="563">
      <c r="A563" s="19"/>
      <c r="B563" s="19"/>
      <c r="C563" s="19"/>
      <c r="D563" s="19"/>
      <c r="E563" s="19"/>
      <c r="F563" s="19"/>
      <c r="G563" s="19"/>
      <c r="H563" s="19"/>
      <c r="I563" s="19"/>
      <c r="J563" s="19"/>
      <c r="K563" s="19"/>
      <c r="L563" s="19"/>
    </row>
    <row r="564">
      <c r="A564" s="19"/>
      <c r="B564" s="19"/>
      <c r="C564" s="19"/>
      <c r="D564" s="19"/>
      <c r="E564" s="19"/>
      <c r="F564" s="19"/>
      <c r="G564" s="19"/>
      <c r="H564" s="19"/>
      <c r="I564" s="19"/>
      <c r="J564" s="19"/>
      <c r="K564" s="19"/>
      <c r="L564" s="19"/>
    </row>
    <row r="565">
      <c r="A565" s="19"/>
      <c r="B565" s="19"/>
      <c r="C565" s="19"/>
      <c r="D565" s="19"/>
      <c r="E565" s="19"/>
      <c r="F565" s="19"/>
      <c r="G565" s="19"/>
      <c r="H565" s="19"/>
      <c r="I565" s="19"/>
      <c r="J565" s="19"/>
      <c r="K565" s="19"/>
      <c r="L565" s="19"/>
    </row>
    <row r="566">
      <c r="A566" s="19"/>
      <c r="B566" s="19"/>
      <c r="C566" s="19"/>
      <c r="D566" s="19"/>
      <c r="E566" s="19"/>
      <c r="F566" s="19"/>
      <c r="G566" s="19"/>
      <c r="H566" s="19"/>
      <c r="I566" s="19"/>
      <c r="J566" s="19"/>
      <c r="K566" s="19"/>
      <c r="L566" s="19"/>
    </row>
    <row r="567">
      <c r="A567" s="19"/>
      <c r="B567" s="19"/>
      <c r="C567" s="19"/>
      <c r="D567" s="19"/>
      <c r="E567" s="19"/>
      <c r="F567" s="19"/>
      <c r="G567" s="19"/>
      <c r="H567" s="19"/>
      <c r="I567" s="19"/>
      <c r="J567" s="19"/>
      <c r="K567" s="19"/>
      <c r="L567" s="19"/>
    </row>
    <row r="568">
      <c r="A568" s="19"/>
      <c r="B568" s="19"/>
      <c r="C568" s="19"/>
      <c r="D568" s="19"/>
      <c r="E568" s="19"/>
      <c r="F568" s="19"/>
      <c r="G568" s="19"/>
      <c r="H568" s="19"/>
      <c r="I568" s="19"/>
      <c r="J568" s="19"/>
      <c r="K568" s="19"/>
      <c r="L568" s="19"/>
    </row>
    <row r="569">
      <c r="A569" s="19"/>
      <c r="B569" s="19"/>
      <c r="C569" s="19"/>
      <c r="D569" s="19"/>
      <c r="E569" s="19"/>
      <c r="F569" s="19"/>
      <c r="G569" s="19"/>
      <c r="H569" s="19"/>
      <c r="I569" s="19"/>
      <c r="J569" s="19"/>
      <c r="K569" s="19"/>
      <c r="L569" s="19"/>
    </row>
    <row r="570">
      <c r="A570" s="19"/>
      <c r="B570" s="19"/>
      <c r="C570" s="19"/>
      <c r="D570" s="19"/>
      <c r="E570" s="19"/>
      <c r="F570" s="19"/>
      <c r="G570" s="19"/>
      <c r="H570" s="19"/>
      <c r="I570" s="19"/>
      <c r="J570" s="19"/>
      <c r="K570" s="19"/>
      <c r="L570" s="19"/>
    </row>
    <row r="571">
      <c r="A571" s="19"/>
      <c r="B571" s="19"/>
      <c r="C571" s="19"/>
      <c r="D571" s="19"/>
      <c r="E571" s="19"/>
      <c r="F571" s="19"/>
      <c r="G571" s="19"/>
      <c r="H571" s="19"/>
      <c r="I571" s="19"/>
      <c r="J571" s="19"/>
      <c r="K571" s="19"/>
      <c r="L571" s="19"/>
    </row>
    <row r="572">
      <c r="A572" s="19"/>
      <c r="B572" s="19"/>
      <c r="C572" s="19"/>
      <c r="D572" s="19"/>
      <c r="E572" s="19"/>
      <c r="F572" s="19"/>
      <c r="G572" s="19"/>
      <c r="H572" s="19"/>
      <c r="I572" s="19"/>
      <c r="J572" s="19"/>
      <c r="K572" s="19"/>
      <c r="L572" s="19"/>
    </row>
    <row r="573">
      <c r="A573" s="19"/>
      <c r="B573" s="19"/>
      <c r="C573" s="19"/>
      <c r="D573" s="19"/>
      <c r="E573" s="19"/>
      <c r="F573" s="19"/>
      <c r="G573" s="19"/>
      <c r="H573" s="19"/>
      <c r="I573" s="19"/>
      <c r="J573" s="19"/>
      <c r="K573" s="19"/>
      <c r="L573" s="19"/>
    </row>
    <row r="574">
      <c r="A574" s="19"/>
      <c r="B574" s="19"/>
      <c r="C574" s="19"/>
      <c r="D574" s="19"/>
      <c r="E574" s="19"/>
      <c r="F574" s="19"/>
      <c r="G574" s="19"/>
      <c r="H574" s="19"/>
      <c r="I574" s="19"/>
      <c r="J574" s="19"/>
      <c r="K574" s="19"/>
      <c r="L574" s="19"/>
    </row>
    <row r="575">
      <c r="A575" s="19"/>
      <c r="B575" s="19"/>
      <c r="C575" s="19"/>
      <c r="D575" s="19"/>
      <c r="E575" s="19"/>
      <c r="F575" s="19"/>
      <c r="G575" s="19"/>
      <c r="H575" s="19"/>
      <c r="I575" s="19"/>
      <c r="J575" s="19"/>
      <c r="K575" s="19"/>
      <c r="L575" s="19"/>
    </row>
    <row r="576">
      <c r="A576" s="19"/>
      <c r="B576" s="19"/>
      <c r="C576" s="19"/>
      <c r="D576" s="19"/>
      <c r="E576" s="19"/>
      <c r="F576" s="19"/>
      <c r="G576" s="19"/>
      <c r="H576" s="19"/>
      <c r="I576" s="19"/>
      <c r="J576" s="19"/>
      <c r="K576" s="19"/>
      <c r="L576" s="19"/>
    </row>
    <row r="577">
      <c r="A577" s="19"/>
      <c r="B577" s="19"/>
      <c r="C577" s="19"/>
      <c r="D577" s="19"/>
      <c r="E577" s="19"/>
      <c r="F577" s="19"/>
      <c r="G577" s="19"/>
      <c r="H577" s="19"/>
      <c r="I577" s="19"/>
      <c r="J577" s="19"/>
      <c r="K577" s="19"/>
      <c r="L577" s="19"/>
    </row>
    <row r="578">
      <c r="A578" s="19"/>
      <c r="B578" s="19"/>
      <c r="C578" s="19"/>
      <c r="D578" s="19"/>
      <c r="E578" s="19"/>
      <c r="F578" s="19"/>
      <c r="G578" s="19"/>
      <c r="H578" s="19"/>
      <c r="I578" s="19"/>
      <c r="J578" s="19"/>
      <c r="K578" s="19"/>
      <c r="L578" s="19"/>
    </row>
    <row r="579">
      <c r="A579" s="19"/>
      <c r="B579" s="19"/>
      <c r="C579" s="19"/>
      <c r="D579" s="19"/>
      <c r="E579" s="19"/>
      <c r="F579" s="19"/>
      <c r="G579" s="19"/>
      <c r="H579" s="19"/>
      <c r="I579" s="19"/>
      <c r="J579" s="19"/>
      <c r="K579" s="19"/>
      <c r="L579" s="19"/>
    </row>
    <row r="580">
      <c r="A580" s="19"/>
      <c r="B580" s="19"/>
      <c r="C580" s="19"/>
      <c r="D580" s="19"/>
      <c r="E580" s="19"/>
      <c r="F580" s="19"/>
      <c r="G580" s="19"/>
      <c r="H580" s="19"/>
      <c r="I580" s="19"/>
      <c r="J580" s="19"/>
      <c r="K580" s="19"/>
      <c r="L580" s="19"/>
    </row>
    <row r="581">
      <c r="A581" s="19"/>
      <c r="B581" s="19"/>
      <c r="C581" s="19"/>
      <c r="D581" s="19"/>
      <c r="E581" s="19"/>
      <c r="F581" s="19"/>
      <c r="G581" s="19"/>
      <c r="H581" s="19"/>
      <c r="I581" s="19"/>
      <c r="J581" s="19"/>
      <c r="K581" s="19"/>
      <c r="L581" s="19"/>
    </row>
    <row r="582">
      <c r="A582" s="19"/>
      <c r="B582" s="19"/>
      <c r="C582" s="19"/>
      <c r="D582" s="19"/>
      <c r="E582" s="19"/>
      <c r="F582" s="19"/>
      <c r="G582" s="19"/>
      <c r="H582" s="19"/>
      <c r="I582" s="19"/>
      <c r="J582" s="19"/>
      <c r="K582" s="19"/>
      <c r="L582" s="19"/>
    </row>
    <row r="583">
      <c r="A583" s="19"/>
      <c r="B583" s="19"/>
      <c r="C583" s="19"/>
      <c r="D583" s="19"/>
      <c r="E583" s="19"/>
      <c r="F583" s="19"/>
      <c r="G583" s="19"/>
      <c r="H583" s="19"/>
      <c r="I583" s="19"/>
      <c r="J583" s="19"/>
      <c r="K583" s="19"/>
      <c r="L583" s="19"/>
    </row>
    <row r="584">
      <c r="A584" s="19"/>
      <c r="B584" s="19"/>
      <c r="C584" s="19"/>
      <c r="D584" s="19"/>
      <c r="E584" s="19"/>
      <c r="F584" s="19"/>
      <c r="G584" s="19"/>
      <c r="H584" s="19"/>
      <c r="I584" s="19"/>
      <c r="J584" s="19"/>
      <c r="K584" s="19"/>
      <c r="L584" s="19"/>
    </row>
    <row r="585">
      <c r="A585" s="19"/>
      <c r="B585" s="19"/>
      <c r="C585" s="19"/>
      <c r="D585" s="19"/>
      <c r="E585" s="19"/>
      <c r="F585" s="19"/>
      <c r="G585" s="19"/>
      <c r="H585" s="19"/>
      <c r="I585" s="19"/>
      <c r="J585" s="19"/>
      <c r="K585" s="19"/>
      <c r="L585" s="19"/>
    </row>
    <row r="586">
      <c r="A586" s="19"/>
      <c r="B586" s="19"/>
      <c r="C586" s="19"/>
      <c r="D586" s="19"/>
      <c r="E586" s="19"/>
      <c r="F586" s="19"/>
      <c r="G586" s="19"/>
      <c r="H586" s="19"/>
      <c r="I586" s="19"/>
      <c r="J586" s="19"/>
      <c r="K586" s="19"/>
      <c r="L586" s="19"/>
    </row>
    <row r="587">
      <c r="A587" s="19"/>
      <c r="B587" s="19"/>
      <c r="C587" s="19"/>
      <c r="D587" s="19"/>
      <c r="E587" s="19"/>
      <c r="F587" s="19"/>
      <c r="G587" s="19"/>
      <c r="H587" s="19"/>
      <c r="I587" s="19"/>
      <c r="J587" s="19"/>
      <c r="K587" s="19"/>
      <c r="L587" s="19"/>
    </row>
    <row r="588">
      <c r="A588" s="19"/>
      <c r="B588" s="19"/>
      <c r="C588" s="19"/>
      <c r="D588" s="19"/>
      <c r="E588" s="19"/>
      <c r="F588" s="19"/>
      <c r="G588" s="19"/>
      <c r="H588" s="19"/>
      <c r="I588" s="19"/>
      <c r="J588" s="19"/>
      <c r="K588" s="19"/>
      <c r="L588" s="19"/>
    </row>
    <row r="589">
      <c r="A589" s="19"/>
      <c r="B589" s="19"/>
      <c r="C589" s="19"/>
      <c r="D589" s="19"/>
      <c r="E589" s="19"/>
      <c r="F589" s="19"/>
      <c r="G589" s="19"/>
      <c r="H589" s="19"/>
      <c r="I589" s="19"/>
      <c r="J589" s="19"/>
      <c r="K589" s="19"/>
      <c r="L589" s="19"/>
    </row>
    <row r="590">
      <c r="A590" s="19"/>
      <c r="B590" s="19"/>
      <c r="C590" s="19"/>
      <c r="D590" s="19"/>
      <c r="E590" s="19"/>
      <c r="F590" s="19"/>
      <c r="G590" s="19"/>
      <c r="H590" s="19"/>
      <c r="I590" s="19"/>
      <c r="J590" s="19"/>
      <c r="K590" s="19"/>
      <c r="L590" s="19"/>
    </row>
    <row r="591">
      <c r="A591" s="19"/>
      <c r="B591" s="19"/>
      <c r="C591" s="19"/>
      <c r="D591" s="19"/>
      <c r="E591" s="19"/>
      <c r="F591" s="19"/>
      <c r="G591" s="19"/>
      <c r="H591" s="19"/>
      <c r="I591" s="19"/>
      <c r="J591" s="19"/>
      <c r="K591" s="19"/>
      <c r="L591" s="19"/>
    </row>
    <row r="592">
      <c r="A592" s="19"/>
      <c r="B592" s="19"/>
      <c r="C592" s="19"/>
      <c r="D592" s="19"/>
      <c r="E592" s="19"/>
      <c r="F592" s="19"/>
      <c r="G592" s="19"/>
      <c r="H592" s="19"/>
      <c r="I592" s="19"/>
      <c r="J592" s="19"/>
      <c r="K592" s="19"/>
      <c r="L592" s="19"/>
    </row>
    <row r="593">
      <c r="A593" s="19"/>
      <c r="B593" s="19"/>
      <c r="C593" s="19"/>
      <c r="D593" s="19"/>
      <c r="E593" s="19"/>
      <c r="F593" s="19"/>
      <c r="G593" s="19"/>
      <c r="H593" s="19"/>
      <c r="I593" s="19"/>
      <c r="J593" s="19"/>
      <c r="K593" s="19"/>
      <c r="L593" s="19"/>
    </row>
    <row r="594">
      <c r="A594" s="19"/>
      <c r="B594" s="19"/>
      <c r="C594" s="19"/>
      <c r="D594" s="19"/>
      <c r="E594" s="19"/>
      <c r="F594" s="19"/>
      <c r="G594" s="19"/>
      <c r="H594" s="19"/>
      <c r="I594" s="19"/>
      <c r="J594" s="19"/>
      <c r="K594" s="19"/>
      <c r="L594" s="19"/>
    </row>
    <row r="595">
      <c r="A595" s="19"/>
      <c r="B595" s="19"/>
      <c r="C595" s="19"/>
      <c r="D595" s="19"/>
      <c r="E595" s="19"/>
      <c r="F595" s="19"/>
      <c r="G595" s="19"/>
      <c r="H595" s="19"/>
      <c r="I595" s="19"/>
      <c r="J595" s="19"/>
      <c r="K595" s="19"/>
      <c r="L595" s="19"/>
    </row>
    <row r="596">
      <c r="A596" s="19"/>
      <c r="B596" s="19"/>
      <c r="C596" s="19"/>
      <c r="D596" s="19"/>
      <c r="E596" s="19"/>
      <c r="F596" s="19"/>
      <c r="G596" s="19"/>
      <c r="H596" s="19"/>
      <c r="I596" s="19"/>
      <c r="J596" s="19"/>
      <c r="K596" s="19"/>
      <c r="L596" s="19"/>
    </row>
    <row r="597">
      <c r="A597" s="19"/>
      <c r="B597" s="19"/>
      <c r="C597" s="19"/>
      <c r="D597" s="19"/>
      <c r="E597" s="19"/>
      <c r="F597" s="19"/>
      <c r="G597" s="19"/>
      <c r="H597" s="19"/>
      <c r="I597" s="19"/>
      <c r="J597" s="19"/>
      <c r="K597" s="19"/>
      <c r="L597" s="19"/>
    </row>
    <row r="598">
      <c r="A598" s="19"/>
      <c r="B598" s="19"/>
      <c r="C598" s="19"/>
      <c r="D598" s="19"/>
      <c r="E598" s="19"/>
      <c r="F598" s="19"/>
      <c r="G598" s="19"/>
      <c r="H598" s="19"/>
      <c r="I598" s="19"/>
      <c r="J598" s="19"/>
      <c r="K598" s="19"/>
      <c r="L598" s="19"/>
    </row>
    <row r="599">
      <c r="A599" s="19"/>
      <c r="B599" s="19"/>
      <c r="C599" s="19"/>
      <c r="D599" s="19"/>
      <c r="E599" s="19"/>
      <c r="F599" s="19"/>
      <c r="G599" s="19"/>
      <c r="H599" s="19"/>
      <c r="I599" s="19"/>
      <c r="J599" s="19"/>
      <c r="K599" s="19"/>
      <c r="L599" s="19"/>
    </row>
    <row r="600">
      <c r="A600" s="19"/>
      <c r="B600" s="19"/>
      <c r="C600" s="19"/>
      <c r="D600" s="19"/>
      <c r="E600" s="19"/>
      <c r="F600" s="19"/>
      <c r="G600" s="19"/>
      <c r="H600" s="19"/>
      <c r="I600" s="19"/>
      <c r="J600" s="19"/>
      <c r="K600" s="19"/>
      <c r="L600" s="19"/>
    </row>
    <row r="601">
      <c r="A601" s="19"/>
      <c r="B601" s="19"/>
      <c r="C601" s="19"/>
      <c r="D601" s="19"/>
      <c r="E601" s="19"/>
      <c r="F601" s="19"/>
      <c r="G601" s="19"/>
      <c r="H601" s="19"/>
      <c r="I601" s="19"/>
      <c r="J601" s="19"/>
      <c r="K601" s="19"/>
      <c r="L601" s="19"/>
    </row>
    <row r="602">
      <c r="A602" s="19"/>
      <c r="B602" s="19"/>
      <c r="C602" s="19"/>
      <c r="D602" s="19"/>
      <c r="E602" s="19"/>
      <c r="F602" s="19"/>
      <c r="G602" s="19"/>
      <c r="H602" s="19"/>
      <c r="I602" s="19"/>
      <c r="J602" s="19"/>
      <c r="K602" s="19"/>
      <c r="L602" s="19"/>
    </row>
    <row r="603">
      <c r="A603" s="19"/>
      <c r="B603" s="19"/>
      <c r="C603" s="19"/>
      <c r="D603" s="19"/>
      <c r="E603" s="19"/>
      <c r="F603" s="19"/>
      <c r="G603" s="19"/>
      <c r="H603" s="19"/>
      <c r="I603" s="19"/>
      <c r="J603" s="19"/>
      <c r="K603" s="19"/>
      <c r="L603" s="19"/>
    </row>
    <row r="604">
      <c r="A604" s="19"/>
      <c r="B604" s="19"/>
      <c r="C604" s="19"/>
      <c r="D604" s="19"/>
      <c r="E604" s="19"/>
      <c r="F604" s="19"/>
      <c r="G604" s="19"/>
      <c r="H604" s="19"/>
      <c r="I604" s="19"/>
      <c r="J604" s="19"/>
      <c r="K604" s="19"/>
      <c r="L604" s="19"/>
    </row>
    <row r="605">
      <c r="A605" s="19"/>
      <c r="B605" s="19"/>
      <c r="C605" s="19"/>
      <c r="D605" s="19"/>
      <c r="E605" s="19"/>
      <c r="F605" s="19"/>
      <c r="G605" s="19"/>
      <c r="H605" s="19"/>
      <c r="I605" s="19"/>
      <c r="J605" s="19"/>
      <c r="K605" s="19"/>
      <c r="L605" s="19"/>
    </row>
    <row r="606">
      <c r="A606" s="19"/>
      <c r="B606" s="19"/>
      <c r="C606" s="19"/>
      <c r="D606" s="19"/>
      <c r="E606" s="19"/>
      <c r="F606" s="19"/>
      <c r="G606" s="19"/>
      <c r="H606" s="19"/>
      <c r="I606" s="19"/>
      <c r="J606" s="19"/>
      <c r="K606" s="19"/>
      <c r="L606" s="19"/>
    </row>
    <row r="607">
      <c r="A607" s="19"/>
      <c r="B607" s="19"/>
      <c r="C607" s="19"/>
      <c r="D607" s="19"/>
      <c r="E607" s="19"/>
      <c r="F607" s="19"/>
      <c r="G607" s="19"/>
      <c r="H607" s="19"/>
      <c r="I607" s="19"/>
      <c r="J607" s="19"/>
      <c r="K607" s="19"/>
      <c r="L607" s="19"/>
    </row>
    <row r="608">
      <c r="A608" s="19"/>
      <c r="B608" s="19"/>
      <c r="C608" s="19"/>
      <c r="D608" s="19"/>
      <c r="E608" s="19"/>
      <c r="F608" s="19"/>
      <c r="G608" s="19"/>
      <c r="H608" s="19"/>
      <c r="I608" s="19"/>
      <c r="J608" s="19"/>
      <c r="K608" s="19"/>
      <c r="L608" s="19"/>
    </row>
    <row r="609">
      <c r="A609" s="19"/>
      <c r="B609" s="19"/>
      <c r="C609" s="19"/>
      <c r="D609" s="19"/>
      <c r="E609" s="19"/>
      <c r="F609" s="19"/>
      <c r="G609" s="19"/>
      <c r="H609" s="19"/>
      <c r="I609" s="19"/>
      <c r="J609" s="19"/>
      <c r="K609" s="19"/>
      <c r="L609" s="19"/>
    </row>
    <row r="610">
      <c r="A610" s="19"/>
      <c r="B610" s="19"/>
      <c r="C610" s="19"/>
      <c r="D610" s="19"/>
      <c r="E610" s="19"/>
      <c r="F610" s="19"/>
      <c r="G610" s="19"/>
      <c r="H610" s="19"/>
      <c r="I610" s="19"/>
      <c r="J610" s="19"/>
      <c r="K610" s="19"/>
      <c r="L610" s="19"/>
    </row>
    <row r="611">
      <c r="A611" s="19"/>
      <c r="B611" s="19"/>
      <c r="C611" s="19"/>
      <c r="D611" s="19"/>
      <c r="E611" s="19"/>
      <c r="F611" s="19"/>
      <c r="G611" s="19"/>
      <c r="H611" s="19"/>
      <c r="I611" s="19"/>
      <c r="J611" s="19"/>
      <c r="K611" s="19"/>
      <c r="L611" s="19"/>
    </row>
    <row r="612">
      <c r="A612" s="19"/>
      <c r="B612" s="19"/>
      <c r="C612" s="19"/>
      <c r="D612" s="19"/>
      <c r="E612" s="19"/>
      <c r="F612" s="19"/>
      <c r="G612" s="19"/>
      <c r="H612" s="19"/>
      <c r="I612" s="19"/>
      <c r="J612" s="19"/>
      <c r="K612" s="19"/>
      <c r="L612" s="19"/>
    </row>
    <row r="613">
      <c r="A613" s="19"/>
      <c r="B613" s="19"/>
      <c r="C613" s="19"/>
      <c r="D613" s="19"/>
      <c r="E613" s="19"/>
      <c r="F613" s="19"/>
      <c r="G613" s="19"/>
      <c r="H613" s="19"/>
      <c r="I613" s="19"/>
      <c r="J613" s="19"/>
      <c r="K613" s="19"/>
      <c r="L613" s="19"/>
    </row>
    <row r="614">
      <c r="A614" s="19"/>
      <c r="B614" s="19"/>
      <c r="C614" s="19"/>
      <c r="D614" s="19"/>
      <c r="E614" s="19"/>
      <c r="F614" s="19"/>
      <c r="G614" s="19"/>
      <c r="H614" s="19"/>
      <c r="I614" s="19"/>
      <c r="J614" s="19"/>
      <c r="K614" s="19"/>
      <c r="L614" s="19"/>
    </row>
    <row r="615">
      <c r="A615" s="19"/>
      <c r="B615" s="19"/>
      <c r="C615" s="19"/>
      <c r="D615" s="19"/>
      <c r="E615" s="19"/>
      <c r="F615" s="19"/>
      <c r="G615" s="19"/>
      <c r="H615" s="19"/>
      <c r="I615" s="19"/>
      <c r="J615" s="19"/>
      <c r="K615" s="19"/>
      <c r="L615" s="19"/>
    </row>
    <row r="616">
      <c r="A616" s="19"/>
      <c r="B616" s="19"/>
      <c r="C616" s="19"/>
      <c r="D616" s="19"/>
      <c r="E616" s="19"/>
      <c r="F616" s="19"/>
      <c r="G616" s="19"/>
      <c r="H616" s="19"/>
      <c r="I616" s="19"/>
      <c r="J616" s="19"/>
      <c r="K616" s="19"/>
      <c r="L616" s="19"/>
    </row>
    <row r="617">
      <c r="A617" s="19"/>
      <c r="B617" s="19"/>
      <c r="C617" s="19"/>
      <c r="D617" s="19"/>
      <c r="E617" s="19"/>
      <c r="F617" s="19"/>
      <c r="G617" s="19"/>
      <c r="H617" s="19"/>
      <c r="I617" s="19"/>
      <c r="J617" s="19"/>
      <c r="K617" s="19"/>
      <c r="L617" s="19"/>
    </row>
    <row r="618">
      <c r="A618" s="19"/>
      <c r="B618" s="19"/>
      <c r="C618" s="19"/>
      <c r="D618" s="19"/>
      <c r="E618" s="19"/>
      <c r="F618" s="19"/>
      <c r="G618" s="19"/>
      <c r="H618" s="19"/>
      <c r="I618" s="19"/>
      <c r="J618" s="19"/>
      <c r="K618" s="19"/>
      <c r="L618" s="19"/>
    </row>
    <row r="619">
      <c r="A619" s="19"/>
      <c r="B619" s="19"/>
      <c r="C619" s="19"/>
      <c r="D619" s="19"/>
      <c r="E619" s="19"/>
      <c r="F619" s="19"/>
      <c r="G619" s="19"/>
      <c r="H619" s="19"/>
      <c r="I619" s="19"/>
      <c r="J619" s="19"/>
      <c r="K619" s="19"/>
      <c r="L619" s="19"/>
    </row>
    <row r="620">
      <c r="A620" s="19"/>
      <c r="B620" s="19"/>
      <c r="C620" s="19"/>
      <c r="D620" s="19"/>
      <c r="E620" s="19"/>
      <c r="F620" s="19"/>
      <c r="G620" s="19"/>
      <c r="H620" s="19"/>
      <c r="I620" s="19"/>
      <c r="J620" s="19"/>
      <c r="K620" s="19"/>
      <c r="L620" s="19"/>
    </row>
    <row r="621">
      <c r="A621" s="19"/>
      <c r="B621" s="19"/>
      <c r="C621" s="19"/>
      <c r="D621" s="19"/>
      <c r="E621" s="19"/>
      <c r="F621" s="19"/>
      <c r="G621" s="19"/>
      <c r="H621" s="19"/>
      <c r="I621" s="19"/>
      <c r="J621" s="19"/>
      <c r="K621" s="19"/>
      <c r="L621" s="19"/>
    </row>
    <row r="622">
      <c r="A622" s="19"/>
      <c r="B622" s="19"/>
      <c r="C622" s="19"/>
      <c r="D622" s="19"/>
      <c r="E622" s="19"/>
      <c r="F622" s="19"/>
      <c r="G622" s="19"/>
      <c r="H622" s="19"/>
      <c r="I622" s="19"/>
      <c r="J622" s="19"/>
      <c r="K622" s="19"/>
      <c r="L622" s="19"/>
    </row>
    <row r="623">
      <c r="A623" s="19"/>
      <c r="B623" s="19"/>
      <c r="C623" s="19"/>
      <c r="D623" s="19"/>
      <c r="E623" s="19"/>
      <c r="F623" s="19"/>
      <c r="G623" s="19"/>
      <c r="H623" s="19"/>
      <c r="I623" s="19"/>
      <c r="J623" s="19"/>
      <c r="K623" s="19"/>
      <c r="L623" s="19"/>
    </row>
    <row r="624">
      <c r="A624" s="19"/>
      <c r="B624" s="19"/>
      <c r="C624" s="19"/>
      <c r="D624" s="19"/>
      <c r="E624" s="19"/>
      <c r="F624" s="19"/>
      <c r="G624" s="19"/>
      <c r="H624" s="19"/>
      <c r="I624" s="19"/>
      <c r="J624" s="19"/>
      <c r="K624" s="19"/>
      <c r="L624" s="19"/>
    </row>
    <row r="625">
      <c r="A625" s="19"/>
      <c r="B625" s="19"/>
      <c r="C625" s="19"/>
      <c r="D625" s="19"/>
      <c r="E625" s="19"/>
      <c r="F625" s="19"/>
      <c r="G625" s="19"/>
      <c r="H625" s="19"/>
      <c r="I625" s="19"/>
      <c r="J625" s="19"/>
      <c r="K625" s="19"/>
      <c r="L625" s="19"/>
    </row>
    <row r="626">
      <c r="A626" s="19"/>
      <c r="B626" s="19"/>
      <c r="C626" s="19"/>
      <c r="D626" s="19"/>
      <c r="E626" s="19"/>
      <c r="F626" s="19"/>
      <c r="G626" s="19"/>
      <c r="H626" s="19"/>
      <c r="I626" s="19"/>
      <c r="J626" s="19"/>
      <c r="K626" s="19"/>
      <c r="L626" s="19"/>
    </row>
    <row r="627">
      <c r="A627" s="19"/>
      <c r="B627" s="19"/>
      <c r="C627" s="19"/>
      <c r="D627" s="19"/>
      <c r="E627" s="19"/>
      <c r="F627" s="19"/>
      <c r="G627" s="19"/>
      <c r="H627" s="19"/>
      <c r="I627" s="19"/>
      <c r="J627" s="19"/>
      <c r="K627" s="19"/>
      <c r="L627" s="19"/>
    </row>
    <row r="628">
      <c r="A628" s="19"/>
      <c r="B628" s="19"/>
      <c r="C628" s="19"/>
      <c r="D628" s="19"/>
      <c r="E628" s="19"/>
      <c r="F628" s="19"/>
      <c r="G628" s="19"/>
      <c r="H628" s="19"/>
      <c r="I628" s="19"/>
      <c r="J628" s="19"/>
      <c r="K628" s="19"/>
      <c r="L628" s="19"/>
    </row>
    <row r="629">
      <c r="A629" s="19"/>
      <c r="B629" s="19"/>
      <c r="C629" s="19"/>
      <c r="D629" s="19"/>
      <c r="E629" s="19"/>
      <c r="F629" s="19"/>
      <c r="G629" s="19"/>
      <c r="H629" s="19"/>
      <c r="I629" s="19"/>
      <c r="J629" s="19"/>
      <c r="K629" s="19"/>
      <c r="L629" s="19"/>
    </row>
    <row r="630">
      <c r="A630" s="19"/>
      <c r="B630" s="19"/>
      <c r="C630" s="19"/>
      <c r="D630" s="19"/>
      <c r="E630" s="19"/>
      <c r="F630" s="19"/>
      <c r="G630" s="19"/>
      <c r="H630" s="19"/>
      <c r="I630" s="19"/>
      <c r="J630" s="19"/>
      <c r="K630" s="19"/>
      <c r="L630" s="19"/>
    </row>
    <row r="631">
      <c r="A631" s="19"/>
      <c r="B631" s="19"/>
      <c r="C631" s="19"/>
      <c r="D631" s="19"/>
      <c r="E631" s="19"/>
      <c r="F631" s="19"/>
      <c r="G631" s="19"/>
      <c r="H631" s="19"/>
      <c r="I631" s="19"/>
      <c r="J631" s="19"/>
      <c r="K631" s="19"/>
      <c r="L631" s="19"/>
    </row>
    <row r="632">
      <c r="A632" s="19"/>
      <c r="B632" s="19"/>
      <c r="C632" s="19"/>
      <c r="D632" s="19"/>
      <c r="E632" s="19"/>
      <c r="F632" s="19"/>
      <c r="G632" s="19"/>
      <c r="H632" s="19"/>
      <c r="I632" s="19"/>
      <c r="J632" s="19"/>
      <c r="K632" s="19"/>
      <c r="L632" s="19"/>
    </row>
    <row r="633">
      <c r="A633" s="19"/>
      <c r="B633" s="19"/>
      <c r="C633" s="19"/>
      <c r="D633" s="19"/>
      <c r="E633" s="19"/>
      <c r="F633" s="19"/>
      <c r="G633" s="19"/>
      <c r="H633" s="19"/>
      <c r="I633" s="19"/>
      <c r="J633" s="19"/>
      <c r="K633" s="19"/>
      <c r="L633" s="19"/>
    </row>
    <row r="634">
      <c r="A634" s="19"/>
      <c r="B634" s="19"/>
      <c r="C634" s="19"/>
      <c r="D634" s="19"/>
      <c r="E634" s="19"/>
      <c r="F634" s="19"/>
      <c r="G634" s="19"/>
      <c r="H634" s="19"/>
      <c r="I634" s="19"/>
      <c r="J634" s="19"/>
      <c r="K634" s="19"/>
      <c r="L634" s="19"/>
    </row>
    <row r="635">
      <c r="A635" s="19"/>
      <c r="B635" s="19"/>
      <c r="C635" s="19"/>
      <c r="D635" s="19"/>
      <c r="E635" s="19"/>
      <c r="F635" s="19"/>
      <c r="G635" s="19"/>
      <c r="H635" s="19"/>
      <c r="I635" s="19"/>
      <c r="J635" s="19"/>
      <c r="K635" s="19"/>
      <c r="L635" s="19"/>
    </row>
    <row r="636">
      <c r="A636" s="19"/>
      <c r="B636" s="19"/>
      <c r="C636" s="19"/>
      <c r="D636" s="19"/>
      <c r="E636" s="19"/>
      <c r="F636" s="19"/>
      <c r="G636" s="19"/>
      <c r="H636" s="19"/>
      <c r="I636" s="19"/>
      <c r="J636" s="19"/>
      <c r="K636" s="19"/>
      <c r="L636" s="19"/>
    </row>
    <row r="637">
      <c r="A637" s="19"/>
      <c r="B637" s="19"/>
      <c r="C637" s="19"/>
      <c r="D637" s="19"/>
      <c r="E637" s="19"/>
      <c r="F637" s="19"/>
      <c r="G637" s="19"/>
      <c r="H637" s="19"/>
      <c r="I637" s="19"/>
      <c r="J637" s="19"/>
      <c r="K637" s="19"/>
      <c r="L637" s="19"/>
    </row>
    <row r="638">
      <c r="A638" s="19"/>
      <c r="B638" s="19"/>
      <c r="C638" s="19"/>
      <c r="D638" s="19"/>
      <c r="E638" s="19"/>
      <c r="F638" s="19"/>
      <c r="G638" s="19"/>
      <c r="H638" s="19"/>
      <c r="I638" s="19"/>
      <c r="J638" s="19"/>
      <c r="K638" s="19"/>
      <c r="L638" s="19"/>
    </row>
    <row r="639">
      <c r="A639" s="19"/>
      <c r="B639" s="19"/>
      <c r="C639" s="19"/>
      <c r="D639" s="19"/>
      <c r="E639" s="19"/>
      <c r="F639" s="19"/>
      <c r="G639" s="19"/>
      <c r="H639" s="19"/>
      <c r="I639" s="19"/>
      <c r="J639" s="19"/>
      <c r="K639" s="19"/>
      <c r="L639" s="19"/>
    </row>
    <row r="640">
      <c r="A640" s="19"/>
      <c r="B640" s="19"/>
      <c r="C640" s="19"/>
      <c r="D640" s="19"/>
      <c r="E640" s="19"/>
      <c r="F640" s="19"/>
      <c r="G640" s="19"/>
      <c r="H640" s="19"/>
      <c r="I640" s="19"/>
      <c r="J640" s="19"/>
      <c r="K640" s="19"/>
      <c r="L640" s="19"/>
    </row>
    <row r="641">
      <c r="A641" s="19"/>
      <c r="B641" s="19"/>
      <c r="C641" s="19"/>
      <c r="D641" s="19"/>
      <c r="E641" s="19"/>
      <c r="F641" s="19"/>
      <c r="G641" s="19"/>
      <c r="H641" s="19"/>
      <c r="I641" s="19"/>
      <c r="J641" s="19"/>
      <c r="K641" s="19"/>
      <c r="L641" s="19"/>
    </row>
    <row r="642">
      <c r="A642" s="19"/>
      <c r="B642" s="19"/>
      <c r="C642" s="19"/>
      <c r="D642" s="19"/>
      <c r="E642" s="19"/>
      <c r="F642" s="19"/>
      <c r="G642" s="19"/>
      <c r="H642" s="19"/>
      <c r="I642" s="19"/>
      <c r="J642" s="19"/>
      <c r="K642" s="19"/>
      <c r="L642" s="19"/>
    </row>
    <row r="643">
      <c r="A643" s="19"/>
      <c r="B643" s="19"/>
      <c r="C643" s="19"/>
      <c r="D643" s="19"/>
      <c r="E643" s="19"/>
      <c r="F643" s="19"/>
      <c r="G643" s="19"/>
      <c r="H643" s="19"/>
      <c r="I643" s="19"/>
      <c r="J643" s="19"/>
      <c r="K643" s="19"/>
      <c r="L643" s="19"/>
    </row>
    <row r="644">
      <c r="A644" s="19"/>
      <c r="B644" s="19"/>
      <c r="C644" s="19"/>
      <c r="D644" s="19"/>
      <c r="E644" s="19"/>
      <c r="F644" s="19"/>
      <c r="G644" s="19"/>
      <c r="H644" s="19"/>
      <c r="I644" s="19"/>
      <c r="J644" s="19"/>
      <c r="K644" s="19"/>
      <c r="L644" s="19"/>
    </row>
    <row r="645">
      <c r="A645" s="19"/>
      <c r="B645" s="19"/>
      <c r="C645" s="19"/>
      <c r="D645" s="19"/>
      <c r="E645" s="19"/>
      <c r="F645" s="19"/>
      <c r="G645" s="19"/>
      <c r="H645" s="19"/>
      <c r="I645" s="19"/>
      <c r="J645" s="19"/>
      <c r="K645" s="19"/>
      <c r="L645" s="19"/>
    </row>
    <row r="646">
      <c r="A646" s="19"/>
      <c r="B646" s="19"/>
      <c r="C646" s="19"/>
      <c r="D646" s="19"/>
      <c r="E646" s="19"/>
      <c r="F646" s="19"/>
      <c r="G646" s="19"/>
      <c r="H646" s="19"/>
      <c r="I646" s="19"/>
      <c r="J646" s="19"/>
      <c r="K646" s="19"/>
      <c r="L646" s="19"/>
    </row>
    <row r="647">
      <c r="A647" s="19"/>
      <c r="B647" s="19"/>
      <c r="C647" s="19"/>
      <c r="D647" s="19"/>
      <c r="E647" s="19"/>
      <c r="F647" s="19"/>
      <c r="G647" s="19"/>
      <c r="H647" s="19"/>
      <c r="I647" s="19"/>
      <c r="J647" s="19"/>
      <c r="K647" s="19"/>
      <c r="L647" s="19"/>
    </row>
    <row r="648">
      <c r="A648" s="19"/>
      <c r="B648" s="19"/>
      <c r="C648" s="19"/>
      <c r="D648" s="19"/>
      <c r="E648" s="19"/>
      <c r="F648" s="19"/>
      <c r="G648" s="19"/>
      <c r="H648" s="19"/>
      <c r="I648" s="19"/>
      <c r="J648" s="19"/>
      <c r="K648" s="19"/>
      <c r="L648" s="19"/>
    </row>
    <row r="649">
      <c r="A649" s="19"/>
      <c r="B649" s="19"/>
      <c r="C649" s="19"/>
      <c r="D649" s="19"/>
      <c r="E649" s="19"/>
      <c r="F649" s="19"/>
      <c r="G649" s="19"/>
      <c r="H649" s="19"/>
      <c r="I649" s="19"/>
      <c r="J649" s="19"/>
      <c r="K649" s="19"/>
      <c r="L649" s="19"/>
    </row>
    <row r="650">
      <c r="A650" s="19"/>
      <c r="B650" s="19"/>
      <c r="C650" s="19"/>
      <c r="D650" s="19"/>
      <c r="E650" s="19"/>
      <c r="F650" s="19"/>
      <c r="G650" s="19"/>
      <c r="H650" s="19"/>
      <c r="I650" s="19"/>
      <c r="J650" s="19"/>
      <c r="K650" s="19"/>
      <c r="L650" s="19"/>
    </row>
    <row r="651">
      <c r="A651" s="19"/>
      <c r="B651" s="19"/>
      <c r="C651" s="19"/>
      <c r="D651" s="19"/>
      <c r="E651" s="19"/>
      <c r="F651" s="19"/>
      <c r="G651" s="19"/>
      <c r="H651" s="19"/>
      <c r="I651" s="19"/>
      <c r="J651" s="19"/>
      <c r="K651" s="19"/>
      <c r="L651" s="19"/>
    </row>
    <row r="652">
      <c r="A652" s="19"/>
      <c r="B652" s="19"/>
      <c r="C652" s="19"/>
      <c r="D652" s="19"/>
      <c r="E652" s="19"/>
      <c r="F652" s="19"/>
      <c r="G652" s="19"/>
      <c r="H652" s="19"/>
      <c r="I652" s="19"/>
      <c r="J652" s="19"/>
      <c r="K652" s="19"/>
      <c r="L652" s="19"/>
    </row>
    <row r="653">
      <c r="A653" s="19"/>
      <c r="B653" s="19"/>
      <c r="C653" s="19"/>
      <c r="D653" s="19"/>
      <c r="E653" s="19"/>
      <c r="F653" s="19"/>
      <c r="G653" s="19"/>
      <c r="H653" s="19"/>
      <c r="I653" s="19"/>
      <c r="J653" s="19"/>
      <c r="K653" s="19"/>
      <c r="L653" s="19"/>
    </row>
    <row r="654">
      <c r="A654" s="19"/>
      <c r="B654" s="19"/>
      <c r="C654" s="19"/>
      <c r="D654" s="19"/>
      <c r="E654" s="19"/>
      <c r="F654" s="19"/>
      <c r="G654" s="19"/>
      <c r="H654" s="19"/>
      <c r="I654" s="19"/>
      <c r="J654" s="19"/>
      <c r="K654" s="19"/>
      <c r="L654" s="19"/>
    </row>
    <row r="655">
      <c r="A655" s="19"/>
      <c r="B655" s="19"/>
      <c r="C655" s="19"/>
      <c r="D655" s="19"/>
      <c r="E655" s="19"/>
      <c r="F655" s="19"/>
      <c r="G655" s="19"/>
      <c r="H655" s="19"/>
      <c r="I655" s="19"/>
      <c r="J655" s="19"/>
      <c r="K655" s="19"/>
      <c r="L655" s="19"/>
    </row>
    <row r="656">
      <c r="A656" s="19"/>
      <c r="B656" s="19"/>
      <c r="C656" s="19"/>
      <c r="D656" s="19"/>
      <c r="E656" s="19"/>
      <c r="F656" s="19"/>
      <c r="G656" s="19"/>
      <c r="H656" s="19"/>
      <c r="I656" s="19"/>
      <c r="J656" s="19"/>
      <c r="K656" s="19"/>
      <c r="L656" s="19"/>
    </row>
    <row r="657">
      <c r="A657" s="19"/>
      <c r="B657" s="19"/>
      <c r="C657" s="19"/>
      <c r="D657" s="19"/>
      <c r="E657" s="19"/>
      <c r="F657" s="19"/>
      <c r="G657" s="19"/>
      <c r="H657" s="19"/>
      <c r="I657" s="19"/>
      <c r="J657" s="19"/>
      <c r="K657" s="19"/>
      <c r="L657" s="19"/>
    </row>
    <row r="658">
      <c r="A658" s="19"/>
      <c r="B658" s="19"/>
      <c r="C658" s="19"/>
      <c r="D658" s="19"/>
      <c r="E658" s="19"/>
      <c r="F658" s="19"/>
      <c r="G658" s="19"/>
      <c r="H658" s="19"/>
      <c r="I658" s="19"/>
      <c r="J658" s="19"/>
      <c r="K658" s="19"/>
      <c r="L658" s="19"/>
    </row>
    <row r="659">
      <c r="A659" s="19"/>
      <c r="B659" s="19"/>
      <c r="C659" s="19"/>
      <c r="D659" s="19"/>
      <c r="E659" s="19"/>
      <c r="F659" s="19"/>
      <c r="G659" s="19"/>
      <c r="H659" s="19"/>
      <c r="I659" s="19"/>
      <c r="J659" s="19"/>
      <c r="K659" s="19"/>
      <c r="L659" s="19"/>
    </row>
    <row r="660">
      <c r="A660" s="19"/>
      <c r="B660" s="19"/>
      <c r="C660" s="19"/>
      <c r="D660" s="19"/>
      <c r="E660" s="19"/>
      <c r="F660" s="19"/>
      <c r="G660" s="19"/>
      <c r="H660" s="19"/>
      <c r="I660" s="19"/>
      <c r="J660" s="19"/>
      <c r="K660" s="19"/>
      <c r="L660" s="19"/>
    </row>
    <row r="661">
      <c r="A661" s="19"/>
      <c r="B661" s="19"/>
      <c r="C661" s="19"/>
      <c r="D661" s="19"/>
      <c r="E661" s="19"/>
      <c r="F661" s="19"/>
      <c r="G661" s="19"/>
      <c r="H661" s="19"/>
      <c r="I661" s="19"/>
      <c r="J661" s="19"/>
      <c r="K661" s="19"/>
      <c r="L661" s="19"/>
    </row>
    <row r="662">
      <c r="A662" s="19"/>
      <c r="B662" s="19"/>
      <c r="C662" s="19"/>
      <c r="D662" s="19"/>
      <c r="E662" s="19"/>
      <c r="F662" s="19"/>
      <c r="G662" s="19"/>
      <c r="H662" s="19"/>
      <c r="I662" s="19"/>
      <c r="J662" s="19"/>
      <c r="K662" s="19"/>
      <c r="L662" s="19"/>
    </row>
    <row r="663">
      <c r="A663" s="19"/>
      <c r="B663" s="19"/>
      <c r="C663" s="19"/>
      <c r="D663" s="19"/>
      <c r="E663" s="19"/>
      <c r="F663" s="19"/>
      <c r="G663" s="19"/>
      <c r="H663" s="19"/>
      <c r="I663" s="19"/>
      <c r="J663" s="19"/>
      <c r="K663" s="19"/>
      <c r="L663" s="19"/>
    </row>
    <row r="664">
      <c r="A664" s="19"/>
      <c r="B664" s="19"/>
      <c r="C664" s="19"/>
      <c r="D664" s="19"/>
      <c r="E664" s="19"/>
      <c r="F664" s="19"/>
      <c r="G664" s="19"/>
      <c r="H664" s="19"/>
      <c r="I664" s="19"/>
      <c r="J664" s="19"/>
      <c r="K664" s="19"/>
      <c r="L664" s="19"/>
    </row>
    <row r="665">
      <c r="A665" s="19"/>
      <c r="B665" s="19"/>
      <c r="C665" s="19"/>
      <c r="D665" s="19"/>
      <c r="E665" s="19"/>
      <c r="F665" s="19"/>
      <c r="G665" s="19"/>
      <c r="H665" s="19"/>
      <c r="I665" s="19"/>
      <c r="J665" s="19"/>
      <c r="K665" s="19"/>
      <c r="L665" s="19"/>
    </row>
    <row r="666">
      <c r="A666" s="19"/>
      <c r="B666" s="19"/>
      <c r="C666" s="19"/>
      <c r="D666" s="19"/>
      <c r="E666" s="19"/>
      <c r="F666" s="19"/>
      <c r="G666" s="19"/>
      <c r="H666" s="19"/>
      <c r="I666" s="19"/>
      <c r="J666" s="19"/>
      <c r="K666" s="19"/>
      <c r="L666" s="19"/>
    </row>
    <row r="667">
      <c r="A667" s="19"/>
      <c r="B667" s="19"/>
      <c r="C667" s="19"/>
      <c r="D667" s="19"/>
      <c r="E667" s="19"/>
      <c r="F667" s="19"/>
      <c r="G667" s="19"/>
      <c r="H667" s="19"/>
      <c r="I667" s="19"/>
      <c r="J667" s="19"/>
      <c r="K667" s="19"/>
      <c r="L667" s="19"/>
    </row>
    <row r="668">
      <c r="A668" s="19"/>
      <c r="B668" s="19"/>
      <c r="C668" s="19"/>
      <c r="D668" s="19"/>
      <c r="E668" s="19"/>
      <c r="F668" s="19"/>
      <c r="G668" s="19"/>
      <c r="H668" s="19"/>
      <c r="I668" s="19"/>
      <c r="J668" s="19"/>
      <c r="K668" s="19"/>
      <c r="L668" s="19"/>
    </row>
    <row r="669">
      <c r="A669" s="19"/>
      <c r="B669" s="19"/>
      <c r="C669" s="19"/>
      <c r="D669" s="19"/>
      <c r="E669" s="19"/>
      <c r="F669" s="19"/>
      <c r="G669" s="19"/>
      <c r="H669" s="19"/>
      <c r="I669" s="19"/>
      <c r="J669" s="19"/>
      <c r="K669" s="19"/>
      <c r="L669" s="19"/>
    </row>
    <row r="670">
      <c r="A670" s="19"/>
      <c r="B670" s="19"/>
      <c r="C670" s="19"/>
      <c r="D670" s="19"/>
      <c r="E670" s="19"/>
      <c r="F670" s="19"/>
      <c r="G670" s="19"/>
      <c r="H670" s="19"/>
      <c r="I670" s="19"/>
      <c r="J670" s="19"/>
      <c r="K670" s="19"/>
      <c r="L670" s="19"/>
    </row>
    <row r="671">
      <c r="A671" s="19"/>
      <c r="B671" s="19"/>
      <c r="C671" s="19"/>
      <c r="D671" s="19"/>
      <c r="E671" s="19"/>
      <c r="F671" s="19"/>
      <c r="G671" s="19"/>
      <c r="H671" s="19"/>
      <c r="I671" s="19"/>
      <c r="J671" s="19"/>
      <c r="K671" s="19"/>
      <c r="L671" s="19"/>
    </row>
    <row r="672">
      <c r="A672" s="19"/>
      <c r="B672" s="19"/>
      <c r="C672" s="19"/>
      <c r="D672" s="19"/>
      <c r="E672" s="19"/>
      <c r="F672" s="19"/>
      <c r="G672" s="19"/>
      <c r="H672" s="19"/>
      <c r="I672" s="19"/>
      <c r="J672" s="19"/>
      <c r="K672" s="19"/>
      <c r="L672" s="19"/>
    </row>
    <row r="673">
      <c r="A673" s="19"/>
      <c r="B673" s="19"/>
      <c r="C673" s="19"/>
      <c r="D673" s="19"/>
      <c r="E673" s="19"/>
      <c r="F673" s="19"/>
      <c r="G673" s="19"/>
      <c r="H673" s="19"/>
      <c r="I673" s="19"/>
      <c r="J673" s="19"/>
      <c r="K673" s="19"/>
      <c r="L673" s="19"/>
    </row>
    <row r="674">
      <c r="A674" s="19"/>
      <c r="B674" s="19"/>
      <c r="C674" s="19"/>
      <c r="D674" s="19"/>
      <c r="E674" s="19"/>
      <c r="F674" s="19"/>
      <c r="G674" s="19"/>
      <c r="H674" s="19"/>
      <c r="I674" s="19"/>
      <c r="J674" s="19"/>
      <c r="K674" s="19"/>
      <c r="L674" s="19"/>
    </row>
    <row r="675">
      <c r="A675" s="19"/>
      <c r="B675" s="19"/>
      <c r="C675" s="19"/>
      <c r="D675" s="19"/>
      <c r="E675" s="19"/>
      <c r="F675" s="19"/>
      <c r="G675" s="19"/>
      <c r="H675" s="19"/>
      <c r="I675" s="19"/>
      <c r="J675" s="19"/>
      <c r="K675" s="19"/>
      <c r="L675" s="19"/>
    </row>
    <row r="676">
      <c r="A676" s="19"/>
      <c r="B676" s="19"/>
      <c r="C676" s="19"/>
      <c r="D676" s="19"/>
      <c r="E676" s="19"/>
      <c r="F676" s="19"/>
      <c r="G676" s="19"/>
      <c r="H676" s="19"/>
      <c r="I676" s="19"/>
      <c r="J676" s="19"/>
      <c r="K676" s="19"/>
      <c r="L676" s="19"/>
    </row>
    <row r="677">
      <c r="A677" s="19"/>
      <c r="B677" s="19"/>
      <c r="C677" s="19"/>
      <c r="D677" s="19"/>
      <c r="E677" s="19"/>
      <c r="F677" s="19"/>
      <c r="G677" s="19"/>
      <c r="H677" s="19"/>
      <c r="I677" s="19"/>
      <c r="J677" s="19"/>
      <c r="K677" s="19"/>
      <c r="L677" s="19"/>
    </row>
    <row r="678">
      <c r="A678" s="19"/>
      <c r="B678" s="19"/>
      <c r="C678" s="19"/>
      <c r="D678" s="19"/>
      <c r="E678" s="19"/>
      <c r="F678" s="19"/>
      <c r="G678" s="19"/>
      <c r="H678" s="19"/>
      <c r="I678" s="19"/>
      <c r="J678" s="19"/>
      <c r="K678" s="19"/>
      <c r="L678" s="19"/>
    </row>
    <row r="679">
      <c r="A679" s="19"/>
      <c r="B679" s="19"/>
      <c r="C679" s="19"/>
      <c r="D679" s="19"/>
      <c r="E679" s="19"/>
      <c r="F679" s="19"/>
      <c r="G679" s="19"/>
      <c r="H679" s="19"/>
      <c r="I679" s="19"/>
      <c r="J679" s="19"/>
      <c r="K679" s="19"/>
      <c r="L679" s="19"/>
    </row>
    <row r="680">
      <c r="A680" s="19"/>
      <c r="B680" s="19"/>
      <c r="C680" s="19"/>
      <c r="D680" s="19"/>
      <c r="E680" s="19"/>
      <c r="F680" s="19"/>
      <c r="G680" s="19"/>
      <c r="H680" s="19"/>
      <c r="I680" s="19"/>
      <c r="J680" s="19"/>
      <c r="K680" s="19"/>
      <c r="L680" s="19"/>
    </row>
    <row r="681">
      <c r="A681" s="19"/>
      <c r="B681" s="19"/>
      <c r="C681" s="19"/>
      <c r="D681" s="19"/>
      <c r="E681" s="19"/>
      <c r="F681" s="19"/>
      <c r="G681" s="19"/>
      <c r="H681" s="19"/>
      <c r="I681" s="19"/>
      <c r="J681" s="19"/>
      <c r="K681" s="19"/>
      <c r="L681" s="19"/>
    </row>
    <row r="682">
      <c r="A682" s="19"/>
      <c r="B682" s="19"/>
      <c r="C682" s="19"/>
      <c r="D682" s="19"/>
      <c r="E682" s="19"/>
      <c r="F682" s="19"/>
      <c r="G682" s="19"/>
      <c r="H682" s="19"/>
      <c r="I682" s="19"/>
      <c r="J682" s="19"/>
      <c r="K682" s="19"/>
      <c r="L682" s="19"/>
    </row>
    <row r="683">
      <c r="A683" s="19"/>
      <c r="B683" s="19"/>
      <c r="C683" s="19"/>
      <c r="D683" s="19"/>
      <c r="E683" s="19"/>
      <c r="F683" s="19"/>
      <c r="G683" s="19"/>
      <c r="H683" s="19"/>
      <c r="I683" s="19"/>
      <c r="J683" s="19"/>
      <c r="K683" s="19"/>
      <c r="L683" s="19"/>
    </row>
    <row r="684">
      <c r="A684" s="19"/>
      <c r="B684" s="19"/>
      <c r="C684" s="19"/>
      <c r="D684" s="19"/>
      <c r="E684" s="19"/>
      <c r="F684" s="19"/>
      <c r="G684" s="19"/>
      <c r="H684" s="19"/>
      <c r="I684" s="19"/>
      <c r="J684" s="19"/>
      <c r="K684" s="19"/>
      <c r="L684" s="19"/>
    </row>
    <row r="685">
      <c r="A685" s="19"/>
      <c r="B685" s="19"/>
      <c r="C685" s="19"/>
      <c r="D685" s="19"/>
      <c r="E685" s="19"/>
      <c r="F685" s="19"/>
      <c r="G685" s="19"/>
      <c r="H685" s="19"/>
      <c r="I685" s="19"/>
      <c r="J685" s="19"/>
      <c r="K685" s="19"/>
      <c r="L685" s="19"/>
    </row>
    <row r="686">
      <c r="A686" s="19"/>
      <c r="B686" s="19"/>
      <c r="C686" s="19"/>
      <c r="D686" s="19"/>
      <c r="E686" s="19"/>
      <c r="F686" s="19"/>
      <c r="G686" s="19"/>
      <c r="H686" s="19"/>
      <c r="I686" s="19"/>
      <c r="J686" s="19"/>
      <c r="K686" s="19"/>
      <c r="L686" s="19"/>
    </row>
    <row r="687">
      <c r="A687" s="19"/>
      <c r="B687" s="19"/>
      <c r="C687" s="19"/>
      <c r="D687" s="19"/>
      <c r="E687" s="19"/>
      <c r="F687" s="19"/>
      <c r="G687" s="19"/>
      <c r="H687" s="19"/>
      <c r="I687" s="19"/>
      <c r="J687" s="19"/>
      <c r="K687" s="19"/>
      <c r="L687" s="19"/>
    </row>
    <row r="688">
      <c r="A688" s="19"/>
      <c r="B688" s="19"/>
      <c r="C688" s="19"/>
      <c r="D688" s="19"/>
      <c r="E688" s="19"/>
      <c r="F688" s="19"/>
      <c r="G688" s="19"/>
      <c r="H688" s="19"/>
      <c r="I688" s="19"/>
      <c r="J688" s="19"/>
      <c r="K688" s="19"/>
      <c r="L688" s="19"/>
    </row>
    <row r="689">
      <c r="A689" s="19"/>
      <c r="B689" s="19"/>
      <c r="C689" s="19"/>
      <c r="D689" s="19"/>
      <c r="E689" s="19"/>
      <c r="F689" s="19"/>
      <c r="G689" s="19"/>
      <c r="H689" s="19"/>
      <c r="I689" s="19"/>
      <c r="J689" s="19"/>
      <c r="K689" s="19"/>
      <c r="L689" s="19"/>
    </row>
    <row r="690">
      <c r="A690" s="19"/>
      <c r="B690" s="19"/>
      <c r="C690" s="19"/>
      <c r="D690" s="19"/>
      <c r="E690" s="19"/>
      <c r="F690" s="19"/>
      <c r="G690" s="19"/>
      <c r="H690" s="19"/>
      <c r="I690" s="19"/>
      <c r="J690" s="19"/>
      <c r="K690" s="19"/>
      <c r="L690" s="19"/>
    </row>
    <row r="691">
      <c r="A691" s="19"/>
      <c r="B691" s="19"/>
      <c r="C691" s="19"/>
      <c r="D691" s="19"/>
      <c r="E691" s="19"/>
      <c r="F691" s="19"/>
      <c r="G691" s="19"/>
      <c r="H691" s="19"/>
      <c r="I691" s="19"/>
      <c r="J691" s="19"/>
      <c r="K691" s="19"/>
      <c r="L691" s="19"/>
    </row>
    <row r="692">
      <c r="A692" s="19"/>
      <c r="B692" s="19"/>
      <c r="C692" s="19"/>
      <c r="D692" s="19"/>
      <c r="E692" s="19"/>
      <c r="F692" s="19"/>
      <c r="G692" s="19"/>
      <c r="H692" s="19"/>
      <c r="I692" s="19"/>
      <c r="J692" s="19"/>
      <c r="K692" s="19"/>
      <c r="L692" s="19"/>
    </row>
    <row r="693">
      <c r="A693" s="19"/>
      <c r="B693" s="19"/>
      <c r="C693" s="19"/>
      <c r="D693" s="19"/>
      <c r="E693" s="19"/>
      <c r="F693" s="19"/>
      <c r="G693" s="19"/>
      <c r="H693" s="19"/>
      <c r="I693" s="19"/>
      <c r="J693" s="19"/>
      <c r="K693" s="19"/>
      <c r="L693" s="19"/>
    </row>
    <row r="694">
      <c r="A694" s="19"/>
      <c r="B694" s="19"/>
      <c r="C694" s="19"/>
      <c r="D694" s="19"/>
      <c r="E694" s="19"/>
      <c r="F694" s="19"/>
      <c r="G694" s="19"/>
      <c r="H694" s="19"/>
      <c r="I694" s="19"/>
      <c r="J694" s="19"/>
      <c r="K694" s="19"/>
      <c r="L694" s="19"/>
    </row>
    <row r="695">
      <c r="A695" s="19"/>
      <c r="B695" s="19"/>
      <c r="C695" s="19"/>
      <c r="D695" s="19"/>
      <c r="E695" s="19"/>
      <c r="F695" s="19"/>
      <c r="G695" s="19"/>
      <c r="H695" s="19"/>
      <c r="I695" s="19"/>
      <c r="J695" s="19"/>
      <c r="K695" s="19"/>
      <c r="L695" s="19"/>
    </row>
    <row r="696">
      <c r="A696" s="19"/>
      <c r="B696" s="19"/>
      <c r="C696" s="19"/>
      <c r="D696" s="19"/>
      <c r="E696" s="19"/>
      <c r="F696" s="19"/>
      <c r="G696" s="19"/>
      <c r="H696" s="19"/>
      <c r="I696" s="19"/>
      <c r="J696" s="19"/>
      <c r="K696" s="19"/>
      <c r="L696" s="19"/>
    </row>
    <row r="697">
      <c r="A697" s="19"/>
      <c r="B697" s="19"/>
      <c r="C697" s="19"/>
      <c r="D697" s="19"/>
      <c r="E697" s="19"/>
      <c r="F697" s="19"/>
      <c r="G697" s="19"/>
      <c r="H697" s="19"/>
      <c r="I697" s="19"/>
      <c r="J697" s="19"/>
      <c r="K697" s="19"/>
      <c r="L697" s="19"/>
    </row>
    <row r="698">
      <c r="A698" s="19"/>
      <c r="B698" s="19"/>
      <c r="C698" s="19"/>
      <c r="D698" s="19"/>
      <c r="E698" s="19"/>
      <c r="F698" s="19"/>
      <c r="G698" s="19"/>
      <c r="H698" s="19"/>
      <c r="I698" s="19"/>
      <c r="J698" s="19"/>
      <c r="K698" s="19"/>
      <c r="L698" s="19"/>
    </row>
    <row r="699">
      <c r="A699" s="19"/>
      <c r="B699" s="19"/>
      <c r="C699" s="19"/>
      <c r="D699" s="19"/>
      <c r="E699" s="19"/>
      <c r="F699" s="19"/>
      <c r="G699" s="19"/>
      <c r="H699" s="19"/>
      <c r="I699" s="19"/>
      <c r="J699" s="19"/>
      <c r="K699" s="19"/>
      <c r="L699" s="19"/>
    </row>
    <row r="700">
      <c r="A700" s="19"/>
      <c r="B700" s="19"/>
      <c r="C700" s="19"/>
      <c r="D700" s="19"/>
      <c r="E700" s="19"/>
      <c r="F700" s="19"/>
      <c r="G700" s="19"/>
      <c r="H700" s="19"/>
      <c r="I700" s="19"/>
      <c r="J700" s="19"/>
      <c r="K700" s="19"/>
      <c r="L700" s="19"/>
    </row>
    <row r="701">
      <c r="A701" s="19"/>
      <c r="B701" s="19"/>
      <c r="C701" s="19"/>
      <c r="D701" s="19"/>
      <c r="E701" s="19"/>
      <c r="F701" s="19"/>
      <c r="G701" s="19"/>
      <c r="H701" s="19"/>
      <c r="I701" s="19"/>
      <c r="J701" s="19"/>
      <c r="K701" s="19"/>
      <c r="L701" s="19"/>
    </row>
    <row r="702">
      <c r="A702" s="19"/>
      <c r="B702" s="19"/>
      <c r="C702" s="19"/>
      <c r="D702" s="19"/>
      <c r="E702" s="19"/>
      <c r="F702" s="19"/>
      <c r="G702" s="19"/>
      <c r="H702" s="19"/>
      <c r="I702" s="19"/>
      <c r="J702" s="19"/>
      <c r="K702" s="19"/>
      <c r="L702" s="19"/>
    </row>
    <row r="703">
      <c r="A703" s="19"/>
      <c r="B703" s="19"/>
      <c r="C703" s="19"/>
      <c r="D703" s="19"/>
      <c r="E703" s="19"/>
      <c r="F703" s="19"/>
      <c r="G703" s="19"/>
      <c r="H703" s="19"/>
      <c r="I703" s="19"/>
      <c r="J703" s="19"/>
      <c r="K703" s="19"/>
      <c r="L703" s="19"/>
    </row>
    <row r="704">
      <c r="A704" s="19"/>
      <c r="B704" s="19"/>
      <c r="C704" s="19"/>
      <c r="D704" s="19"/>
      <c r="E704" s="19"/>
      <c r="F704" s="19"/>
      <c r="G704" s="19"/>
      <c r="H704" s="19"/>
      <c r="I704" s="19"/>
      <c r="J704" s="19"/>
      <c r="K704" s="19"/>
      <c r="L704" s="19"/>
    </row>
    <row r="705">
      <c r="A705" s="19"/>
      <c r="B705" s="19"/>
      <c r="C705" s="19"/>
      <c r="D705" s="19"/>
      <c r="E705" s="19"/>
      <c r="F705" s="19"/>
      <c r="G705" s="19"/>
      <c r="H705" s="19"/>
      <c r="I705" s="19"/>
      <c r="J705" s="19"/>
      <c r="K705" s="19"/>
      <c r="L705" s="19"/>
    </row>
    <row r="706">
      <c r="A706" s="19"/>
      <c r="B706" s="19"/>
      <c r="C706" s="19"/>
      <c r="D706" s="19"/>
      <c r="E706" s="19"/>
      <c r="F706" s="19"/>
      <c r="G706" s="19"/>
      <c r="H706" s="19"/>
      <c r="I706" s="19"/>
      <c r="J706" s="19"/>
      <c r="K706" s="19"/>
      <c r="L706" s="19"/>
    </row>
    <row r="707">
      <c r="A707" s="19"/>
      <c r="B707" s="19"/>
      <c r="C707" s="19"/>
      <c r="D707" s="19"/>
      <c r="E707" s="19"/>
      <c r="F707" s="19"/>
      <c r="G707" s="19"/>
      <c r="H707" s="19"/>
      <c r="I707" s="19"/>
      <c r="J707" s="19"/>
      <c r="K707" s="19"/>
      <c r="L707" s="19"/>
    </row>
    <row r="708">
      <c r="A708" s="19"/>
      <c r="B708" s="19"/>
      <c r="C708" s="19"/>
      <c r="D708" s="19"/>
      <c r="E708" s="19"/>
      <c r="F708" s="19"/>
      <c r="G708" s="19"/>
      <c r="H708" s="19"/>
      <c r="I708" s="19"/>
      <c r="J708" s="19"/>
      <c r="K708" s="19"/>
      <c r="L708" s="19"/>
    </row>
    <row r="709">
      <c r="A709" s="19"/>
      <c r="B709" s="19"/>
      <c r="C709" s="19"/>
      <c r="D709" s="19"/>
      <c r="E709" s="19"/>
      <c r="F709" s="19"/>
      <c r="G709" s="19"/>
      <c r="H709" s="19"/>
      <c r="I709" s="19"/>
      <c r="J709" s="19"/>
      <c r="K709" s="19"/>
      <c r="L709" s="19"/>
    </row>
    <row r="710">
      <c r="A710" s="19"/>
      <c r="B710" s="19"/>
      <c r="C710" s="19"/>
      <c r="D710" s="19"/>
      <c r="E710" s="19"/>
      <c r="F710" s="19"/>
      <c r="G710" s="19"/>
      <c r="H710" s="19"/>
      <c r="I710" s="19"/>
      <c r="J710" s="19"/>
      <c r="K710" s="19"/>
      <c r="L710" s="19"/>
    </row>
    <row r="711">
      <c r="A711" s="19"/>
      <c r="B711" s="19"/>
      <c r="C711" s="19"/>
      <c r="D711" s="19"/>
      <c r="E711" s="19"/>
      <c r="F711" s="19"/>
      <c r="G711" s="19"/>
      <c r="H711" s="19"/>
      <c r="I711" s="19"/>
      <c r="J711" s="19"/>
      <c r="K711" s="19"/>
      <c r="L711" s="19"/>
    </row>
    <row r="712">
      <c r="A712" s="19"/>
      <c r="B712" s="19"/>
      <c r="C712" s="19"/>
      <c r="D712" s="19"/>
      <c r="E712" s="19"/>
      <c r="F712" s="19"/>
      <c r="G712" s="19"/>
      <c r="H712" s="19"/>
      <c r="I712" s="19"/>
      <c r="J712" s="19"/>
      <c r="K712" s="19"/>
      <c r="L712" s="19"/>
    </row>
    <row r="713">
      <c r="A713" s="19"/>
      <c r="B713" s="19"/>
      <c r="C713" s="19"/>
      <c r="D713" s="19"/>
      <c r="E713" s="19"/>
      <c r="F713" s="19"/>
      <c r="G713" s="19"/>
      <c r="H713" s="19"/>
      <c r="I713" s="19"/>
      <c r="J713" s="19"/>
      <c r="K713" s="19"/>
      <c r="L713" s="19"/>
    </row>
    <row r="714">
      <c r="A714" s="19"/>
      <c r="B714" s="19"/>
      <c r="C714" s="19"/>
      <c r="D714" s="19"/>
      <c r="E714" s="19"/>
      <c r="F714" s="19"/>
      <c r="G714" s="19"/>
      <c r="H714" s="19"/>
      <c r="I714" s="19"/>
      <c r="J714" s="19"/>
      <c r="K714" s="19"/>
      <c r="L714" s="19"/>
    </row>
    <row r="715">
      <c r="A715" s="19"/>
      <c r="B715" s="19"/>
      <c r="C715" s="19"/>
      <c r="D715" s="19"/>
      <c r="E715" s="19"/>
      <c r="F715" s="19"/>
      <c r="G715" s="19"/>
      <c r="H715" s="19"/>
      <c r="I715" s="19"/>
      <c r="J715" s="19"/>
      <c r="K715" s="19"/>
      <c r="L715" s="19"/>
    </row>
    <row r="716">
      <c r="A716" s="19"/>
      <c r="B716" s="19"/>
      <c r="C716" s="19"/>
      <c r="D716" s="19"/>
      <c r="E716" s="19"/>
      <c r="F716" s="19"/>
      <c r="G716" s="19"/>
      <c r="H716" s="19"/>
      <c r="I716" s="19"/>
      <c r="J716" s="19"/>
      <c r="K716" s="19"/>
      <c r="L716" s="19"/>
    </row>
    <row r="717">
      <c r="A717" s="19"/>
      <c r="B717" s="19"/>
      <c r="C717" s="19"/>
      <c r="D717" s="19"/>
      <c r="E717" s="19"/>
      <c r="F717" s="19"/>
      <c r="G717" s="19"/>
      <c r="H717" s="19"/>
      <c r="I717" s="19"/>
      <c r="J717" s="19"/>
      <c r="K717" s="19"/>
      <c r="L717" s="19"/>
    </row>
    <row r="718">
      <c r="A718" s="19"/>
      <c r="B718" s="19"/>
      <c r="C718" s="19"/>
      <c r="D718" s="19"/>
      <c r="E718" s="19"/>
      <c r="F718" s="19"/>
      <c r="G718" s="19"/>
      <c r="H718" s="19"/>
      <c r="I718" s="19"/>
      <c r="J718" s="19"/>
      <c r="K718" s="19"/>
      <c r="L718" s="19"/>
    </row>
    <row r="719">
      <c r="A719" s="19"/>
      <c r="B719" s="19"/>
      <c r="C719" s="19"/>
      <c r="D719" s="19"/>
      <c r="E719" s="19"/>
      <c r="F719" s="19"/>
      <c r="G719" s="19"/>
      <c r="H719" s="19"/>
      <c r="I719" s="19"/>
      <c r="J719" s="19"/>
      <c r="K719" s="19"/>
      <c r="L719" s="19"/>
    </row>
    <row r="720">
      <c r="A720" s="19"/>
      <c r="B720" s="19"/>
      <c r="C720" s="19"/>
      <c r="D720" s="19"/>
      <c r="E720" s="19"/>
      <c r="F720" s="19"/>
      <c r="G720" s="19"/>
      <c r="H720" s="19"/>
      <c r="I720" s="19"/>
      <c r="J720" s="19"/>
      <c r="K720" s="19"/>
      <c r="L720" s="19"/>
    </row>
    <row r="721">
      <c r="A721" s="19"/>
      <c r="B721" s="19"/>
      <c r="C721" s="19"/>
      <c r="D721" s="19"/>
      <c r="E721" s="19"/>
      <c r="F721" s="19"/>
      <c r="G721" s="19"/>
      <c r="H721" s="19"/>
      <c r="I721" s="19"/>
      <c r="J721" s="19"/>
      <c r="K721" s="19"/>
      <c r="L721" s="19"/>
    </row>
    <row r="722">
      <c r="A722" s="19"/>
      <c r="B722" s="19"/>
      <c r="C722" s="19"/>
      <c r="D722" s="19"/>
      <c r="E722" s="19"/>
      <c r="F722" s="19"/>
      <c r="G722" s="19"/>
      <c r="H722" s="19"/>
      <c r="I722" s="19"/>
      <c r="J722" s="19"/>
      <c r="K722" s="19"/>
      <c r="L722" s="19"/>
    </row>
    <row r="723">
      <c r="A723" s="19"/>
      <c r="B723" s="19"/>
      <c r="C723" s="19"/>
      <c r="D723" s="19"/>
      <c r="E723" s="19"/>
      <c r="F723" s="19"/>
      <c r="G723" s="19"/>
      <c r="H723" s="19"/>
      <c r="I723" s="19"/>
      <c r="J723" s="19"/>
      <c r="K723" s="19"/>
      <c r="L723" s="19"/>
    </row>
    <row r="724">
      <c r="A724" s="19"/>
      <c r="B724" s="19"/>
      <c r="C724" s="19"/>
      <c r="D724" s="19"/>
      <c r="E724" s="19"/>
      <c r="F724" s="19"/>
      <c r="G724" s="19"/>
      <c r="H724" s="19"/>
      <c r="I724" s="19"/>
      <c r="J724" s="19"/>
      <c r="K724" s="19"/>
      <c r="L724" s="19"/>
    </row>
    <row r="725">
      <c r="A725" s="19"/>
      <c r="B725" s="19"/>
      <c r="C725" s="19"/>
      <c r="D725" s="19"/>
      <c r="E725" s="19"/>
      <c r="F725" s="19"/>
      <c r="G725" s="19"/>
      <c r="H725" s="19"/>
      <c r="I725" s="19"/>
      <c r="J725" s="19"/>
      <c r="K725" s="19"/>
      <c r="L725" s="19"/>
    </row>
    <row r="726">
      <c r="A726" s="19"/>
      <c r="B726" s="19"/>
      <c r="C726" s="19"/>
      <c r="D726" s="19"/>
      <c r="E726" s="19"/>
      <c r="F726" s="19"/>
      <c r="G726" s="19"/>
      <c r="H726" s="19"/>
      <c r="I726" s="19"/>
      <c r="J726" s="19"/>
      <c r="K726" s="19"/>
      <c r="L726" s="19"/>
    </row>
    <row r="727">
      <c r="A727" s="19"/>
      <c r="B727" s="19"/>
      <c r="C727" s="19"/>
      <c r="D727" s="19"/>
      <c r="E727" s="19"/>
      <c r="F727" s="19"/>
      <c r="G727" s="19"/>
      <c r="H727" s="19"/>
      <c r="I727" s="19"/>
      <c r="J727" s="19"/>
      <c r="K727" s="19"/>
      <c r="L727" s="19"/>
    </row>
    <row r="728">
      <c r="A728" s="19"/>
      <c r="B728" s="19"/>
      <c r="C728" s="19"/>
      <c r="D728" s="19"/>
      <c r="E728" s="19"/>
      <c r="F728" s="19"/>
      <c r="G728" s="19"/>
      <c r="H728" s="19"/>
      <c r="I728" s="19"/>
      <c r="J728" s="19"/>
      <c r="K728" s="19"/>
      <c r="L728" s="19"/>
    </row>
    <row r="729">
      <c r="A729" s="19"/>
      <c r="B729" s="19"/>
      <c r="C729" s="19"/>
      <c r="D729" s="19"/>
      <c r="E729" s="19"/>
      <c r="F729" s="19"/>
      <c r="G729" s="19"/>
      <c r="H729" s="19"/>
      <c r="I729" s="19"/>
      <c r="J729" s="19"/>
      <c r="K729" s="19"/>
      <c r="L729" s="19"/>
    </row>
    <row r="730">
      <c r="A730" s="19"/>
      <c r="B730" s="19"/>
      <c r="C730" s="19"/>
      <c r="D730" s="19"/>
      <c r="E730" s="19"/>
      <c r="F730" s="19"/>
      <c r="G730" s="19"/>
      <c r="H730" s="19"/>
      <c r="I730" s="19"/>
      <c r="J730" s="19"/>
      <c r="K730" s="19"/>
      <c r="L730" s="19"/>
    </row>
    <row r="731">
      <c r="A731" s="19"/>
      <c r="B731" s="19"/>
      <c r="C731" s="19"/>
      <c r="D731" s="19"/>
      <c r="E731" s="19"/>
      <c r="F731" s="19"/>
      <c r="G731" s="19"/>
      <c r="H731" s="19"/>
      <c r="I731" s="19"/>
      <c r="J731" s="19"/>
      <c r="K731" s="19"/>
      <c r="L731" s="19"/>
    </row>
    <row r="732">
      <c r="A732" s="19"/>
      <c r="B732" s="19"/>
      <c r="C732" s="19"/>
      <c r="D732" s="19"/>
      <c r="E732" s="19"/>
      <c r="F732" s="19"/>
      <c r="G732" s="19"/>
      <c r="H732" s="19"/>
      <c r="I732" s="19"/>
      <c r="J732" s="19"/>
      <c r="K732" s="19"/>
      <c r="L732" s="19"/>
    </row>
    <row r="733">
      <c r="A733" s="19"/>
      <c r="B733" s="19"/>
      <c r="C733" s="19"/>
      <c r="D733" s="19"/>
      <c r="E733" s="19"/>
      <c r="F733" s="19"/>
      <c r="G733" s="19"/>
      <c r="H733" s="19"/>
      <c r="I733" s="19"/>
      <c r="J733" s="19"/>
      <c r="K733" s="19"/>
      <c r="L733" s="19"/>
    </row>
    <row r="734">
      <c r="A734" s="19"/>
      <c r="B734" s="19"/>
      <c r="C734" s="19"/>
      <c r="D734" s="19"/>
      <c r="E734" s="19"/>
      <c r="F734" s="19"/>
      <c r="G734" s="19"/>
      <c r="H734" s="19"/>
      <c r="I734" s="19"/>
      <c r="J734" s="19"/>
      <c r="K734" s="19"/>
      <c r="L734" s="19"/>
    </row>
    <row r="735">
      <c r="A735" s="19"/>
      <c r="B735" s="19"/>
      <c r="C735" s="19"/>
      <c r="D735" s="19"/>
      <c r="E735" s="19"/>
      <c r="F735" s="19"/>
      <c r="G735" s="19"/>
      <c r="H735" s="19"/>
      <c r="I735" s="19"/>
      <c r="J735" s="19"/>
      <c r="K735" s="19"/>
      <c r="L735" s="19"/>
    </row>
    <row r="736">
      <c r="A736" s="19"/>
      <c r="B736" s="19"/>
      <c r="C736" s="19"/>
      <c r="D736" s="19"/>
      <c r="E736" s="19"/>
      <c r="F736" s="19"/>
      <c r="G736" s="19"/>
      <c r="H736" s="19"/>
      <c r="I736" s="19"/>
      <c r="J736" s="19"/>
      <c r="K736" s="19"/>
      <c r="L736" s="19"/>
    </row>
    <row r="737">
      <c r="A737" s="19"/>
      <c r="B737" s="19"/>
      <c r="C737" s="19"/>
      <c r="D737" s="19"/>
      <c r="E737" s="19"/>
      <c r="F737" s="19"/>
      <c r="G737" s="19"/>
      <c r="H737" s="19"/>
      <c r="I737" s="19"/>
      <c r="J737" s="19"/>
      <c r="K737" s="19"/>
      <c r="L737" s="19"/>
    </row>
    <row r="738">
      <c r="A738" s="19"/>
      <c r="B738" s="19"/>
      <c r="C738" s="19"/>
      <c r="D738" s="19"/>
      <c r="E738" s="19"/>
      <c r="F738" s="19"/>
      <c r="G738" s="19"/>
      <c r="H738" s="19"/>
      <c r="I738" s="19"/>
      <c r="J738" s="19"/>
      <c r="K738" s="19"/>
      <c r="L738" s="19"/>
    </row>
    <row r="739">
      <c r="A739" s="19"/>
      <c r="B739" s="19"/>
      <c r="C739" s="19"/>
      <c r="D739" s="19"/>
      <c r="E739" s="19"/>
      <c r="F739" s="19"/>
      <c r="G739" s="19"/>
      <c r="H739" s="19"/>
      <c r="I739" s="19"/>
      <c r="J739" s="19"/>
      <c r="K739" s="19"/>
      <c r="L739" s="19"/>
    </row>
    <row r="740">
      <c r="A740" s="19"/>
      <c r="B740" s="19"/>
      <c r="C740" s="19"/>
      <c r="D740" s="19"/>
      <c r="E740" s="19"/>
      <c r="F740" s="19"/>
      <c r="G740" s="19"/>
      <c r="H740" s="19"/>
      <c r="I740" s="19"/>
      <c r="J740" s="19"/>
      <c r="K740" s="19"/>
      <c r="L740" s="19"/>
    </row>
    <row r="741">
      <c r="A741" s="19"/>
      <c r="B741" s="19"/>
      <c r="C741" s="19"/>
      <c r="D741" s="19"/>
      <c r="E741" s="19"/>
      <c r="F741" s="19"/>
      <c r="G741" s="19"/>
      <c r="H741" s="19"/>
      <c r="I741" s="19"/>
      <c r="J741" s="19"/>
      <c r="K741" s="19"/>
      <c r="L741" s="19"/>
    </row>
    <row r="742">
      <c r="A742" s="19"/>
      <c r="B742" s="19"/>
      <c r="C742" s="19"/>
      <c r="D742" s="19"/>
      <c r="E742" s="19"/>
      <c r="F742" s="19"/>
      <c r="G742" s="19"/>
      <c r="H742" s="19"/>
      <c r="I742" s="19"/>
      <c r="J742" s="19"/>
      <c r="K742" s="19"/>
      <c r="L742" s="19"/>
    </row>
    <row r="743">
      <c r="A743" s="19"/>
      <c r="B743" s="19"/>
      <c r="C743" s="19"/>
      <c r="D743" s="19"/>
      <c r="E743" s="19"/>
      <c r="F743" s="19"/>
      <c r="G743" s="19"/>
      <c r="H743" s="19"/>
      <c r="I743" s="19"/>
      <c r="J743" s="19"/>
      <c r="K743" s="19"/>
      <c r="L743" s="19"/>
    </row>
    <row r="744">
      <c r="A744" s="19"/>
      <c r="B744" s="19"/>
      <c r="C744" s="19"/>
      <c r="D744" s="19"/>
      <c r="E744" s="19"/>
      <c r="F744" s="19"/>
      <c r="G744" s="19"/>
      <c r="H744" s="19"/>
      <c r="I744" s="19"/>
      <c r="J744" s="19"/>
      <c r="K744" s="19"/>
      <c r="L744" s="19"/>
    </row>
    <row r="745">
      <c r="A745" s="19"/>
      <c r="B745" s="19"/>
      <c r="C745" s="19"/>
      <c r="D745" s="19"/>
      <c r="E745" s="19"/>
      <c r="F745" s="19"/>
      <c r="G745" s="19"/>
      <c r="H745" s="19"/>
      <c r="I745" s="19"/>
      <c r="J745" s="19"/>
      <c r="K745" s="19"/>
      <c r="L745" s="19"/>
    </row>
    <row r="746">
      <c r="A746" s="19"/>
      <c r="B746" s="19"/>
      <c r="C746" s="19"/>
      <c r="D746" s="19"/>
      <c r="E746" s="19"/>
      <c r="F746" s="19"/>
      <c r="G746" s="19"/>
      <c r="H746" s="19"/>
      <c r="I746" s="19"/>
      <c r="J746" s="19"/>
      <c r="K746" s="19"/>
      <c r="L746" s="19"/>
    </row>
    <row r="747">
      <c r="A747" s="19"/>
      <c r="B747" s="19"/>
      <c r="C747" s="19"/>
      <c r="D747" s="19"/>
      <c r="E747" s="19"/>
      <c r="F747" s="19"/>
      <c r="G747" s="19"/>
      <c r="H747" s="19"/>
      <c r="I747" s="19"/>
      <c r="J747" s="19"/>
      <c r="K747" s="19"/>
      <c r="L747" s="19"/>
    </row>
    <row r="748">
      <c r="A748" s="19"/>
      <c r="B748" s="19"/>
      <c r="C748" s="19"/>
      <c r="D748" s="19"/>
      <c r="E748" s="19"/>
      <c r="F748" s="19"/>
      <c r="G748" s="19"/>
      <c r="H748" s="19"/>
      <c r="I748" s="19"/>
      <c r="J748" s="19"/>
      <c r="K748" s="19"/>
      <c r="L748" s="19"/>
    </row>
    <row r="749">
      <c r="A749" s="19"/>
      <c r="B749" s="19"/>
      <c r="C749" s="19"/>
      <c r="D749" s="19"/>
      <c r="E749" s="19"/>
      <c r="F749" s="19"/>
      <c r="G749" s="19"/>
      <c r="H749" s="19"/>
      <c r="I749" s="19"/>
      <c r="J749" s="19"/>
      <c r="K749" s="19"/>
      <c r="L749" s="19"/>
    </row>
    <row r="750">
      <c r="A750" s="19"/>
      <c r="B750" s="19"/>
      <c r="C750" s="19"/>
      <c r="D750" s="19"/>
      <c r="E750" s="19"/>
      <c r="F750" s="19"/>
      <c r="G750" s="19"/>
      <c r="H750" s="19"/>
      <c r="I750" s="19"/>
      <c r="J750" s="19"/>
      <c r="K750" s="19"/>
      <c r="L750" s="19"/>
    </row>
    <row r="751">
      <c r="A751" s="19"/>
      <c r="B751" s="19"/>
      <c r="C751" s="19"/>
      <c r="D751" s="19"/>
      <c r="E751" s="19"/>
      <c r="F751" s="19"/>
      <c r="G751" s="19"/>
      <c r="H751" s="19"/>
      <c r="I751" s="19"/>
      <c r="J751" s="19"/>
      <c r="K751" s="19"/>
      <c r="L751" s="19"/>
    </row>
    <row r="752">
      <c r="A752" s="19"/>
      <c r="B752" s="19"/>
      <c r="C752" s="19"/>
      <c r="D752" s="19"/>
      <c r="E752" s="19"/>
      <c r="F752" s="19"/>
      <c r="G752" s="19"/>
      <c r="H752" s="19"/>
      <c r="I752" s="19"/>
      <c r="J752" s="19"/>
      <c r="K752" s="19"/>
      <c r="L752" s="19"/>
    </row>
    <row r="753">
      <c r="A753" s="19"/>
      <c r="B753" s="19"/>
      <c r="C753" s="19"/>
      <c r="D753" s="19"/>
      <c r="E753" s="19"/>
      <c r="F753" s="19"/>
      <c r="G753" s="19"/>
      <c r="H753" s="19"/>
      <c r="I753" s="19"/>
      <c r="J753" s="19"/>
      <c r="K753" s="19"/>
      <c r="L753" s="19"/>
    </row>
    <row r="754">
      <c r="A754" s="19"/>
      <c r="B754" s="19"/>
      <c r="C754" s="19"/>
      <c r="D754" s="19"/>
      <c r="E754" s="19"/>
      <c r="F754" s="19"/>
      <c r="G754" s="19"/>
      <c r="H754" s="19"/>
      <c r="I754" s="19"/>
      <c r="J754" s="19"/>
      <c r="K754" s="19"/>
      <c r="L754" s="19"/>
    </row>
    <row r="755">
      <c r="A755" s="19"/>
      <c r="B755" s="19"/>
      <c r="C755" s="19"/>
      <c r="D755" s="19"/>
      <c r="E755" s="19"/>
      <c r="F755" s="19"/>
      <c r="G755" s="19"/>
      <c r="H755" s="19"/>
      <c r="I755" s="19"/>
      <c r="J755" s="19"/>
      <c r="K755" s="19"/>
      <c r="L755" s="19"/>
    </row>
    <row r="756">
      <c r="A756" s="19"/>
      <c r="B756" s="19"/>
      <c r="C756" s="19"/>
      <c r="D756" s="19"/>
      <c r="E756" s="19"/>
      <c r="F756" s="19"/>
      <c r="G756" s="19"/>
      <c r="H756" s="19"/>
      <c r="I756" s="19"/>
      <c r="J756" s="19"/>
      <c r="K756" s="19"/>
      <c r="L756" s="19"/>
    </row>
    <row r="757">
      <c r="A757" s="19"/>
      <c r="B757" s="19"/>
      <c r="C757" s="19"/>
      <c r="D757" s="19"/>
      <c r="E757" s="19"/>
      <c r="F757" s="19"/>
      <c r="G757" s="19"/>
      <c r="H757" s="19"/>
      <c r="I757" s="19"/>
      <c r="J757" s="19"/>
      <c r="K757" s="19"/>
      <c r="L757" s="19"/>
    </row>
    <row r="758">
      <c r="A758" s="19"/>
      <c r="B758" s="19"/>
      <c r="C758" s="19"/>
      <c r="D758" s="19"/>
      <c r="E758" s="19"/>
      <c r="F758" s="19"/>
      <c r="G758" s="19"/>
      <c r="H758" s="19"/>
      <c r="I758" s="19"/>
      <c r="J758" s="19"/>
      <c r="K758" s="19"/>
      <c r="L758" s="19"/>
    </row>
    <row r="759">
      <c r="A759" s="19"/>
      <c r="B759" s="19"/>
      <c r="C759" s="19"/>
      <c r="D759" s="19"/>
      <c r="E759" s="19"/>
      <c r="F759" s="19"/>
      <c r="G759" s="19"/>
      <c r="H759" s="19"/>
      <c r="I759" s="19"/>
      <c r="J759" s="19"/>
      <c r="K759" s="19"/>
      <c r="L759" s="19"/>
    </row>
    <row r="760">
      <c r="A760" s="19"/>
      <c r="B760" s="19"/>
      <c r="C760" s="19"/>
      <c r="D760" s="19"/>
      <c r="E760" s="19"/>
      <c r="F760" s="19"/>
      <c r="G760" s="19"/>
      <c r="H760" s="19"/>
      <c r="I760" s="19"/>
      <c r="J760" s="19"/>
      <c r="K760" s="19"/>
      <c r="L760" s="19"/>
    </row>
    <row r="761">
      <c r="A761" s="19"/>
      <c r="B761" s="19"/>
      <c r="C761" s="19"/>
      <c r="D761" s="19"/>
      <c r="E761" s="19"/>
      <c r="F761" s="19"/>
      <c r="G761" s="19"/>
      <c r="H761" s="19"/>
      <c r="I761" s="19"/>
      <c r="J761" s="19"/>
      <c r="K761" s="19"/>
      <c r="L761" s="19"/>
    </row>
    <row r="762">
      <c r="A762" s="19"/>
      <c r="B762" s="19"/>
      <c r="C762" s="19"/>
      <c r="D762" s="19"/>
      <c r="E762" s="19"/>
      <c r="F762" s="19"/>
      <c r="G762" s="19"/>
      <c r="H762" s="19"/>
      <c r="I762" s="19"/>
      <c r="J762" s="19"/>
      <c r="K762" s="19"/>
      <c r="L762" s="19"/>
    </row>
    <row r="763">
      <c r="A763" s="19"/>
      <c r="B763" s="19"/>
      <c r="C763" s="19"/>
      <c r="D763" s="19"/>
      <c r="E763" s="19"/>
      <c r="F763" s="19"/>
      <c r="G763" s="19"/>
      <c r="H763" s="19"/>
      <c r="I763" s="19"/>
      <c r="J763" s="19"/>
      <c r="K763" s="19"/>
      <c r="L763" s="19"/>
    </row>
    <row r="764">
      <c r="A764" s="19"/>
      <c r="B764" s="19"/>
      <c r="C764" s="19"/>
      <c r="D764" s="19"/>
      <c r="E764" s="19"/>
      <c r="F764" s="19"/>
      <c r="G764" s="19"/>
      <c r="H764" s="19"/>
      <c r="I764" s="19"/>
      <c r="J764" s="19"/>
      <c r="K764" s="19"/>
      <c r="L764" s="19"/>
    </row>
    <row r="765">
      <c r="A765" s="19"/>
      <c r="B765" s="19"/>
      <c r="C765" s="19"/>
      <c r="D765" s="19"/>
      <c r="E765" s="19"/>
      <c r="F765" s="19"/>
      <c r="G765" s="19"/>
      <c r="H765" s="19"/>
      <c r="I765" s="19"/>
      <c r="J765" s="19"/>
      <c r="K765" s="19"/>
      <c r="L765" s="19"/>
    </row>
    <row r="766">
      <c r="A766" s="19"/>
      <c r="B766" s="19"/>
      <c r="C766" s="19"/>
      <c r="D766" s="19"/>
      <c r="E766" s="19"/>
      <c r="F766" s="19"/>
      <c r="G766" s="19"/>
      <c r="H766" s="19"/>
      <c r="I766" s="19"/>
      <c r="J766" s="19"/>
      <c r="K766" s="19"/>
      <c r="L766" s="19"/>
    </row>
    <row r="767">
      <c r="A767" s="19"/>
      <c r="B767" s="19"/>
      <c r="C767" s="19"/>
      <c r="D767" s="19"/>
      <c r="E767" s="19"/>
      <c r="F767" s="19"/>
      <c r="G767" s="19"/>
      <c r="H767" s="19"/>
      <c r="I767" s="19"/>
      <c r="J767" s="19"/>
      <c r="K767" s="19"/>
      <c r="L767" s="19"/>
    </row>
    <row r="768">
      <c r="A768" s="19"/>
      <c r="B768" s="19"/>
      <c r="C768" s="19"/>
      <c r="D768" s="19"/>
      <c r="E768" s="19"/>
      <c r="F768" s="19"/>
      <c r="G768" s="19"/>
      <c r="H768" s="19"/>
      <c r="I768" s="19"/>
      <c r="J768" s="19"/>
      <c r="K768" s="19"/>
      <c r="L768" s="19"/>
    </row>
    <row r="769">
      <c r="A769" s="19"/>
      <c r="B769" s="19"/>
      <c r="C769" s="19"/>
      <c r="D769" s="19"/>
      <c r="E769" s="19"/>
      <c r="F769" s="19"/>
      <c r="G769" s="19"/>
      <c r="H769" s="19"/>
      <c r="I769" s="19"/>
      <c r="J769" s="19"/>
      <c r="K769" s="19"/>
      <c r="L769" s="19"/>
    </row>
    <row r="770">
      <c r="A770" s="19"/>
      <c r="B770" s="19"/>
      <c r="C770" s="19"/>
      <c r="D770" s="19"/>
      <c r="E770" s="19"/>
      <c r="F770" s="19"/>
      <c r="G770" s="19"/>
      <c r="H770" s="19"/>
      <c r="I770" s="19"/>
      <c r="J770" s="19"/>
      <c r="K770" s="19"/>
      <c r="L770" s="19"/>
    </row>
    <row r="771">
      <c r="A771" s="19"/>
      <c r="B771" s="19"/>
      <c r="C771" s="19"/>
      <c r="D771" s="19"/>
      <c r="E771" s="19"/>
      <c r="F771" s="19"/>
      <c r="G771" s="19"/>
      <c r="H771" s="19"/>
      <c r="I771" s="19"/>
      <c r="J771" s="19"/>
      <c r="K771" s="19"/>
      <c r="L771" s="19"/>
    </row>
    <row r="772">
      <c r="A772" s="19"/>
      <c r="B772" s="19"/>
      <c r="C772" s="19"/>
      <c r="D772" s="19"/>
      <c r="E772" s="19"/>
      <c r="F772" s="19"/>
      <c r="G772" s="19"/>
      <c r="H772" s="19"/>
      <c r="I772" s="19"/>
      <c r="J772" s="19"/>
      <c r="K772" s="19"/>
      <c r="L772" s="19"/>
    </row>
    <row r="773">
      <c r="A773" s="19"/>
      <c r="B773" s="19"/>
      <c r="C773" s="19"/>
      <c r="D773" s="19"/>
      <c r="E773" s="19"/>
      <c r="F773" s="19"/>
      <c r="G773" s="19"/>
      <c r="H773" s="19"/>
      <c r="I773" s="19"/>
      <c r="J773" s="19"/>
      <c r="K773" s="19"/>
      <c r="L773" s="19"/>
    </row>
    <row r="774">
      <c r="A774" s="19"/>
      <c r="B774" s="19"/>
      <c r="C774" s="19"/>
      <c r="D774" s="19"/>
      <c r="E774" s="19"/>
      <c r="F774" s="19"/>
      <c r="G774" s="19"/>
      <c r="H774" s="19"/>
      <c r="I774" s="19"/>
      <c r="J774" s="19"/>
      <c r="K774" s="19"/>
      <c r="L774" s="19"/>
    </row>
    <row r="775">
      <c r="A775" s="19"/>
      <c r="B775" s="19"/>
      <c r="C775" s="19"/>
      <c r="D775" s="19"/>
      <c r="E775" s="19"/>
      <c r="F775" s="19"/>
      <c r="G775" s="19"/>
      <c r="H775" s="19"/>
      <c r="I775" s="19"/>
      <c r="J775" s="19"/>
      <c r="K775" s="19"/>
      <c r="L775" s="19"/>
    </row>
    <row r="776">
      <c r="A776" s="19"/>
      <c r="B776" s="19"/>
      <c r="C776" s="19"/>
      <c r="D776" s="19"/>
      <c r="E776" s="19"/>
      <c r="F776" s="19"/>
      <c r="G776" s="19"/>
      <c r="H776" s="19"/>
      <c r="I776" s="19"/>
      <c r="J776" s="19"/>
      <c r="K776" s="19"/>
      <c r="L776" s="19"/>
    </row>
    <row r="777">
      <c r="A777" s="19"/>
      <c r="B777" s="19"/>
      <c r="C777" s="19"/>
      <c r="D777" s="19"/>
      <c r="E777" s="19"/>
      <c r="F777" s="19"/>
      <c r="G777" s="19"/>
      <c r="H777" s="19"/>
      <c r="I777" s="19"/>
      <c r="J777" s="19"/>
      <c r="K777" s="19"/>
      <c r="L777" s="19"/>
    </row>
    <row r="778">
      <c r="A778" s="19"/>
      <c r="B778" s="19"/>
      <c r="C778" s="19"/>
      <c r="D778" s="19"/>
      <c r="E778" s="19"/>
      <c r="F778" s="19"/>
      <c r="G778" s="19"/>
      <c r="H778" s="19"/>
      <c r="I778" s="19"/>
      <c r="J778" s="19"/>
      <c r="K778" s="19"/>
      <c r="L778" s="19"/>
    </row>
    <row r="779">
      <c r="A779" s="19"/>
      <c r="B779" s="19"/>
      <c r="C779" s="19"/>
      <c r="D779" s="19"/>
      <c r="E779" s="19"/>
      <c r="F779" s="19"/>
      <c r="G779" s="19"/>
      <c r="H779" s="19"/>
      <c r="I779" s="19"/>
      <c r="J779" s="19"/>
      <c r="K779" s="19"/>
      <c r="L779" s="19"/>
    </row>
    <row r="780">
      <c r="A780" s="19"/>
      <c r="B780" s="19"/>
      <c r="C780" s="19"/>
      <c r="D780" s="19"/>
      <c r="E780" s="19"/>
      <c r="F780" s="19"/>
      <c r="G780" s="19"/>
      <c r="H780" s="19"/>
      <c r="I780" s="19"/>
      <c r="J780" s="19"/>
      <c r="K780" s="19"/>
      <c r="L780" s="19"/>
    </row>
    <row r="781">
      <c r="A781" s="19"/>
      <c r="B781" s="19"/>
      <c r="C781" s="19"/>
      <c r="D781" s="19"/>
      <c r="E781" s="19"/>
      <c r="F781" s="19"/>
      <c r="G781" s="19"/>
      <c r="H781" s="19"/>
      <c r="I781" s="19"/>
      <c r="J781" s="19"/>
      <c r="K781" s="19"/>
      <c r="L781" s="19"/>
    </row>
    <row r="782">
      <c r="A782" s="19"/>
      <c r="B782" s="19"/>
      <c r="C782" s="19"/>
      <c r="D782" s="19"/>
      <c r="E782" s="19"/>
      <c r="F782" s="19"/>
      <c r="G782" s="19"/>
      <c r="H782" s="19"/>
      <c r="I782" s="19"/>
      <c r="J782" s="19"/>
      <c r="K782" s="19"/>
      <c r="L782" s="19"/>
    </row>
    <row r="783">
      <c r="A783" s="19"/>
      <c r="B783" s="19"/>
      <c r="C783" s="19"/>
      <c r="D783" s="19"/>
      <c r="E783" s="19"/>
      <c r="F783" s="19"/>
      <c r="G783" s="19"/>
      <c r="H783" s="19"/>
      <c r="I783" s="19"/>
      <c r="J783" s="19"/>
      <c r="K783" s="19"/>
      <c r="L783" s="19"/>
    </row>
    <row r="784">
      <c r="A784" s="19"/>
      <c r="B784" s="19"/>
      <c r="C784" s="19"/>
      <c r="D784" s="19"/>
      <c r="E784" s="19"/>
      <c r="F784" s="19"/>
      <c r="G784" s="19"/>
      <c r="H784" s="19"/>
      <c r="I784" s="19"/>
      <c r="J784" s="19"/>
      <c r="K784" s="19"/>
      <c r="L784" s="19"/>
    </row>
    <row r="785">
      <c r="A785" s="19"/>
      <c r="B785" s="19"/>
      <c r="C785" s="19"/>
      <c r="D785" s="19"/>
      <c r="E785" s="19"/>
      <c r="F785" s="19"/>
      <c r="G785" s="19"/>
      <c r="H785" s="19"/>
      <c r="I785" s="19"/>
      <c r="J785" s="19"/>
      <c r="K785" s="19"/>
      <c r="L785" s="19"/>
    </row>
    <row r="786">
      <c r="A786" s="19"/>
      <c r="B786" s="19"/>
      <c r="C786" s="19"/>
      <c r="D786" s="19"/>
      <c r="E786" s="19"/>
      <c r="F786" s="19"/>
      <c r="G786" s="19"/>
      <c r="H786" s="19"/>
      <c r="I786" s="19"/>
      <c r="J786" s="19"/>
      <c r="K786" s="19"/>
      <c r="L786" s="19"/>
    </row>
    <row r="787">
      <c r="A787" s="19"/>
      <c r="B787" s="19"/>
      <c r="C787" s="19"/>
      <c r="D787" s="19"/>
      <c r="E787" s="19"/>
      <c r="F787" s="19"/>
      <c r="G787" s="19"/>
      <c r="H787" s="19"/>
      <c r="I787" s="19"/>
      <c r="J787" s="19"/>
      <c r="K787" s="19"/>
      <c r="L787" s="19"/>
    </row>
    <row r="788">
      <c r="A788" s="19"/>
      <c r="B788" s="19"/>
      <c r="C788" s="19"/>
      <c r="D788" s="19"/>
      <c r="E788" s="19"/>
      <c r="F788" s="19"/>
      <c r="G788" s="19"/>
      <c r="H788" s="19"/>
      <c r="I788" s="19"/>
      <c r="J788" s="19"/>
      <c r="K788" s="19"/>
      <c r="L788" s="19"/>
    </row>
    <row r="789">
      <c r="A789" s="19"/>
      <c r="B789" s="19"/>
      <c r="C789" s="19"/>
      <c r="D789" s="19"/>
      <c r="E789" s="19"/>
      <c r="F789" s="19"/>
      <c r="G789" s="19"/>
      <c r="H789" s="19"/>
      <c r="I789" s="19"/>
      <c r="J789" s="19"/>
      <c r="K789" s="19"/>
      <c r="L789" s="19"/>
    </row>
    <row r="790">
      <c r="A790" s="19"/>
      <c r="B790" s="19"/>
      <c r="C790" s="19"/>
      <c r="D790" s="19"/>
      <c r="E790" s="19"/>
      <c r="F790" s="19"/>
      <c r="G790" s="19"/>
      <c r="H790" s="19"/>
      <c r="I790" s="19"/>
      <c r="J790" s="19"/>
      <c r="K790" s="19"/>
      <c r="L790" s="19"/>
    </row>
    <row r="791">
      <c r="A791" s="19"/>
      <c r="B791" s="19"/>
      <c r="C791" s="19"/>
      <c r="D791" s="19"/>
      <c r="E791" s="19"/>
      <c r="F791" s="19"/>
      <c r="G791" s="19"/>
      <c r="H791" s="19"/>
      <c r="I791" s="19"/>
      <c r="J791" s="19"/>
      <c r="K791" s="19"/>
      <c r="L791" s="19"/>
    </row>
    <row r="792">
      <c r="A792" s="19"/>
      <c r="B792" s="19"/>
      <c r="C792" s="19"/>
      <c r="D792" s="19"/>
      <c r="E792" s="19"/>
      <c r="F792" s="19"/>
      <c r="G792" s="19"/>
      <c r="H792" s="19"/>
      <c r="I792" s="19"/>
      <c r="J792" s="19"/>
      <c r="K792" s="19"/>
      <c r="L792" s="19"/>
    </row>
    <row r="793">
      <c r="A793" s="19"/>
      <c r="B793" s="19"/>
      <c r="C793" s="19"/>
      <c r="D793" s="19"/>
      <c r="E793" s="19"/>
      <c r="F793" s="19"/>
      <c r="G793" s="19"/>
      <c r="H793" s="19"/>
      <c r="I793" s="19"/>
      <c r="J793" s="19"/>
      <c r="K793" s="19"/>
      <c r="L793" s="19"/>
    </row>
    <row r="794">
      <c r="A794" s="19"/>
      <c r="B794" s="19"/>
      <c r="C794" s="19"/>
      <c r="D794" s="19"/>
      <c r="E794" s="19"/>
      <c r="F794" s="19"/>
      <c r="G794" s="19"/>
      <c r="H794" s="19"/>
      <c r="I794" s="19"/>
      <c r="J794" s="19"/>
      <c r="K794" s="19"/>
      <c r="L794" s="19"/>
    </row>
    <row r="795">
      <c r="A795" s="19"/>
      <c r="B795" s="19"/>
      <c r="C795" s="19"/>
      <c r="D795" s="19"/>
      <c r="E795" s="19"/>
      <c r="F795" s="19"/>
      <c r="G795" s="19"/>
      <c r="H795" s="19"/>
      <c r="I795" s="19"/>
      <c r="J795" s="19"/>
      <c r="K795" s="19"/>
      <c r="L795" s="19"/>
    </row>
    <row r="796">
      <c r="A796" s="19"/>
      <c r="B796" s="19"/>
      <c r="C796" s="19"/>
      <c r="D796" s="19"/>
      <c r="E796" s="19"/>
      <c r="F796" s="19"/>
      <c r="G796" s="19"/>
      <c r="H796" s="19"/>
      <c r="I796" s="19"/>
      <c r="J796" s="19"/>
      <c r="K796" s="19"/>
      <c r="L796" s="19"/>
    </row>
    <row r="797">
      <c r="A797" s="19"/>
      <c r="B797" s="19"/>
      <c r="C797" s="19"/>
      <c r="D797" s="19"/>
      <c r="E797" s="19"/>
      <c r="F797" s="19"/>
      <c r="G797" s="19"/>
      <c r="H797" s="19"/>
      <c r="I797" s="19"/>
      <c r="J797" s="19"/>
      <c r="K797" s="19"/>
      <c r="L797" s="19"/>
    </row>
    <row r="798">
      <c r="A798" s="19"/>
      <c r="B798" s="19"/>
      <c r="C798" s="19"/>
      <c r="D798" s="19"/>
      <c r="E798" s="19"/>
      <c r="F798" s="19"/>
      <c r="G798" s="19"/>
      <c r="H798" s="19"/>
      <c r="I798" s="19"/>
      <c r="J798" s="19"/>
      <c r="K798" s="19"/>
      <c r="L798" s="19"/>
    </row>
    <row r="799">
      <c r="A799" s="19"/>
      <c r="B799" s="19"/>
      <c r="C799" s="19"/>
      <c r="D799" s="19"/>
      <c r="E799" s="19"/>
      <c r="F799" s="19"/>
      <c r="G799" s="19"/>
      <c r="H799" s="19"/>
      <c r="I799" s="19"/>
      <c r="J799" s="19"/>
      <c r="K799" s="19"/>
      <c r="L799" s="19"/>
    </row>
    <row r="800">
      <c r="A800" s="19"/>
      <c r="B800" s="19"/>
      <c r="C800" s="19"/>
      <c r="D800" s="19"/>
      <c r="E800" s="19"/>
      <c r="F800" s="19"/>
      <c r="G800" s="19"/>
      <c r="H800" s="19"/>
      <c r="I800" s="19"/>
      <c r="J800" s="19"/>
      <c r="K800" s="19"/>
      <c r="L800" s="19"/>
    </row>
    <row r="801">
      <c r="A801" s="19"/>
      <c r="B801" s="19"/>
      <c r="C801" s="19"/>
      <c r="D801" s="19"/>
      <c r="E801" s="19"/>
      <c r="F801" s="19"/>
      <c r="G801" s="19"/>
      <c r="H801" s="19"/>
      <c r="I801" s="19"/>
      <c r="J801" s="19"/>
      <c r="K801" s="19"/>
      <c r="L801" s="19"/>
    </row>
    <row r="802">
      <c r="A802" s="19"/>
      <c r="B802" s="19"/>
      <c r="C802" s="19"/>
      <c r="D802" s="19"/>
      <c r="E802" s="19"/>
      <c r="F802" s="19"/>
      <c r="G802" s="19"/>
      <c r="H802" s="19"/>
      <c r="I802" s="19"/>
      <c r="J802" s="19"/>
      <c r="K802" s="19"/>
      <c r="L802" s="19"/>
    </row>
    <row r="803">
      <c r="A803" s="19"/>
      <c r="B803" s="19"/>
      <c r="C803" s="19"/>
      <c r="D803" s="19"/>
      <c r="E803" s="19"/>
      <c r="F803" s="19"/>
      <c r="G803" s="19"/>
      <c r="H803" s="19"/>
      <c r="I803" s="19"/>
      <c r="J803" s="19"/>
      <c r="K803" s="19"/>
      <c r="L803" s="19"/>
    </row>
    <row r="804">
      <c r="A804" s="19"/>
      <c r="B804" s="19"/>
      <c r="C804" s="19"/>
      <c r="D804" s="19"/>
      <c r="E804" s="19"/>
      <c r="F804" s="19"/>
      <c r="G804" s="19"/>
      <c r="H804" s="19"/>
      <c r="I804" s="19"/>
      <c r="J804" s="19"/>
      <c r="K804" s="19"/>
      <c r="L804" s="19"/>
    </row>
    <row r="805">
      <c r="A805" s="19"/>
      <c r="B805" s="19"/>
      <c r="C805" s="19"/>
      <c r="D805" s="19"/>
      <c r="E805" s="19"/>
      <c r="F805" s="19"/>
      <c r="G805" s="19"/>
      <c r="H805" s="19"/>
      <c r="I805" s="19"/>
      <c r="J805" s="19"/>
      <c r="K805" s="19"/>
      <c r="L805" s="19"/>
    </row>
    <row r="806">
      <c r="A806" s="19"/>
      <c r="B806" s="19"/>
      <c r="C806" s="19"/>
      <c r="D806" s="19"/>
      <c r="E806" s="19"/>
      <c r="F806" s="19"/>
      <c r="G806" s="19"/>
      <c r="H806" s="19"/>
      <c r="I806" s="19"/>
      <c r="J806" s="19"/>
      <c r="K806" s="19"/>
      <c r="L806" s="19"/>
    </row>
    <row r="807">
      <c r="A807" s="19"/>
      <c r="B807" s="19"/>
      <c r="C807" s="19"/>
      <c r="D807" s="19"/>
      <c r="E807" s="19"/>
      <c r="F807" s="19"/>
      <c r="G807" s="19"/>
      <c r="H807" s="19"/>
      <c r="I807" s="19"/>
      <c r="J807" s="19"/>
      <c r="K807" s="19"/>
      <c r="L807" s="19"/>
    </row>
    <row r="808">
      <c r="A808" s="19"/>
      <c r="B808" s="19"/>
      <c r="C808" s="19"/>
      <c r="D808" s="19"/>
      <c r="E808" s="19"/>
      <c r="F808" s="19"/>
      <c r="G808" s="19"/>
      <c r="H808" s="19"/>
      <c r="I808" s="19"/>
      <c r="J808" s="19"/>
      <c r="K808" s="19"/>
      <c r="L808" s="19"/>
    </row>
    <row r="809">
      <c r="A809" s="19"/>
      <c r="B809" s="19"/>
      <c r="C809" s="19"/>
      <c r="D809" s="19"/>
      <c r="E809" s="19"/>
      <c r="F809" s="19"/>
      <c r="G809" s="19"/>
      <c r="H809" s="19"/>
      <c r="I809" s="19"/>
      <c r="J809" s="19"/>
      <c r="K809" s="19"/>
      <c r="L809" s="19"/>
    </row>
    <row r="810">
      <c r="A810" s="19"/>
      <c r="B810" s="19"/>
      <c r="C810" s="19"/>
      <c r="D810" s="19"/>
      <c r="E810" s="19"/>
      <c r="F810" s="19"/>
      <c r="G810" s="19"/>
      <c r="H810" s="19"/>
      <c r="I810" s="19"/>
      <c r="J810" s="19"/>
      <c r="K810" s="19"/>
      <c r="L810" s="19"/>
    </row>
    <row r="811">
      <c r="A811" s="19"/>
      <c r="B811" s="19"/>
      <c r="C811" s="19"/>
      <c r="D811" s="19"/>
      <c r="E811" s="19"/>
      <c r="F811" s="19"/>
      <c r="G811" s="19"/>
      <c r="H811" s="19"/>
      <c r="I811" s="19"/>
      <c r="J811" s="19"/>
      <c r="K811" s="19"/>
      <c r="L811" s="19"/>
    </row>
    <row r="812">
      <c r="A812" s="19"/>
      <c r="B812" s="19"/>
      <c r="C812" s="19"/>
      <c r="D812" s="19"/>
      <c r="E812" s="19"/>
      <c r="F812" s="19"/>
      <c r="G812" s="19"/>
      <c r="H812" s="19"/>
      <c r="I812" s="19"/>
      <c r="J812" s="19"/>
      <c r="K812" s="19"/>
      <c r="L812" s="19"/>
    </row>
    <row r="813">
      <c r="A813" s="19"/>
      <c r="B813" s="19"/>
      <c r="C813" s="19"/>
      <c r="D813" s="19"/>
      <c r="E813" s="19"/>
      <c r="F813" s="19"/>
      <c r="G813" s="19"/>
      <c r="H813" s="19"/>
      <c r="I813" s="19"/>
      <c r="J813" s="19"/>
      <c r="K813" s="19"/>
      <c r="L813" s="19"/>
    </row>
    <row r="814">
      <c r="A814" s="19"/>
      <c r="B814" s="19"/>
      <c r="C814" s="19"/>
      <c r="D814" s="19"/>
      <c r="E814" s="19"/>
      <c r="F814" s="19"/>
      <c r="G814" s="19"/>
      <c r="H814" s="19"/>
      <c r="I814" s="19"/>
      <c r="J814" s="19"/>
      <c r="K814" s="19"/>
      <c r="L814" s="19"/>
    </row>
    <row r="815">
      <c r="A815" s="19"/>
      <c r="B815" s="19"/>
      <c r="C815" s="19"/>
      <c r="D815" s="19"/>
      <c r="E815" s="19"/>
      <c r="F815" s="19"/>
      <c r="G815" s="19"/>
      <c r="H815" s="19"/>
      <c r="I815" s="19"/>
      <c r="J815" s="19"/>
      <c r="K815" s="19"/>
      <c r="L815" s="19"/>
    </row>
    <row r="816">
      <c r="A816" s="19"/>
      <c r="B816" s="19"/>
      <c r="C816" s="19"/>
      <c r="D816" s="19"/>
      <c r="E816" s="19"/>
      <c r="F816" s="19"/>
      <c r="G816" s="19"/>
      <c r="H816" s="19"/>
      <c r="I816" s="19"/>
      <c r="J816" s="19"/>
      <c r="K816" s="19"/>
      <c r="L816" s="19"/>
    </row>
    <row r="817">
      <c r="A817" s="19"/>
      <c r="B817" s="19"/>
      <c r="C817" s="19"/>
      <c r="D817" s="19"/>
      <c r="E817" s="19"/>
      <c r="F817" s="19"/>
      <c r="G817" s="19"/>
      <c r="H817" s="19"/>
      <c r="I817" s="19"/>
      <c r="J817" s="19"/>
      <c r="K817" s="19"/>
      <c r="L817" s="19"/>
    </row>
    <row r="818">
      <c r="A818" s="19"/>
      <c r="B818" s="19"/>
      <c r="C818" s="19"/>
      <c r="D818" s="19"/>
      <c r="E818" s="19"/>
      <c r="F818" s="19"/>
      <c r="G818" s="19"/>
      <c r="H818" s="19"/>
      <c r="I818" s="19"/>
      <c r="J818" s="19"/>
      <c r="K818" s="19"/>
      <c r="L818" s="19"/>
    </row>
    <row r="819">
      <c r="A819" s="19"/>
      <c r="B819" s="19"/>
      <c r="C819" s="19"/>
      <c r="D819" s="19"/>
      <c r="E819" s="19"/>
      <c r="F819" s="19"/>
      <c r="G819" s="19"/>
      <c r="H819" s="19"/>
      <c r="I819" s="19"/>
      <c r="J819" s="19"/>
      <c r="K819" s="19"/>
      <c r="L819" s="19"/>
    </row>
    <row r="820">
      <c r="A820" s="19"/>
      <c r="B820" s="19"/>
      <c r="C820" s="19"/>
      <c r="D820" s="19"/>
      <c r="E820" s="19"/>
      <c r="F820" s="19"/>
      <c r="G820" s="19"/>
      <c r="H820" s="19"/>
      <c r="I820" s="19"/>
      <c r="J820" s="19"/>
      <c r="K820" s="19"/>
      <c r="L820" s="19"/>
    </row>
    <row r="821">
      <c r="A821" s="19"/>
      <c r="B821" s="19"/>
      <c r="C821" s="19"/>
      <c r="D821" s="19"/>
      <c r="E821" s="19"/>
      <c r="F821" s="19"/>
      <c r="G821" s="19"/>
      <c r="H821" s="19"/>
      <c r="I821" s="19"/>
      <c r="J821" s="19"/>
      <c r="K821" s="19"/>
      <c r="L821" s="19"/>
    </row>
    <row r="822">
      <c r="A822" s="19"/>
      <c r="B822" s="19"/>
      <c r="C822" s="19"/>
      <c r="D822" s="19"/>
      <c r="E822" s="19"/>
      <c r="F822" s="19"/>
      <c r="G822" s="19"/>
      <c r="H822" s="19"/>
      <c r="I822" s="19"/>
      <c r="J822" s="19"/>
      <c r="K822" s="19"/>
      <c r="L822" s="19"/>
    </row>
    <row r="823">
      <c r="A823" s="19"/>
      <c r="B823" s="19"/>
      <c r="C823" s="19"/>
      <c r="D823" s="19"/>
      <c r="E823" s="19"/>
      <c r="F823" s="19"/>
      <c r="G823" s="19"/>
      <c r="H823" s="19"/>
      <c r="I823" s="19"/>
      <c r="J823" s="19"/>
      <c r="K823" s="19"/>
      <c r="L823" s="19"/>
    </row>
    <row r="824">
      <c r="A824" s="19"/>
      <c r="B824" s="19"/>
      <c r="C824" s="19"/>
      <c r="D824" s="19"/>
      <c r="E824" s="19"/>
      <c r="F824" s="19"/>
      <c r="G824" s="19"/>
      <c r="H824" s="19"/>
      <c r="I824" s="19"/>
      <c r="J824" s="19"/>
      <c r="K824" s="19"/>
      <c r="L824" s="19"/>
    </row>
    <row r="825">
      <c r="A825" s="19"/>
      <c r="B825" s="19"/>
      <c r="C825" s="19"/>
      <c r="D825" s="19"/>
      <c r="E825" s="19"/>
      <c r="F825" s="19"/>
      <c r="G825" s="19"/>
      <c r="H825" s="19"/>
      <c r="I825" s="19"/>
      <c r="J825" s="19"/>
      <c r="K825" s="19"/>
      <c r="L825" s="19"/>
    </row>
    <row r="826">
      <c r="A826" s="19"/>
      <c r="B826" s="19"/>
      <c r="C826" s="19"/>
      <c r="D826" s="19"/>
      <c r="E826" s="19"/>
      <c r="F826" s="19"/>
      <c r="G826" s="19"/>
      <c r="H826" s="19"/>
      <c r="I826" s="19"/>
      <c r="J826" s="19"/>
      <c r="K826" s="19"/>
      <c r="L826" s="19"/>
    </row>
    <row r="827">
      <c r="A827" s="19"/>
      <c r="B827" s="19"/>
      <c r="C827" s="19"/>
      <c r="D827" s="19"/>
      <c r="E827" s="19"/>
      <c r="F827" s="19"/>
      <c r="G827" s="19"/>
      <c r="H827" s="19"/>
      <c r="I827" s="19"/>
      <c r="J827" s="19"/>
      <c r="K827" s="19"/>
      <c r="L827" s="19"/>
    </row>
    <row r="828">
      <c r="A828" s="19"/>
      <c r="B828" s="19"/>
      <c r="C828" s="19"/>
      <c r="D828" s="19"/>
      <c r="E828" s="19"/>
      <c r="F828" s="19"/>
      <c r="G828" s="19"/>
      <c r="H828" s="19"/>
      <c r="I828" s="19"/>
      <c r="J828" s="19"/>
      <c r="K828" s="19"/>
      <c r="L828" s="19"/>
    </row>
    <row r="829">
      <c r="A829" s="19"/>
      <c r="B829" s="19"/>
      <c r="C829" s="19"/>
      <c r="D829" s="19"/>
      <c r="E829" s="19"/>
      <c r="F829" s="19"/>
      <c r="G829" s="19"/>
      <c r="H829" s="19"/>
      <c r="I829" s="19"/>
      <c r="J829" s="19"/>
      <c r="K829" s="19"/>
      <c r="L829" s="19"/>
    </row>
    <row r="830">
      <c r="A830" s="19"/>
      <c r="B830" s="19"/>
      <c r="C830" s="19"/>
      <c r="D830" s="19"/>
      <c r="E830" s="19"/>
      <c r="F830" s="19"/>
      <c r="G830" s="19"/>
      <c r="H830" s="19"/>
      <c r="I830" s="19"/>
      <c r="J830" s="19"/>
      <c r="K830" s="19"/>
      <c r="L830" s="19"/>
    </row>
    <row r="831">
      <c r="A831" s="19"/>
      <c r="B831" s="19"/>
      <c r="C831" s="19"/>
      <c r="D831" s="19"/>
      <c r="E831" s="19"/>
      <c r="F831" s="19"/>
      <c r="G831" s="19"/>
      <c r="H831" s="19"/>
      <c r="I831" s="19"/>
      <c r="J831" s="19"/>
      <c r="K831" s="19"/>
      <c r="L831" s="19"/>
    </row>
    <row r="832">
      <c r="A832" s="19"/>
      <c r="B832" s="19"/>
      <c r="C832" s="19"/>
      <c r="D832" s="19"/>
      <c r="E832" s="19"/>
      <c r="F832" s="19"/>
      <c r="G832" s="19"/>
      <c r="H832" s="19"/>
      <c r="I832" s="19"/>
      <c r="J832" s="19"/>
      <c r="K832" s="19"/>
      <c r="L832" s="19"/>
    </row>
    <row r="833">
      <c r="A833" s="19"/>
      <c r="B833" s="19"/>
      <c r="C833" s="19"/>
      <c r="D833" s="19"/>
      <c r="E833" s="19"/>
      <c r="F833" s="19"/>
      <c r="G833" s="19"/>
      <c r="H833" s="19"/>
      <c r="I833" s="19"/>
      <c r="J833" s="19"/>
      <c r="K833" s="19"/>
      <c r="L833" s="19"/>
    </row>
    <row r="834">
      <c r="A834" s="19"/>
      <c r="B834" s="19"/>
      <c r="C834" s="19"/>
      <c r="D834" s="19"/>
      <c r="E834" s="19"/>
      <c r="F834" s="19"/>
      <c r="G834" s="19"/>
      <c r="H834" s="19"/>
      <c r="I834" s="19"/>
      <c r="J834" s="19"/>
      <c r="K834" s="19"/>
      <c r="L834" s="19"/>
    </row>
    <row r="835">
      <c r="A835" s="19"/>
      <c r="B835" s="19"/>
      <c r="C835" s="19"/>
      <c r="D835" s="19"/>
      <c r="E835" s="19"/>
      <c r="F835" s="19"/>
      <c r="G835" s="19"/>
      <c r="H835" s="19"/>
      <c r="I835" s="19"/>
      <c r="J835" s="19"/>
      <c r="K835" s="19"/>
      <c r="L835" s="19"/>
    </row>
    <row r="836">
      <c r="A836" s="19"/>
      <c r="B836" s="19"/>
      <c r="C836" s="19"/>
      <c r="D836" s="19"/>
      <c r="E836" s="19"/>
      <c r="F836" s="19"/>
      <c r="G836" s="19"/>
      <c r="H836" s="19"/>
      <c r="I836" s="19"/>
      <c r="J836" s="19"/>
      <c r="K836" s="19"/>
      <c r="L836" s="19"/>
    </row>
    <row r="837">
      <c r="A837" s="19"/>
      <c r="B837" s="19"/>
      <c r="C837" s="19"/>
      <c r="D837" s="19"/>
      <c r="E837" s="19"/>
      <c r="F837" s="19"/>
      <c r="G837" s="19"/>
      <c r="H837" s="19"/>
      <c r="I837" s="19"/>
      <c r="J837" s="19"/>
      <c r="K837" s="19"/>
      <c r="L837" s="19"/>
    </row>
    <row r="838">
      <c r="A838" s="19"/>
      <c r="B838" s="19"/>
      <c r="C838" s="19"/>
      <c r="D838" s="19"/>
      <c r="E838" s="19"/>
      <c r="F838" s="19"/>
      <c r="G838" s="19"/>
      <c r="H838" s="19"/>
      <c r="I838" s="19"/>
      <c r="J838" s="19"/>
      <c r="K838" s="19"/>
      <c r="L838" s="19"/>
    </row>
    <row r="839">
      <c r="A839" s="19"/>
      <c r="B839" s="19"/>
      <c r="C839" s="19"/>
      <c r="D839" s="19"/>
      <c r="E839" s="19"/>
      <c r="F839" s="19"/>
      <c r="G839" s="19"/>
      <c r="H839" s="19"/>
      <c r="I839" s="19"/>
      <c r="J839" s="19"/>
      <c r="K839" s="19"/>
      <c r="L839" s="19"/>
    </row>
    <row r="840">
      <c r="A840" s="19"/>
      <c r="B840" s="19"/>
      <c r="C840" s="19"/>
      <c r="D840" s="19"/>
      <c r="E840" s="19"/>
      <c r="F840" s="19"/>
      <c r="G840" s="19"/>
      <c r="H840" s="19"/>
      <c r="I840" s="19"/>
      <c r="J840" s="19"/>
      <c r="K840" s="19"/>
      <c r="L840" s="19"/>
    </row>
    <row r="841">
      <c r="A841" s="19"/>
      <c r="B841" s="19"/>
      <c r="C841" s="19"/>
      <c r="D841" s="19"/>
      <c r="E841" s="19"/>
      <c r="F841" s="19"/>
      <c r="G841" s="19"/>
      <c r="H841" s="19"/>
      <c r="I841" s="19"/>
      <c r="J841" s="19"/>
      <c r="K841" s="19"/>
      <c r="L841" s="19"/>
    </row>
    <row r="842">
      <c r="A842" s="19"/>
      <c r="B842" s="19"/>
      <c r="C842" s="19"/>
      <c r="D842" s="19"/>
      <c r="E842" s="19"/>
      <c r="F842" s="19"/>
      <c r="G842" s="19"/>
      <c r="H842" s="19"/>
      <c r="I842" s="19"/>
      <c r="J842" s="19"/>
      <c r="K842" s="19"/>
      <c r="L842" s="19"/>
    </row>
    <row r="843">
      <c r="A843" s="19"/>
      <c r="B843" s="19"/>
      <c r="C843" s="19"/>
      <c r="D843" s="19"/>
      <c r="E843" s="19"/>
      <c r="F843" s="19"/>
      <c r="G843" s="19"/>
      <c r="H843" s="19"/>
      <c r="I843" s="19"/>
      <c r="J843" s="19"/>
      <c r="K843" s="19"/>
      <c r="L843" s="19"/>
    </row>
    <row r="844">
      <c r="A844" s="19"/>
      <c r="B844" s="19"/>
      <c r="C844" s="19"/>
      <c r="D844" s="19"/>
      <c r="E844" s="19"/>
      <c r="F844" s="19"/>
      <c r="G844" s="19"/>
      <c r="H844" s="19"/>
      <c r="I844" s="19"/>
      <c r="J844" s="19"/>
      <c r="K844" s="19"/>
      <c r="L844" s="19"/>
    </row>
    <row r="845">
      <c r="A845" s="19"/>
      <c r="B845" s="19"/>
      <c r="C845" s="19"/>
      <c r="D845" s="19"/>
      <c r="E845" s="19"/>
      <c r="F845" s="19"/>
      <c r="G845" s="19"/>
      <c r="H845" s="19"/>
      <c r="I845" s="19"/>
      <c r="J845" s="19"/>
      <c r="K845" s="19"/>
      <c r="L845" s="19"/>
    </row>
    <row r="846">
      <c r="A846" s="19"/>
      <c r="B846" s="19"/>
      <c r="C846" s="19"/>
      <c r="D846" s="19"/>
      <c r="E846" s="19"/>
      <c r="F846" s="19"/>
      <c r="G846" s="19"/>
      <c r="H846" s="19"/>
      <c r="I846" s="19"/>
      <c r="J846" s="19"/>
      <c r="K846" s="19"/>
      <c r="L846" s="19"/>
    </row>
    <row r="847">
      <c r="A847" s="19"/>
      <c r="B847" s="19"/>
      <c r="C847" s="19"/>
      <c r="D847" s="19"/>
      <c r="E847" s="19"/>
      <c r="F847" s="19"/>
      <c r="G847" s="19"/>
      <c r="H847" s="19"/>
      <c r="I847" s="19"/>
      <c r="J847" s="19"/>
      <c r="K847" s="19"/>
      <c r="L847" s="19"/>
    </row>
    <row r="848">
      <c r="A848" s="19"/>
      <c r="B848" s="19"/>
      <c r="C848" s="19"/>
      <c r="D848" s="19"/>
      <c r="E848" s="19"/>
      <c r="F848" s="19"/>
      <c r="G848" s="19"/>
      <c r="H848" s="19"/>
      <c r="I848" s="19"/>
      <c r="J848" s="19"/>
      <c r="K848" s="19"/>
      <c r="L848" s="19"/>
    </row>
    <row r="849">
      <c r="A849" s="19"/>
      <c r="B849" s="19"/>
      <c r="C849" s="19"/>
      <c r="D849" s="19"/>
      <c r="E849" s="19"/>
      <c r="F849" s="19"/>
      <c r="G849" s="19"/>
      <c r="H849" s="19"/>
      <c r="I849" s="19"/>
      <c r="J849" s="19"/>
      <c r="K849" s="19"/>
      <c r="L849" s="19"/>
    </row>
    <row r="850">
      <c r="A850" s="19"/>
      <c r="B850" s="19"/>
      <c r="C850" s="19"/>
      <c r="D850" s="19"/>
      <c r="E850" s="19"/>
      <c r="F850" s="19"/>
      <c r="G850" s="19"/>
      <c r="H850" s="19"/>
      <c r="I850" s="19"/>
      <c r="J850" s="19"/>
      <c r="K850" s="19"/>
      <c r="L850" s="19"/>
    </row>
    <row r="851">
      <c r="A851" s="19"/>
      <c r="B851" s="19"/>
      <c r="C851" s="19"/>
      <c r="D851" s="19"/>
      <c r="E851" s="19"/>
      <c r="F851" s="19"/>
      <c r="G851" s="19"/>
      <c r="H851" s="19"/>
      <c r="I851" s="19"/>
      <c r="J851" s="19"/>
      <c r="K851" s="19"/>
      <c r="L851" s="19"/>
    </row>
    <row r="852">
      <c r="A852" s="19"/>
      <c r="B852" s="19"/>
      <c r="C852" s="19"/>
      <c r="D852" s="19"/>
      <c r="E852" s="19"/>
      <c r="F852" s="19"/>
      <c r="G852" s="19"/>
      <c r="H852" s="19"/>
      <c r="I852" s="19"/>
      <c r="J852" s="19"/>
      <c r="K852" s="19"/>
      <c r="L852" s="19"/>
    </row>
    <row r="853">
      <c r="A853" s="19"/>
      <c r="B853" s="19"/>
      <c r="C853" s="19"/>
      <c r="D853" s="19"/>
      <c r="E853" s="19"/>
      <c r="F853" s="19"/>
      <c r="G853" s="19"/>
      <c r="H853" s="19"/>
      <c r="I853" s="19"/>
      <c r="J853" s="19"/>
      <c r="K853" s="19"/>
      <c r="L853" s="19"/>
    </row>
    <row r="854">
      <c r="A854" s="19"/>
      <c r="B854" s="19"/>
      <c r="C854" s="19"/>
      <c r="D854" s="19"/>
      <c r="E854" s="19"/>
      <c r="F854" s="19"/>
      <c r="G854" s="19"/>
      <c r="H854" s="19"/>
      <c r="I854" s="19"/>
      <c r="J854" s="19"/>
      <c r="K854" s="19"/>
      <c r="L854" s="19"/>
    </row>
    <row r="855">
      <c r="A855" s="19"/>
      <c r="B855" s="19"/>
      <c r="C855" s="19"/>
      <c r="D855" s="19"/>
      <c r="E855" s="19"/>
      <c r="F855" s="19"/>
      <c r="G855" s="19"/>
      <c r="H855" s="19"/>
      <c r="I855" s="19"/>
      <c r="J855" s="19"/>
      <c r="K855" s="19"/>
      <c r="L855" s="19"/>
    </row>
    <row r="856">
      <c r="A856" s="19"/>
      <c r="B856" s="19"/>
      <c r="C856" s="19"/>
      <c r="D856" s="19"/>
      <c r="E856" s="19"/>
      <c r="F856" s="19"/>
      <c r="G856" s="19"/>
      <c r="H856" s="19"/>
      <c r="I856" s="19"/>
      <c r="J856" s="19"/>
      <c r="K856" s="19"/>
      <c r="L856" s="19"/>
    </row>
    <row r="857">
      <c r="A857" s="19"/>
      <c r="B857" s="19"/>
      <c r="C857" s="19"/>
      <c r="D857" s="19"/>
      <c r="E857" s="19"/>
      <c r="F857" s="19"/>
      <c r="G857" s="19"/>
      <c r="H857" s="19"/>
      <c r="I857" s="19"/>
      <c r="J857" s="19"/>
      <c r="K857" s="19"/>
      <c r="L857" s="19"/>
    </row>
    <row r="858">
      <c r="A858" s="19"/>
      <c r="B858" s="19"/>
      <c r="C858" s="19"/>
      <c r="D858" s="19"/>
      <c r="E858" s="19"/>
      <c r="F858" s="19"/>
      <c r="G858" s="19"/>
      <c r="H858" s="19"/>
      <c r="I858" s="19"/>
      <c r="J858" s="19"/>
      <c r="K858" s="19"/>
      <c r="L858" s="19"/>
    </row>
    <row r="859">
      <c r="A859" s="19"/>
      <c r="B859" s="19"/>
      <c r="C859" s="19"/>
      <c r="D859" s="19"/>
      <c r="E859" s="19"/>
      <c r="F859" s="19"/>
      <c r="G859" s="19"/>
      <c r="H859" s="19"/>
      <c r="I859" s="19"/>
      <c r="J859" s="19"/>
      <c r="K859" s="19"/>
      <c r="L859" s="19"/>
    </row>
    <row r="860">
      <c r="A860" s="19"/>
      <c r="B860" s="19"/>
      <c r="C860" s="19"/>
      <c r="D860" s="19"/>
      <c r="E860" s="19"/>
      <c r="F860" s="19"/>
      <c r="G860" s="19"/>
      <c r="H860" s="19"/>
      <c r="I860" s="19"/>
      <c r="J860" s="19"/>
      <c r="K860" s="19"/>
      <c r="L860" s="19"/>
    </row>
    <row r="861">
      <c r="A861" s="19"/>
      <c r="B861" s="19"/>
      <c r="C861" s="19"/>
      <c r="D861" s="19"/>
      <c r="E861" s="19"/>
      <c r="F861" s="19"/>
      <c r="G861" s="19"/>
      <c r="H861" s="19"/>
      <c r="I861" s="19"/>
      <c r="J861" s="19"/>
      <c r="K861" s="19"/>
      <c r="L861" s="19"/>
    </row>
    <row r="862">
      <c r="A862" s="19"/>
      <c r="B862" s="19"/>
      <c r="C862" s="19"/>
      <c r="D862" s="19"/>
      <c r="E862" s="19"/>
      <c r="F862" s="19"/>
      <c r="G862" s="19"/>
      <c r="H862" s="19"/>
      <c r="I862" s="19"/>
      <c r="J862" s="19"/>
      <c r="K862" s="19"/>
      <c r="L862" s="19"/>
    </row>
    <row r="863">
      <c r="A863" s="19"/>
      <c r="B863" s="19"/>
      <c r="C863" s="19"/>
      <c r="D863" s="19"/>
      <c r="E863" s="19"/>
      <c r="F863" s="19"/>
      <c r="G863" s="19"/>
      <c r="H863" s="19"/>
      <c r="I863" s="19"/>
      <c r="J863" s="19"/>
      <c r="K863" s="19"/>
      <c r="L863" s="19"/>
    </row>
    <row r="864">
      <c r="A864" s="19"/>
      <c r="B864" s="19"/>
      <c r="C864" s="19"/>
      <c r="D864" s="19"/>
      <c r="E864" s="19"/>
      <c r="F864" s="19"/>
      <c r="G864" s="19"/>
      <c r="H864" s="19"/>
      <c r="I864" s="19"/>
      <c r="J864" s="19"/>
      <c r="K864" s="19"/>
      <c r="L864" s="19"/>
    </row>
    <row r="865">
      <c r="A865" s="19"/>
      <c r="B865" s="19"/>
      <c r="C865" s="19"/>
      <c r="D865" s="19"/>
      <c r="E865" s="19"/>
      <c r="F865" s="19"/>
      <c r="G865" s="19"/>
      <c r="H865" s="19"/>
      <c r="I865" s="19"/>
      <c r="J865" s="19"/>
      <c r="K865" s="19"/>
      <c r="L865" s="19"/>
    </row>
    <row r="866">
      <c r="A866" s="19"/>
      <c r="B866" s="19"/>
      <c r="C866" s="19"/>
      <c r="D866" s="19"/>
      <c r="E866" s="19"/>
      <c r="F866" s="19"/>
      <c r="G866" s="19"/>
      <c r="H866" s="19"/>
      <c r="I866" s="19"/>
      <c r="J866" s="19"/>
      <c r="K866" s="19"/>
      <c r="L866" s="19"/>
    </row>
    <row r="867">
      <c r="A867" s="19"/>
      <c r="B867" s="19"/>
      <c r="C867" s="19"/>
      <c r="D867" s="19"/>
      <c r="E867" s="19"/>
      <c r="F867" s="19"/>
      <c r="G867" s="19"/>
      <c r="H867" s="19"/>
      <c r="I867" s="19"/>
      <c r="J867" s="19"/>
      <c r="K867" s="19"/>
      <c r="L867" s="19"/>
    </row>
    <row r="868">
      <c r="A868" s="19"/>
      <c r="B868" s="19"/>
      <c r="C868" s="19"/>
      <c r="D868" s="19"/>
      <c r="E868" s="19"/>
      <c r="F868" s="19"/>
      <c r="G868" s="19"/>
      <c r="H868" s="19"/>
      <c r="I868" s="19"/>
      <c r="J868" s="19"/>
      <c r="K868" s="19"/>
      <c r="L868" s="19"/>
    </row>
    <row r="869">
      <c r="A869" s="19"/>
      <c r="B869" s="19"/>
      <c r="C869" s="19"/>
      <c r="D869" s="19"/>
      <c r="E869" s="19"/>
      <c r="F869" s="19"/>
      <c r="G869" s="19"/>
      <c r="H869" s="19"/>
      <c r="I869" s="19"/>
      <c r="J869" s="19"/>
      <c r="K869" s="19"/>
      <c r="L869" s="19"/>
    </row>
    <row r="870">
      <c r="A870" s="19"/>
      <c r="B870" s="19"/>
      <c r="C870" s="19"/>
      <c r="D870" s="19"/>
      <c r="E870" s="19"/>
      <c r="F870" s="19"/>
      <c r="G870" s="19"/>
      <c r="H870" s="19"/>
      <c r="I870" s="19"/>
      <c r="J870" s="19"/>
      <c r="K870" s="19"/>
      <c r="L870" s="19"/>
    </row>
    <row r="871">
      <c r="A871" s="19"/>
      <c r="B871" s="19"/>
      <c r="C871" s="19"/>
      <c r="D871" s="19"/>
      <c r="E871" s="19"/>
      <c r="F871" s="19"/>
      <c r="G871" s="19"/>
      <c r="H871" s="19"/>
      <c r="I871" s="19"/>
      <c r="J871" s="19"/>
      <c r="K871" s="19"/>
      <c r="L871" s="19"/>
    </row>
    <row r="872">
      <c r="A872" s="19"/>
      <c r="B872" s="19"/>
      <c r="C872" s="19"/>
      <c r="D872" s="19"/>
      <c r="E872" s="19"/>
      <c r="F872" s="19"/>
      <c r="G872" s="19"/>
      <c r="H872" s="19"/>
      <c r="I872" s="19"/>
      <c r="J872" s="19"/>
      <c r="K872" s="19"/>
      <c r="L872" s="19"/>
    </row>
    <row r="873">
      <c r="A873" s="19"/>
      <c r="B873" s="19"/>
      <c r="C873" s="19"/>
      <c r="D873" s="19"/>
      <c r="E873" s="19"/>
      <c r="F873" s="19"/>
      <c r="G873" s="19"/>
      <c r="H873" s="19"/>
      <c r="I873" s="19"/>
      <c r="J873" s="19"/>
      <c r="K873" s="19"/>
      <c r="L873" s="19"/>
    </row>
    <row r="874">
      <c r="A874" s="19"/>
      <c r="B874" s="19"/>
      <c r="C874" s="19"/>
      <c r="D874" s="19"/>
      <c r="E874" s="19"/>
      <c r="F874" s="19"/>
      <c r="G874" s="19"/>
      <c r="H874" s="19"/>
      <c r="I874" s="19"/>
      <c r="J874" s="19"/>
      <c r="K874" s="19"/>
      <c r="L874" s="19"/>
    </row>
    <row r="875">
      <c r="A875" s="19"/>
      <c r="B875" s="19"/>
      <c r="C875" s="19"/>
      <c r="D875" s="19"/>
      <c r="E875" s="19"/>
      <c r="F875" s="19"/>
      <c r="G875" s="19"/>
      <c r="H875" s="19"/>
      <c r="I875" s="19"/>
      <c r="J875" s="19"/>
      <c r="K875" s="19"/>
      <c r="L875" s="19"/>
    </row>
    <row r="876">
      <c r="A876" s="19"/>
      <c r="B876" s="19"/>
      <c r="C876" s="19"/>
      <c r="D876" s="19"/>
      <c r="E876" s="19"/>
      <c r="F876" s="19"/>
      <c r="G876" s="19"/>
      <c r="H876" s="19"/>
      <c r="I876" s="19"/>
      <c r="J876" s="19"/>
      <c r="K876" s="19"/>
      <c r="L876" s="19"/>
    </row>
    <row r="877">
      <c r="A877" s="19"/>
      <c r="B877" s="19"/>
      <c r="C877" s="19"/>
      <c r="D877" s="19"/>
      <c r="E877" s="19"/>
      <c r="F877" s="19"/>
      <c r="G877" s="19"/>
      <c r="H877" s="19"/>
      <c r="I877" s="19"/>
      <c r="J877" s="19"/>
      <c r="K877" s="19"/>
      <c r="L877" s="19"/>
    </row>
    <row r="878">
      <c r="A878" s="19"/>
      <c r="B878" s="19"/>
      <c r="C878" s="19"/>
      <c r="D878" s="19"/>
      <c r="E878" s="19"/>
      <c r="F878" s="19"/>
      <c r="G878" s="19"/>
      <c r="H878" s="19"/>
      <c r="I878" s="19"/>
      <c r="J878" s="19"/>
      <c r="K878" s="19"/>
      <c r="L878" s="19"/>
    </row>
    <row r="879">
      <c r="A879" s="19"/>
      <c r="B879" s="19"/>
      <c r="C879" s="19"/>
      <c r="D879" s="19"/>
      <c r="E879" s="19"/>
      <c r="F879" s="19"/>
      <c r="G879" s="19"/>
      <c r="H879" s="19"/>
      <c r="I879" s="19"/>
      <c r="J879" s="19"/>
      <c r="K879" s="19"/>
      <c r="L879" s="19"/>
    </row>
    <row r="880">
      <c r="A880" s="19"/>
      <c r="B880" s="19"/>
      <c r="C880" s="19"/>
      <c r="D880" s="19"/>
      <c r="E880" s="19"/>
      <c r="F880" s="19"/>
      <c r="G880" s="19"/>
      <c r="H880" s="19"/>
      <c r="I880" s="19"/>
      <c r="J880" s="19"/>
      <c r="K880" s="19"/>
      <c r="L880" s="19"/>
    </row>
    <row r="881">
      <c r="A881" s="19"/>
      <c r="B881" s="19"/>
      <c r="C881" s="19"/>
      <c r="D881" s="19"/>
      <c r="E881" s="19"/>
      <c r="F881" s="19"/>
      <c r="G881" s="19"/>
      <c r="H881" s="19"/>
      <c r="I881" s="19"/>
      <c r="J881" s="19"/>
      <c r="K881" s="19"/>
      <c r="L881" s="19"/>
    </row>
    <row r="882">
      <c r="A882" s="19"/>
      <c r="B882" s="19"/>
      <c r="C882" s="19"/>
      <c r="D882" s="19"/>
      <c r="E882" s="19"/>
      <c r="F882" s="19"/>
      <c r="G882" s="19"/>
      <c r="H882" s="19"/>
      <c r="I882" s="19"/>
      <c r="J882" s="19"/>
      <c r="K882" s="19"/>
      <c r="L882" s="19"/>
    </row>
    <row r="883">
      <c r="A883" s="19"/>
      <c r="B883" s="19"/>
      <c r="C883" s="19"/>
      <c r="D883" s="19"/>
      <c r="E883" s="19"/>
      <c r="F883" s="19"/>
      <c r="G883" s="19"/>
      <c r="H883" s="19"/>
      <c r="I883" s="19"/>
      <c r="J883" s="19"/>
      <c r="K883" s="19"/>
      <c r="L883" s="19"/>
    </row>
    <row r="884">
      <c r="A884" s="19"/>
      <c r="B884" s="19"/>
      <c r="C884" s="19"/>
      <c r="D884" s="19"/>
      <c r="E884" s="19"/>
      <c r="F884" s="19"/>
      <c r="G884" s="19"/>
      <c r="H884" s="19"/>
      <c r="I884" s="19"/>
      <c r="J884" s="19"/>
      <c r="K884" s="19"/>
      <c r="L884" s="19"/>
    </row>
    <row r="885">
      <c r="A885" s="19"/>
      <c r="B885" s="19"/>
      <c r="C885" s="19"/>
      <c r="D885" s="19"/>
      <c r="E885" s="19"/>
      <c r="F885" s="19"/>
      <c r="G885" s="19"/>
      <c r="H885" s="19"/>
      <c r="I885" s="19"/>
      <c r="J885" s="19"/>
      <c r="K885" s="19"/>
      <c r="L885" s="19"/>
    </row>
    <row r="886">
      <c r="A886" s="19"/>
      <c r="B886" s="19"/>
      <c r="C886" s="19"/>
      <c r="D886" s="19"/>
      <c r="E886" s="19"/>
      <c r="F886" s="19"/>
      <c r="G886" s="19"/>
      <c r="H886" s="19"/>
      <c r="I886" s="19"/>
      <c r="J886" s="19"/>
      <c r="K886" s="19"/>
      <c r="L886" s="19"/>
    </row>
    <row r="887">
      <c r="A887" s="19"/>
      <c r="B887" s="19"/>
      <c r="C887" s="19"/>
      <c r="D887" s="19"/>
      <c r="E887" s="19"/>
      <c r="F887" s="19"/>
      <c r="G887" s="19"/>
      <c r="H887" s="19"/>
      <c r="I887" s="19"/>
      <c r="J887" s="19"/>
      <c r="K887" s="19"/>
      <c r="L887" s="19"/>
    </row>
    <row r="888">
      <c r="A888" s="19"/>
      <c r="B888" s="19"/>
      <c r="C888" s="19"/>
      <c r="D888" s="19"/>
      <c r="E888" s="19"/>
      <c r="F888" s="19"/>
      <c r="G888" s="19"/>
      <c r="H888" s="19"/>
      <c r="I888" s="19"/>
      <c r="J888" s="19"/>
      <c r="K888" s="19"/>
      <c r="L888" s="19"/>
    </row>
    <row r="889">
      <c r="A889" s="19"/>
      <c r="B889" s="19"/>
      <c r="C889" s="19"/>
      <c r="D889" s="19"/>
      <c r="E889" s="19"/>
      <c r="F889" s="19"/>
      <c r="G889" s="19"/>
      <c r="H889" s="19"/>
      <c r="I889" s="19"/>
      <c r="J889" s="19"/>
      <c r="K889" s="19"/>
      <c r="L889" s="19"/>
    </row>
    <row r="890">
      <c r="A890" s="19"/>
      <c r="B890" s="19"/>
      <c r="C890" s="19"/>
      <c r="D890" s="19"/>
      <c r="E890" s="19"/>
      <c r="F890" s="19"/>
      <c r="G890" s="19"/>
      <c r="H890" s="19"/>
      <c r="I890" s="19"/>
      <c r="J890" s="19"/>
      <c r="K890" s="19"/>
      <c r="L890" s="19"/>
    </row>
    <row r="891">
      <c r="A891" s="19"/>
      <c r="B891" s="19"/>
      <c r="C891" s="19"/>
      <c r="D891" s="19"/>
      <c r="E891" s="19"/>
      <c r="F891" s="19"/>
      <c r="G891" s="19"/>
      <c r="H891" s="19"/>
      <c r="I891" s="19"/>
      <c r="J891" s="19"/>
      <c r="K891" s="19"/>
      <c r="L891" s="19"/>
    </row>
    <row r="892">
      <c r="A892" s="19"/>
      <c r="B892" s="19"/>
      <c r="C892" s="19"/>
      <c r="D892" s="19"/>
      <c r="E892" s="19"/>
      <c r="F892" s="19"/>
      <c r="G892" s="19"/>
      <c r="H892" s="19"/>
      <c r="I892" s="19"/>
      <c r="J892" s="19"/>
      <c r="K892" s="19"/>
      <c r="L892" s="19"/>
    </row>
    <row r="893">
      <c r="A893" s="19"/>
      <c r="B893" s="19"/>
      <c r="C893" s="19"/>
      <c r="D893" s="19"/>
      <c r="E893" s="19"/>
      <c r="F893" s="19"/>
      <c r="G893" s="19"/>
      <c r="H893" s="19"/>
      <c r="I893" s="19"/>
      <c r="J893" s="19"/>
      <c r="K893" s="19"/>
      <c r="L893" s="19"/>
    </row>
    <row r="894">
      <c r="A894" s="19"/>
      <c r="B894" s="19"/>
      <c r="C894" s="19"/>
      <c r="D894" s="19"/>
      <c r="E894" s="19"/>
      <c r="F894" s="19"/>
      <c r="G894" s="19"/>
      <c r="H894" s="19"/>
      <c r="I894" s="19"/>
      <c r="J894" s="19"/>
      <c r="K894" s="19"/>
      <c r="L894" s="19"/>
    </row>
    <row r="895">
      <c r="A895" s="19"/>
      <c r="B895" s="19"/>
      <c r="C895" s="19"/>
      <c r="D895" s="19"/>
      <c r="E895" s="19"/>
      <c r="F895" s="19"/>
      <c r="G895" s="19"/>
      <c r="H895" s="19"/>
      <c r="I895" s="19"/>
      <c r="J895" s="19"/>
      <c r="K895" s="19"/>
      <c r="L895" s="19"/>
    </row>
    <row r="896">
      <c r="A896" s="19"/>
      <c r="B896" s="19"/>
      <c r="C896" s="19"/>
      <c r="D896" s="19"/>
      <c r="E896" s="19"/>
      <c r="F896" s="19"/>
      <c r="G896" s="19"/>
      <c r="H896" s="19"/>
      <c r="I896" s="19"/>
      <c r="J896" s="19"/>
      <c r="K896" s="19"/>
      <c r="L896" s="19"/>
    </row>
    <row r="897">
      <c r="A897" s="19"/>
      <c r="B897" s="19"/>
      <c r="C897" s="19"/>
      <c r="D897" s="19"/>
      <c r="E897" s="19"/>
      <c r="F897" s="19"/>
      <c r="G897" s="19"/>
      <c r="H897" s="19"/>
      <c r="I897" s="19"/>
      <c r="J897" s="19"/>
      <c r="K897" s="19"/>
      <c r="L897" s="19"/>
    </row>
    <row r="898">
      <c r="A898" s="19"/>
      <c r="B898" s="19"/>
      <c r="C898" s="19"/>
      <c r="D898" s="19"/>
      <c r="E898" s="19"/>
      <c r="F898" s="19"/>
      <c r="G898" s="19"/>
      <c r="H898" s="19"/>
      <c r="I898" s="19"/>
      <c r="J898" s="19"/>
      <c r="K898" s="19"/>
      <c r="L898" s="19"/>
    </row>
    <row r="899">
      <c r="A899" s="19"/>
      <c r="B899" s="19"/>
      <c r="C899" s="19"/>
      <c r="D899" s="19"/>
      <c r="E899" s="19"/>
      <c r="F899" s="19"/>
      <c r="G899" s="19"/>
      <c r="H899" s="19"/>
      <c r="I899" s="19"/>
      <c r="J899" s="19"/>
      <c r="K899" s="19"/>
      <c r="L899" s="19"/>
    </row>
    <row r="900">
      <c r="A900" s="19"/>
      <c r="B900" s="19"/>
      <c r="C900" s="19"/>
      <c r="D900" s="19"/>
      <c r="E900" s="19"/>
      <c r="F900" s="19"/>
      <c r="G900" s="19"/>
      <c r="H900" s="19"/>
      <c r="I900" s="19"/>
      <c r="J900" s="19"/>
      <c r="K900" s="19"/>
      <c r="L900" s="19"/>
    </row>
    <row r="901">
      <c r="A901" s="19"/>
      <c r="B901" s="19"/>
      <c r="C901" s="19"/>
      <c r="D901" s="19"/>
      <c r="E901" s="19"/>
      <c r="F901" s="19"/>
      <c r="G901" s="19"/>
      <c r="H901" s="19"/>
      <c r="I901" s="19"/>
      <c r="J901" s="19"/>
      <c r="K901" s="19"/>
      <c r="L901" s="19"/>
    </row>
    <row r="902">
      <c r="A902" s="19"/>
      <c r="B902" s="19"/>
      <c r="C902" s="19"/>
      <c r="D902" s="19"/>
      <c r="E902" s="19"/>
      <c r="F902" s="19"/>
      <c r="G902" s="19"/>
      <c r="H902" s="19"/>
      <c r="I902" s="19"/>
      <c r="J902" s="19"/>
      <c r="K902" s="19"/>
      <c r="L902" s="19"/>
    </row>
    <row r="903">
      <c r="A903" s="19"/>
      <c r="B903" s="19"/>
      <c r="C903" s="19"/>
      <c r="D903" s="19"/>
      <c r="E903" s="19"/>
      <c r="F903" s="19"/>
      <c r="G903" s="19"/>
      <c r="H903" s="19"/>
      <c r="I903" s="19"/>
      <c r="J903" s="19"/>
      <c r="K903" s="19"/>
      <c r="L903" s="19"/>
    </row>
    <row r="904">
      <c r="A904" s="19"/>
      <c r="B904" s="19"/>
      <c r="C904" s="19"/>
      <c r="D904" s="19"/>
      <c r="E904" s="19"/>
      <c r="F904" s="19"/>
      <c r="G904" s="19"/>
      <c r="H904" s="19"/>
      <c r="I904" s="19"/>
      <c r="J904" s="19"/>
      <c r="K904" s="19"/>
      <c r="L904" s="19"/>
    </row>
    <row r="905">
      <c r="A905" s="19"/>
      <c r="B905" s="19"/>
      <c r="C905" s="19"/>
      <c r="D905" s="19"/>
      <c r="E905" s="19"/>
      <c r="F905" s="19"/>
      <c r="G905" s="19"/>
      <c r="H905" s="19"/>
      <c r="I905" s="19"/>
      <c r="J905" s="19"/>
      <c r="K905" s="19"/>
      <c r="L905" s="19"/>
    </row>
    <row r="906">
      <c r="A906" s="19"/>
      <c r="B906" s="19"/>
      <c r="C906" s="19"/>
      <c r="D906" s="19"/>
      <c r="E906" s="19"/>
      <c r="F906" s="19"/>
      <c r="G906" s="19"/>
      <c r="H906" s="19"/>
      <c r="I906" s="19"/>
      <c r="J906" s="19"/>
      <c r="K906" s="19"/>
      <c r="L906" s="19"/>
    </row>
    <row r="907">
      <c r="A907" s="19"/>
      <c r="B907" s="19"/>
      <c r="C907" s="19"/>
      <c r="D907" s="19"/>
      <c r="E907" s="19"/>
      <c r="F907" s="19"/>
      <c r="G907" s="19"/>
      <c r="H907" s="19"/>
      <c r="I907" s="19"/>
      <c r="J907" s="19"/>
      <c r="K907" s="19"/>
      <c r="L907" s="19"/>
    </row>
    <row r="908">
      <c r="A908" s="19"/>
      <c r="B908" s="19"/>
      <c r="C908" s="19"/>
      <c r="D908" s="19"/>
      <c r="E908" s="19"/>
      <c r="F908" s="19"/>
      <c r="G908" s="19"/>
      <c r="H908" s="19"/>
      <c r="I908" s="19"/>
      <c r="J908" s="19"/>
      <c r="K908" s="19"/>
      <c r="L908" s="19"/>
    </row>
    <row r="909">
      <c r="A909" s="19"/>
      <c r="B909" s="19"/>
      <c r="C909" s="19"/>
      <c r="D909" s="19"/>
      <c r="E909" s="19"/>
      <c r="F909" s="19"/>
      <c r="G909" s="19"/>
      <c r="H909" s="19"/>
      <c r="I909" s="19"/>
      <c r="J909" s="19"/>
      <c r="K909" s="19"/>
      <c r="L909" s="19"/>
    </row>
    <row r="910">
      <c r="A910" s="19"/>
      <c r="B910" s="19"/>
      <c r="C910" s="19"/>
      <c r="D910" s="19"/>
      <c r="E910" s="19"/>
      <c r="F910" s="19"/>
      <c r="G910" s="19"/>
      <c r="H910" s="19"/>
      <c r="I910" s="19"/>
      <c r="J910" s="19"/>
      <c r="K910" s="19"/>
      <c r="L910" s="19"/>
    </row>
    <row r="911">
      <c r="A911" s="19"/>
      <c r="B911" s="19"/>
      <c r="C911" s="19"/>
      <c r="D911" s="19"/>
      <c r="E911" s="19"/>
      <c r="F911" s="19"/>
      <c r="G911" s="19"/>
      <c r="H911" s="19"/>
      <c r="I911" s="19"/>
      <c r="J911" s="19"/>
      <c r="K911" s="19"/>
      <c r="L911" s="19"/>
    </row>
    <row r="912">
      <c r="A912" s="19"/>
      <c r="B912" s="19"/>
      <c r="C912" s="19"/>
      <c r="D912" s="19"/>
      <c r="E912" s="19"/>
      <c r="F912" s="19"/>
      <c r="G912" s="19"/>
      <c r="H912" s="19"/>
      <c r="I912" s="19"/>
      <c r="J912" s="19"/>
      <c r="K912" s="19"/>
      <c r="L912" s="19"/>
    </row>
    <row r="913">
      <c r="A913" s="19"/>
      <c r="B913" s="19"/>
      <c r="C913" s="19"/>
      <c r="D913" s="19"/>
      <c r="E913" s="19"/>
      <c r="F913" s="19"/>
      <c r="G913" s="19"/>
      <c r="H913" s="19"/>
      <c r="I913" s="19"/>
      <c r="J913" s="19"/>
      <c r="K913" s="19"/>
      <c r="L913" s="19"/>
    </row>
    <row r="914">
      <c r="A914" s="19"/>
      <c r="B914" s="19"/>
      <c r="C914" s="19"/>
      <c r="D914" s="19"/>
      <c r="E914" s="19"/>
      <c r="F914" s="19"/>
      <c r="G914" s="19"/>
      <c r="H914" s="19"/>
      <c r="I914" s="19"/>
      <c r="J914" s="19"/>
      <c r="K914" s="19"/>
      <c r="L914" s="19"/>
    </row>
    <row r="915">
      <c r="A915" s="19"/>
      <c r="B915" s="19"/>
      <c r="C915" s="19"/>
      <c r="D915" s="19"/>
      <c r="E915" s="19"/>
      <c r="F915" s="19"/>
      <c r="G915" s="19"/>
      <c r="H915" s="19"/>
      <c r="I915" s="19"/>
      <c r="J915" s="19"/>
      <c r="K915" s="19"/>
      <c r="L915" s="19"/>
    </row>
    <row r="916">
      <c r="A916" s="19"/>
      <c r="B916" s="19"/>
      <c r="C916" s="19"/>
      <c r="D916" s="19"/>
      <c r="E916" s="19"/>
      <c r="F916" s="19"/>
      <c r="G916" s="19"/>
      <c r="H916" s="19"/>
      <c r="I916" s="19"/>
      <c r="J916" s="19"/>
      <c r="K916" s="19"/>
      <c r="L916" s="19"/>
    </row>
    <row r="917">
      <c r="A917" s="19"/>
      <c r="B917" s="19"/>
      <c r="C917" s="19"/>
      <c r="D917" s="19"/>
      <c r="E917" s="19"/>
      <c r="F917" s="19"/>
      <c r="G917" s="19"/>
      <c r="H917" s="19"/>
      <c r="I917" s="19"/>
      <c r="J917" s="19"/>
      <c r="K917" s="19"/>
      <c r="L917" s="19"/>
    </row>
    <row r="918">
      <c r="A918" s="19"/>
      <c r="B918" s="19"/>
      <c r="C918" s="19"/>
      <c r="D918" s="19"/>
      <c r="E918" s="19"/>
      <c r="F918" s="19"/>
      <c r="G918" s="19"/>
      <c r="H918" s="19"/>
      <c r="I918" s="19"/>
      <c r="J918" s="19"/>
      <c r="K918" s="19"/>
      <c r="L918" s="19"/>
    </row>
    <row r="919">
      <c r="A919" s="19"/>
      <c r="B919" s="19"/>
      <c r="C919" s="19"/>
      <c r="D919" s="19"/>
      <c r="E919" s="19"/>
      <c r="F919" s="19"/>
      <c r="G919" s="19"/>
      <c r="H919" s="19"/>
      <c r="I919" s="19"/>
      <c r="J919" s="19"/>
      <c r="K919" s="19"/>
      <c r="L919" s="19"/>
    </row>
    <row r="920">
      <c r="A920" s="19"/>
      <c r="B920" s="19"/>
      <c r="C920" s="19"/>
      <c r="D920" s="19"/>
      <c r="E920" s="19"/>
      <c r="F920" s="19"/>
      <c r="G920" s="19"/>
      <c r="H920" s="19"/>
      <c r="I920" s="19"/>
      <c r="J920" s="19"/>
      <c r="K920" s="19"/>
      <c r="L920" s="19"/>
    </row>
    <row r="921">
      <c r="A921" s="19"/>
      <c r="B921" s="19"/>
      <c r="C921" s="19"/>
      <c r="D921" s="19"/>
      <c r="E921" s="19"/>
      <c r="F921" s="19"/>
      <c r="G921" s="19"/>
      <c r="H921" s="19"/>
      <c r="I921" s="19"/>
      <c r="J921" s="19"/>
      <c r="K921" s="19"/>
      <c r="L921" s="19"/>
    </row>
    <row r="922">
      <c r="A922" s="19"/>
      <c r="B922" s="19"/>
      <c r="C922" s="19"/>
      <c r="D922" s="19"/>
      <c r="E922" s="19"/>
      <c r="F922" s="19"/>
      <c r="G922" s="19"/>
      <c r="H922" s="19"/>
      <c r="I922" s="19"/>
      <c r="J922" s="19"/>
      <c r="K922" s="19"/>
      <c r="L922" s="19"/>
    </row>
    <row r="923">
      <c r="A923" s="19"/>
      <c r="B923" s="19"/>
      <c r="C923" s="19"/>
      <c r="D923" s="19"/>
      <c r="E923" s="19"/>
      <c r="F923" s="19"/>
      <c r="G923" s="19"/>
      <c r="H923" s="19"/>
      <c r="I923" s="19"/>
      <c r="J923" s="19"/>
      <c r="K923" s="19"/>
      <c r="L923" s="19"/>
    </row>
    <row r="924">
      <c r="A924" s="19"/>
      <c r="B924" s="19"/>
      <c r="C924" s="19"/>
      <c r="D924" s="19"/>
      <c r="E924" s="19"/>
      <c r="F924" s="19"/>
      <c r="G924" s="19"/>
      <c r="H924" s="19"/>
      <c r="I924" s="19"/>
      <c r="J924" s="19"/>
      <c r="K924" s="19"/>
      <c r="L924" s="19"/>
    </row>
    <row r="925">
      <c r="A925" s="19"/>
      <c r="B925" s="19"/>
      <c r="C925" s="19"/>
      <c r="D925" s="19"/>
      <c r="E925" s="19"/>
      <c r="F925" s="19"/>
      <c r="G925" s="19"/>
      <c r="H925" s="19"/>
      <c r="I925" s="19"/>
      <c r="J925" s="19"/>
      <c r="K925" s="19"/>
      <c r="L925" s="19"/>
    </row>
    <row r="926">
      <c r="A926" s="19"/>
      <c r="B926" s="19"/>
      <c r="C926" s="19"/>
      <c r="D926" s="19"/>
      <c r="E926" s="19"/>
      <c r="F926" s="19"/>
      <c r="G926" s="19"/>
      <c r="H926" s="19"/>
      <c r="I926" s="19"/>
      <c r="J926" s="19"/>
      <c r="K926" s="19"/>
      <c r="L926" s="19"/>
    </row>
    <row r="927">
      <c r="A927" s="19"/>
      <c r="B927" s="19"/>
      <c r="C927" s="19"/>
      <c r="D927" s="19"/>
      <c r="E927" s="19"/>
      <c r="F927" s="19"/>
      <c r="G927" s="19"/>
      <c r="H927" s="19"/>
      <c r="I927" s="19"/>
      <c r="J927" s="19"/>
      <c r="K927" s="19"/>
      <c r="L927" s="19"/>
    </row>
    <row r="928">
      <c r="A928" s="19"/>
      <c r="B928" s="19"/>
      <c r="C928" s="19"/>
      <c r="D928" s="19"/>
      <c r="E928" s="19"/>
      <c r="F928" s="19"/>
      <c r="G928" s="19"/>
      <c r="H928" s="19"/>
      <c r="I928" s="19"/>
      <c r="J928" s="19"/>
      <c r="K928" s="19"/>
      <c r="L928" s="19"/>
    </row>
    <row r="929">
      <c r="A929" s="19"/>
      <c r="B929" s="19"/>
      <c r="C929" s="19"/>
      <c r="D929" s="19"/>
      <c r="E929" s="19"/>
      <c r="F929" s="19"/>
      <c r="G929" s="19"/>
      <c r="H929" s="19"/>
      <c r="I929" s="19"/>
      <c r="J929" s="19"/>
      <c r="K929" s="19"/>
      <c r="L929" s="19"/>
    </row>
    <row r="930">
      <c r="A930" s="19"/>
      <c r="B930" s="19"/>
      <c r="C930" s="19"/>
      <c r="D930" s="19"/>
      <c r="E930" s="19"/>
      <c r="F930" s="19"/>
      <c r="G930" s="19"/>
      <c r="H930" s="19"/>
      <c r="I930" s="19"/>
      <c r="J930" s="19"/>
      <c r="K930" s="19"/>
      <c r="L930" s="19"/>
    </row>
    <row r="931">
      <c r="A931" s="19"/>
      <c r="B931" s="19"/>
      <c r="C931" s="19"/>
      <c r="D931" s="19"/>
      <c r="E931" s="19"/>
      <c r="F931" s="19"/>
      <c r="G931" s="19"/>
      <c r="H931" s="19"/>
      <c r="I931" s="19"/>
      <c r="J931" s="19"/>
      <c r="K931" s="19"/>
      <c r="L931" s="19"/>
    </row>
    <row r="932">
      <c r="A932" s="19"/>
      <c r="B932" s="19"/>
      <c r="C932" s="19"/>
      <c r="D932" s="19"/>
      <c r="E932" s="19"/>
      <c r="F932" s="19"/>
      <c r="G932" s="19"/>
      <c r="H932" s="19"/>
      <c r="I932" s="19"/>
      <c r="J932" s="19"/>
      <c r="K932" s="19"/>
      <c r="L932" s="19"/>
    </row>
    <row r="933">
      <c r="A933" s="19"/>
      <c r="B933" s="19"/>
      <c r="C933" s="19"/>
      <c r="D933" s="19"/>
      <c r="E933" s="19"/>
      <c r="F933" s="19"/>
      <c r="G933" s="19"/>
      <c r="H933" s="19"/>
      <c r="I933" s="19"/>
      <c r="J933" s="19"/>
      <c r="K933" s="19"/>
      <c r="L933" s="19"/>
    </row>
    <row r="934">
      <c r="A934" s="19"/>
      <c r="B934" s="19"/>
      <c r="C934" s="19"/>
      <c r="D934" s="19"/>
      <c r="E934" s="19"/>
      <c r="F934" s="19"/>
      <c r="G934" s="19"/>
      <c r="H934" s="19"/>
      <c r="I934" s="19"/>
      <c r="J934" s="19"/>
      <c r="K934" s="19"/>
      <c r="L934" s="19"/>
    </row>
    <row r="935">
      <c r="A935" s="19"/>
      <c r="B935" s="19"/>
      <c r="C935" s="19"/>
      <c r="D935" s="19"/>
      <c r="E935" s="19"/>
      <c r="F935" s="19"/>
      <c r="G935" s="19"/>
      <c r="H935" s="19"/>
      <c r="I935" s="19"/>
      <c r="J935" s="19"/>
      <c r="K935" s="19"/>
      <c r="L935" s="19"/>
    </row>
    <row r="936">
      <c r="A936" s="19"/>
      <c r="B936" s="19"/>
      <c r="C936" s="19"/>
      <c r="D936" s="19"/>
      <c r="E936" s="19"/>
      <c r="F936" s="19"/>
      <c r="G936" s="19"/>
      <c r="H936" s="19"/>
      <c r="I936" s="19"/>
      <c r="J936" s="19"/>
      <c r="K936" s="19"/>
      <c r="L936" s="19"/>
    </row>
    <row r="937">
      <c r="A937" s="19"/>
      <c r="B937" s="19"/>
      <c r="C937" s="19"/>
      <c r="D937" s="19"/>
      <c r="E937" s="19"/>
      <c r="F937" s="19"/>
      <c r="G937" s="19"/>
      <c r="H937" s="19"/>
      <c r="I937" s="19"/>
      <c r="J937" s="19"/>
      <c r="K937" s="19"/>
      <c r="L937" s="19"/>
    </row>
    <row r="938">
      <c r="A938" s="19"/>
      <c r="B938" s="19"/>
      <c r="C938" s="19"/>
      <c r="D938" s="19"/>
      <c r="E938" s="19"/>
      <c r="F938" s="19"/>
      <c r="G938" s="19"/>
      <c r="H938" s="19"/>
      <c r="I938" s="19"/>
      <c r="J938" s="19"/>
      <c r="K938" s="19"/>
      <c r="L938" s="19"/>
    </row>
    <row r="939">
      <c r="A939" s="19"/>
      <c r="B939" s="19"/>
      <c r="C939" s="19"/>
      <c r="D939" s="19"/>
      <c r="E939" s="19"/>
      <c r="F939" s="19"/>
      <c r="G939" s="19"/>
      <c r="H939" s="19"/>
      <c r="I939" s="19"/>
      <c r="J939" s="19"/>
      <c r="K939" s="19"/>
      <c r="L939" s="19"/>
    </row>
    <row r="940">
      <c r="A940" s="19"/>
      <c r="B940" s="19"/>
      <c r="C940" s="19"/>
      <c r="D940" s="19"/>
      <c r="E940" s="19"/>
      <c r="F940" s="19"/>
      <c r="G940" s="19"/>
      <c r="H940" s="19"/>
      <c r="I940" s="19"/>
      <c r="J940" s="19"/>
      <c r="K940" s="19"/>
      <c r="L940" s="19"/>
    </row>
    <row r="941">
      <c r="A941" s="19"/>
      <c r="B941" s="19"/>
      <c r="C941" s="19"/>
      <c r="D941" s="19"/>
      <c r="E941" s="19"/>
      <c r="F941" s="19"/>
      <c r="G941" s="19"/>
      <c r="H941" s="19"/>
      <c r="I941" s="19"/>
      <c r="J941" s="19"/>
      <c r="K941" s="19"/>
      <c r="L941" s="19"/>
    </row>
    <row r="942">
      <c r="A942" s="19"/>
      <c r="B942" s="19"/>
      <c r="C942" s="19"/>
      <c r="D942" s="19"/>
      <c r="E942" s="19"/>
      <c r="F942" s="19"/>
      <c r="G942" s="19"/>
      <c r="H942" s="19"/>
      <c r="I942" s="19"/>
      <c r="J942" s="19"/>
      <c r="K942" s="19"/>
      <c r="L942" s="19"/>
    </row>
    <row r="943">
      <c r="A943" s="19"/>
      <c r="B943" s="19"/>
      <c r="C943" s="19"/>
      <c r="D943" s="19"/>
      <c r="E943" s="19"/>
      <c r="F943" s="19"/>
      <c r="G943" s="19"/>
      <c r="H943" s="19"/>
      <c r="I943" s="19"/>
      <c r="J943" s="19"/>
      <c r="K943" s="19"/>
      <c r="L943" s="19"/>
    </row>
    <row r="944">
      <c r="A944" s="19"/>
      <c r="B944" s="19"/>
      <c r="C944" s="19"/>
      <c r="D944" s="19"/>
      <c r="E944" s="19"/>
      <c r="F944" s="19"/>
      <c r="G944" s="19"/>
      <c r="H944" s="19"/>
      <c r="I944" s="19"/>
      <c r="J944" s="19"/>
      <c r="K944" s="19"/>
      <c r="L944" s="19"/>
    </row>
    <row r="945">
      <c r="A945" s="19"/>
      <c r="B945" s="19"/>
      <c r="C945" s="19"/>
      <c r="D945" s="19"/>
      <c r="E945" s="19"/>
      <c r="F945" s="19"/>
      <c r="G945" s="19"/>
      <c r="H945" s="19"/>
      <c r="I945" s="19"/>
      <c r="J945" s="19"/>
      <c r="K945" s="19"/>
      <c r="L945" s="19"/>
    </row>
    <row r="946">
      <c r="A946" s="19"/>
      <c r="B946" s="19"/>
      <c r="C946" s="19"/>
      <c r="D946" s="19"/>
      <c r="E946" s="19"/>
      <c r="F946" s="19"/>
      <c r="G946" s="19"/>
      <c r="H946" s="19"/>
      <c r="I946" s="19"/>
      <c r="J946" s="19"/>
      <c r="K946" s="19"/>
      <c r="L946" s="19"/>
    </row>
    <row r="947">
      <c r="A947" s="19"/>
      <c r="B947" s="19"/>
      <c r="C947" s="19"/>
      <c r="D947" s="19"/>
      <c r="E947" s="19"/>
      <c r="F947" s="19"/>
      <c r="G947" s="19"/>
      <c r="H947" s="19"/>
      <c r="I947" s="19"/>
      <c r="J947" s="19"/>
      <c r="K947" s="19"/>
      <c r="L947" s="19"/>
    </row>
    <row r="948">
      <c r="A948" s="19"/>
      <c r="B948" s="19"/>
      <c r="C948" s="19"/>
      <c r="D948" s="19"/>
      <c r="E948" s="19"/>
      <c r="F948" s="19"/>
      <c r="G948" s="19"/>
      <c r="H948" s="19"/>
      <c r="I948" s="19"/>
      <c r="J948" s="19"/>
      <c r="K948" s="19"/>
      <c r="L948" s="19"/>
    </row>
    <row r="949">
      <c r="A949" s="19"/>
      <c r="B949" s="19"/>
      <c r="C949" s="19"/>
      <c r="D949" s="19"/>
      <c r="E949" s="19"/>
      <c r="F949" s="19"/>
      <c r="G949" s="19"/>
      <c r="H949" s="19"/>
      <c r="I949" s="19"/>
      <c r="J949" s="19"/>
      <c r="K949" s="19"/>
      <c r="L949" s="19"/>
    </row>
    <row r="950">
      <c r="A950" s="19"/>
      <c r="B950" s="19"/>
      <c r="C950" s="19"/>
      <c r="D950" s="19"/>
      <c r="E950" s="19"/>
      <c r="F950" s="19"/>
      <c r="G950" s="19"/>
      <c r="H950" s="19"/>
      <c r="I950" s="19"/>
      <c r="J950" s="19"/>
      <c r="K950" s="19"/>
      <c r="L950" s="19"/>
    </row>
    <row r="951">
      <c r="A951" s="19"/>
      <c r="B951" s="19"/>
      <c r="C951" s="19"/>
      <c r="D951" s="19"/>
      <c r="E951" s="19"/>
      <c r="F951" s="19"/>
      <c r="G951" s="19"/>
      <c r="H951" s="19"/>
      <c r="I951" s="19"/>
      <c r="J951" s="19"/>
      <c r="K951" s="19"/>
      <c r="L951" s="19"/>
    </row>
    <row r="952">
      <c r="A952" s="19"/>
      <c r="B952" s="19"/>
      <c r="C952" s="19"/>
      <c r="D952" s="19"/>
      <c r="E952" s="19"/>
      <c r="F952" s="19"/>
      <c r="G952" s="19"/>
      <c r="H952" s="19"/>
      <c r="I952" s="19"/>
      <c r="J952" s="19"/>
      <c r="K952" s="19"/>
      <c r="L952" s="19"/>
    </row>
    <row r="953">
      <c r="A953" s="19"/>
      <c r="B953" s="19"/>
      <c r="C953" s="19"/>
      <c r="D953" s="19"/>
      <c r="E953" s="19"/>
      <c r="F953" s="19"/>
      <c r="G953" s="19"/>
      <c r="H953" s="19"/>
      <c r="I953" s="19"/>
      <c r="J953" s="19"/>
      <c r="K953" s="19"/>
      <c r="L953" s="19"/>
    </row>
    <row r="954">
      <c r="A954" s="19"/>
      <c r="B954" s="19"/>
      <c r="C954" s="19"/>
      <c r="D954" s="19"/>
      <c r="E954" s="19"/>
      <c r="F954" s="19"/>
      <c r="G954" s="19"/>
      <c r="H954" s="19"/>
      <c r="I954" s="19"/>
      <c r="J954" s="19"/>
      <c r="K954" s="19"/>
      <c r="L954" s="19"/>
    </row>
    <row r="955">
      <c r="A955" s="19"/>
      <c r="B955" s="19"/>
      <c r="C955" s="19"/>
      <c r="D955" s="19"/>
      <c r="E955" s="19"/>
      <c r="F955" s="19"/>
      <c r="G955" s="19"/>
      <c r="H955" s="19"/>
      <c r="I955" s="19"/>
      <c r="J955" s="19"/>
      <c r="K955" s="19"/>
      <c r="L955" s="19"/>
    </row>
    <row r="956">
      <c r="A956" s="19"/>
      <c r="B956" s="19"/>
      <c r="C956" s="19"/>
      <c r="D956" s="19"/>
      <c r="E956" s="19"/>
      <c r="F956" s="19"/>
      <c r="G956" s="19"/>
      <c r="H956" s="19"/>
      <c r="I956" s="19"/>
      <c r="J956" s="19"/>
      <c r="K956" s="19"/>
      <c r="L956" s="19"/>
    </row>
    <row r="957">
      <c r="A957" s="19"/>
      <c r="B957" s="19"/>
      <c r="C957" s="19"/>
      <c r="D957" s="19"/>
      <c r="E957" s="19"/>
      <c r="F957" s="19"/>
      <c r="G957" s="19"/>
      <c r="H957" s="19"/>
      <c r="I957" s="19"/>
      <c r="J957" s="19"/>
      <c r="K957" s="19"/>
      <c r="L957" s="19"/>
    </row>
    <row r="958">
      <c r="A958" s="19"/>
      <c r="B958" s="19"/>
      <c r="C958" s="19"/>
      <c r="D958" s="19"/>
      <c r="E958" s="19"/>
      <c r="F958" s="19"/>
      <c r="G958" s="19"/>
      <c r="H958" s="19"/>
      <c r="I958" s="19"/>
      <c r="J958" s="19"/>
      <c r="K958" s="19"/>
      <c r="L958" s="19"/>
    </row>
    <row r="959">
      <c r="A959" s="19"/>
      <c r="B959" s="19"/>
      <c r="C959" s="19"/>
      <c r="D959" s="19"/>
      <c r="E959" s="19"/>
      <c r="F959" s="19"/>
      <c r="G959" s="19"/>
      <c r="H959" s="19"/>
      <c r="I959" s="19"/>
      <c r="J959" s="19"/>
      <c r="K959" s="19"/>
      <c r="L959" s="19"/>
    </row>
    <row r="960">
      <c r="A960" s="19"/>
      <c r="B960" s="19"/>
      <c r="C960" s="19"/>
      <c r="D960" s="19"/>
      <c r="E960" s="19"/>
      <c r="F960" s="19"/>
      <c r="G960" s="19"/>
      <c r="H960" s="19"/>
      <c r="I960" s="19"/>
      <c r="J960" s="19"/>
      <c r="K960" s="19"/>
      <c r="L960" s="19"/>
    </row>
    <row r="961">
      <c r="A961" s="19"/>
      <c r="B961" s="19"/>
      <c r="C961" s="19"/>
      <c r="D961" s="19"/>
      <c r="E961" s="19"/>
      <c r="F961" s="19"/>
      <c r="G961" s="19"/>
      <c r="H961" s="19"/>
      <c r="I961" s="19"/>
      <c r="J961" s="19"/>
      <c r="K961" s="19"/>
      <c r="L961" s="19"/>
    </row>
    <row r="962">
      <c r="A962" s="19"/>
      <c r="B962" s="19"/>
      <c r="C962" s="19"/>
      <c r="D962" s="19"/>
      <c r="E962" s="19"/>
      <c r="F962" s="19"/>
      <c r="G962" s="19"/>
      <c r="H962" s="19"/>
      <c r="I962" s="19"/>
      <c r="J962" s="19"/>
      <c r="K962" s="19"/>
      <c r="L962" s="19"/>
    </row>
    <row r="963">
      <c r="A963" s="19"/>
      <c r="B963" s="19"/>
      <c r="C963" s="19"/>
      <c r="D963" s="19"/>
      <c r="E963" s="19"/>
      <c r="F963" s="19"/>
      <c r="G963" s="19"/>
      <c r="H963" s="19"/>
      <c r="I963" s="19"/>
      <c r="J963" s="19"/>
      <c r="K963" s="19"/>
      <c r="L963" s="19"/>
    </row>
    <row r="964">
      <c r="A964" s="19"/>
      <c r="B964" s="19"/>
      <c r="C964" s="19"/>
      <c r="D964" s="19"/>
      <c r="E964" s="19"/>
      <c r="F964" s="19"/>
      <c r="G964" s="19"/>
      <c r="H964" s="19"/>
      <c r="I964" s="19"/>
      <c r="J964" s="19"/>
      <c r="K964" s="19"/>
      <c r="L964" s="19"/>
    </row>
    <row r="965">
      <c r="A965" s="19"/>
      <c r="B965" s="19"/>
      <c r="C965" s="19"/>
      <c r="D965" s="19"/>
      <c r="E965" s="19"/>
      <c r="F965" s="19"/>
      <c r="G965" s="19"/>
      <c r="H965" s="19"/>
      <c r="I965" s="19"/>
      <c r="J965" s="19"/>
      <c r="K965" s="19"/>
      <c r="L965" s="19"/>
    </row>
    <row r="966">
      <c r="A966" s="19"/>
      <c r="B966" s="19"/>
      <c r="C966" s="19"/>
      <c r="D966" s="19"/>
      <c r="E966" s="19"/>
      <c r="F966" s="19"/>
      <c r="G966" s="19"/>
      <c r="H966" s="19"/>
      <c r="I966" s="19"/>
      <c r="J966" s="19"/>
      <c r="K966" s="19"/>
      <c r="L966" s="19"/>
    </row>
    <row r="967">
      <c r="A967" s="19"/>
      <c r="B967" s="19"/>
      <c r="C967" s="19"/>
      <c r="D967" s="19"/>
      <c r="E967" s="19"/>
      <c r="F967" s="19"/>
      <c r="G967" s="19"/>
      <c r="H967" s="19"/>
      <c r="I967" s="19"/>
      <c r="J967" s="19"/>
      <c r="K967" s="19"/>
      <c r="L967" s="19"/>
    </row>
    <row r="968">
      <c r="A968" s="19"/>
      <c r="B968" s="19"/>
      <c r="C968" s="19"/>
      <c r="D968" s="19"/>
      <c r="E968" s="19"/>
      <c r="F968" s="19"/>
      <c r="G968" s="19"/>
      <c r="H968" s="19"/>
      <c r="I968" s="19"/>
      <c r="J968" s="19"/>
      <c r="K968" s="19"/>
      <c r="L968" s="19"/>
    </row>
    <row r="969">
      <c r="A969" s="19"/>
      <c r="B969" s="19"/>
      <c r="C969" s="19"/>
      <c r="D969" s="19"/>
      <c r="E969" s="19"/>
      <c r="F969" s="19"/>
      <c r="G969" s="19"/>
      <c r="H969" s="19"/>
      <c r="I969" s="19"/>
      <c r="J969" s="19"/>
      <c r="K969" s="19"/>
      <c r="L969" s="19"/>
    </row>
    <row r="970">
      <c r="A970" s="19"/>
      <c r="B970" s="19"/>
      <c r="C970" s="19"/>
      <c r="D970" s="19"/>
      <c r="E970" s="19"/>
      <c r="F970" s="19"/>
      <c r="G970" s="19"/>
      <c r="H970" s="19"/>
      <c r="I970" s="19"/>
      <c r="J970" s="19"/>
      <c r="K970" s="19"/>
      <c r="L970" s="19"/>
    </row>
    <row r="971">
      <c r="A971" s="19"/>
      <c r="B971" s="19"/>
      <c r="C971" s="19"/>
      <c r="D971" s="19"/>
      <c r="E971" s="19"/>
      <c r="F971" s="19"/>
      <c r="G971" s="19"/>
      <c r="H971" s="19"/>
      <c r="I971" s="19"/>
      <c r="J971" s="19"/>
      <c r="K971" s="19"/>
      <c r="L971" s="19"/>
    </row>
    <row r="972">
      <c r="A972" s="19"/>
      <c r="B972" s="19"/>
      <c r="C972" s="19"/>
      <c r="D972" s="19"/>
      <c r="E972" s="19"/>
      <c r="F972" s="19"/>
      <c r="G972" s="19"/>
      <c r="H972" s="19"/>
      <c r="I972" s="19"/>
      <c r="J972" s="19"/>
      <c r="K972" s="19"/>
      <c r="L972" s="19"/>
    </row>
    <row r="973">
      <c r="A973" s="19"/>
      <c r="B973" s="19"/>
      <c r="C973" s="19"/>
      <c r="D973" s="19"/>
      <c r="E973" s="19"/>
      <c r="F973" s="19"/>
      <c r="G973" s="19"/>
      <c r="H973" s="19"/>
      <c r="I973" s="19"/>
      <c r="J973" s="19"/>
      <c r="K973" s="19"/>
      <c r="L973" s="19"/>
    </row>
    <row r="974">
      <c r="A974" s="19"/>
      <c r="B974" s="19"/>
      <c r="C974" s="19"/>
      <c r="D974" s="19"/>
      <c r="E974" s="19"/>
      <c r="F974" s="19"/>
      <c r="G974" s="19"/>
      <c r="H974" s="19"/>
      <c r="I974" s="19"/>
      <c r="J974" s="19"/>
      <c r="K974" s="19"/>
      <c r="L974" s="19"/>
    </row>
    <row r="975">
      <c r="A975" s="19"/>
      <c r="B975" s="19"/>
      <c r="C975" s="19"/>
      <c r="D975" s="19"/>
      <c r="E975" s="19"/>
      <c r="F975" s="19"/>
      <c r="G975" s="19"/>
      <c r="H975" s="19"/>
      <c r="I975" s="19"/>
      <c r="J975" s="19"/>
      <c r="K975" s="19"/>
      <c r="L975" s="19"/>
    </row>
    <row r="976">
      <c r="A976" s="19"/>
      <c r="B976" s="19"/>
      <c r="C976" s="19"/>
      <c r="D976" s="19"/>
      <c r="E976" s="19"/>
      <c r="F976" s="19"/>
      <c r="G976" s="19"/>
      <c r="H976" s="19"/>
      <c r="I976" s="19"/>
      <c r="J976" s="19"/>
      <c r="K976" s="19"/>
      <c r="L976" s="19"/>
    </row>
    <row r="977">
      <c r="A977" s="19"/>
      <c r="B977" s="19"/>
      <c r="C977" s="19"/>
      <c r="D977" s="19"/>
      <c r="E977" s="19"/>
      <c r="F977" s="19"/>
      <c r="G977" s="19"/>
      <c r="H977" s="19"/>
      <c r="I977" s="19"/>
      <c r="J977" s="19"/>
      <c r="K977" s="19"/>
      <c r="L977" s="19"/>
    </row>
    <row r="978">
      <c r="A978" s="19"/>
      <c r="B978" s="19"/>
      <c r="C978" s="19"/>
      <c r="D978" s="19"/>
      <c r="E978" s="19"/>
      <c r="F978" s="19"/>
      <c r="G978" s="19"/>
      <c r="H978" s="19"/>
      <c r="I978" s="19"/>
      <c r="J978" s="19"/>
      <c r="K978" s="19"/>
      <c r="L978" s="19"/>
    </row>
    <row r="979">
      <c r="A979" s="19"/>
      <c r="B979" s="19"/>
      <c r="C979" s="19"/>
      <c r="D979" s="19"/>
      <c r="E979" s="19"/>
      <c r="F979" s="19"/>
      <c r="G979" s="19"/>
      <c r="H979" s="19"/>
      <c r="I979" s="19"/>
      <c r="J979" s="19"/>
      <c r="K979" s="19"/>
      <c r="L979" s="19"/>
    </row>
    <row r="980">
      <c r="A980" s="19"/>
      <c r="B980" s="19"/>
      <c r="C980" s="19"/>
      <c r="D980" s="19"/>
      <c r="E980" s="19"/>
      <c r="F980" s="19"/>
      <c r="G980" s="19"/>
      <c r="H980" s="19"/>
      <c r="I980" s="19"/>
      <c r="J980" s="19"/>
      <c r="K980" s="19"/>
      <c r="L980" s="19"/>
    </row>
    <row r="981">
      <c r="A981" s="19"/>
      <c r="B981" s="19"/>
      <c r="C981" s="19"/>
      <c r="D981" s="19"/>
      <c r="E981" s="19"/>
      <c r="F981" s="19"/>
      <c r="G981" s="19"/>
      <c r="H981" s="19"/>
      <c r="I981" s="19"/>
      <c r="J981" s="19"/>
      <c r="K981" s="19"/>
      <c r="L981" s="19"/>
    </row>
    <row r="982">
      <c r="A982" s="19"/>
      <c r="B982" s="19"/>
      <c r="C982" s="19"/>
      <c r="D982" s="19"/>
      <c r="E982" s="19"/>
      <c r="F982" s="19"/>
      <c r="G982" s="19"/>
      <c r="H982" s="19"/>
      <c r="I982" s="19"/>
      <c r="J982" s="19"/>
      <c r="K982" s="19"/>
      <c r="L982" s="19"/>
    </row>
    <row r="983">
      <c r="A983" s="19"/>
      <c r="B983" s="19"/>
      <c r="C983" s="19"/>
      <c r="D983" s="19"/>
      <c r="E983" s="19"/>
      <c r="F983" s="19"/>
      <c r="G983" s="19"/>
      <c r="H983" s="19"/>
      <c r="I983" s="19"/>
      <c r="J983" s="19"/>
      <c r="K983" s="19"/>
      <c r="L983" s="19"/>
    </row>
    <row r="984">
      <c r="A984" s="19"/>
      <c r="B984" s="19"/>
      <c r="C984" s="19"/>
      <c r="D984" s="19"/>
      <c r="E984" s="19"/>
      <c r="F984" s="19"/>
      <c r="G984" s="19"/>
      <c r="H984" s="19"/>
      <c r="I984" s="19"/>
      <c r="J984" s="19"/>
      <c r="K984" s="19"/>
      <c r="L984" s="19"/>
    </row>
    <row r="985">
      <c r="A985" s="19"/>
      <c r="B985" s="19"/>
      <c r="C985" s="19"/>
      <c r="D985" s="19"/>
      <c r="E985" s="19"/>
      <c r="F985" s="19"/>
      <c r="G985" s="19"/>
      <c r="H985" s="19"/>
      <c r="I985" s="19"/>
      <c r="J985" s="19"/>
      <c r="K985" s="19"/>
      <c r="L985" s="19"/>
    </row>
    <row r="986">
      <c r="A986" s="19"/>
      <c r="B986" s="19"/>
      <c r="C986" s="19"/>
      <c r="D986" s="19"/>
      <c r="E986" s="19"/>
      <c r="F986" s="19"/>
      <c r="G986" s="19"/>
      <c r="H986" s="19"/>
      <c r="I986" s="19"/>
      <c r="J986" s="19"/>
      <c r="K986" s="19"/>
      <c r="L986" s="19"/>
    </row>
    <row r="987">
      <c r="A987" s="19"/>
      <c r="B987" s="19"/>
      <c r="C987" s="19"/>
      <c r="D987" s="19"/>
      <c r="E987" s="19"/>
      <c r="F987" s="19"/>
      <c r="G987" s="19"/>
      <c r="H987" s="19"/>
      <c r="I987" s="19"/>
      <c r="J987" s="19"/>
      <c r="K987" s="19"/>
      <c r="L987" s="19"/>
    </row>
    <row r="988">
      <c r="A988" s="19"/>
      <c r="B988" s="19"/>
      <c r="C988" s="19"/>
      <c r="D988" s="19"/>
      <c r="E988" s="19"/>
      <c r="F988" s="19"/>
      <c r="G988" s="19"/>
      <c r="H988" s="19"/>
      <c r="I988" s="19"/>
      <c r="J988" s="19"/>
      <c r="K988" s="19"/>
      <c r="L988" s="19"/>
    </row>
    <row r="989">
      <c r="A989" s="19"/>
      <c r="B989" s="19"/>
      <c r="C989" s="19"/>
      <c r="D989" s="19"/>
      <c r="E989" s="19"/>
      <c r="F989" s="19"/>
      <c r="G989" s="19"/>
      <c r="H989" s="19"/>
      <c r="I989" s="19"/>
      <c r="J989" s="19"/>
      <c r="K989" s="19"/>
      <c r="L989" s="19"/>
    </row>
    <row r="990">
      <c r="A990" s="19"/>
      <c r="B990" s="19"/>
      <c r="C990" s="19"/>
      <c r="D990" s="19"/>
      <c r="E990" s="19"/>
      <c r="F990" s="19"/>
      <c r="G990" s="19"/>
      <c r="H990" s="19"/>
      <c r="I990" s="19"/>
      <c r="J990" s="19"/>
      <c r="K990" s="19"/>
      <c r="L990" s="19"/>
    </row>
    <row r="991">
      <c r="A991" s="19"/>
      <c r="B991" s="19"/>
      <c r="C991" s="19"/>
      <c r="D991" s="19"/>
      <c r="E991" s="19"/>
      <c r="F991" s="19"/>
      <c r="G991" s="19"/>
      <c r="H991" s="19"/>
      <c r="I991" s="19"/>
      <c r="J991" s="19"/>
      <c r="K991" s="19"/>
      <c r="L991" s="19"/>
    </row>
    <row r="992">
      <c r="A992" s="19"/>
      <c r="B992" s="19"/>
      <c r="C992" s="19"/>
      <c r="D992" s="19"/>
      <c r="E992" s="19"/>
      <c r="F992" s="19"/>
      <c r="G992" s="19"/>
      <c r="H992" s="19"/>
      <c r="I992" s="19"/>
      <c r="J992" s="19"/>
      <c r="K992" s="19"/>
      <c r="L992" s="19"/>
    </row>
    <row r="993">
      <c r="A993" s="19"/>
      <c r="B993" s="19"/>
      <c r="C993" s="19"/>
      <c r="D993" s="19"/>
      <c r="E993" s="19"/>
      <c r="F993" s="19"/>
      <c r="G993" s="19"/>
      <c r="H993" s="19"/>
      <c r="I993" s="19"/>
      <c r="J993" s="19"/>
      <c r="K993" s="19"/>
      <c r="L993" s="19"/>
    </row>
    <row r="994">
      <c r="A994" s="19"/>
      <c r="B994" s="19"/>
      <c r="C994" s="19"/>
      <c r="D994" s="19"/>
      <c r="E994" s="19"/>
      <c r="F994" s="19"/>
      <c r="G994" s="19"/>
      <c r="H994" s="19"/>
      <c r="I994" s="19"/>
      <c r="J994" s="19"/>
      <c r="K994" s="19"/>
      <c r="L994" s="19"/>
    </row>
    <row r="995">
      <c r="A995" s="19"/>
      <c r="B995" s="19"/>
      <c r="C995" s="19"/>
      <c r="D995" s="19"/>
      <c r="E995" s="19"/>
      <c r="F995" s="19"/>
      <c r="G995" s="19"/>
      <c r="H995" s="19"/>
      <c r="I995" s="19"/>
      <c r="J995" s="19"/>
      <c r="K995" s="19"/>
      <c r="L995" s="19"/>
    </row>
    <row r="996">
      <c r="A996" s="19"/>
      <c r="B996" s="19"/>
      <c r="C996" s="19"/>
      <c r="D996" s="19"/>
      <c r="E996" s="19"/>
      <c r="F996" s="19"/>
      <c r="G996" s="19"/>
      <c r="H996" s="19"/>
      <c r="I996" s="19"/>
      <c r="J996" s="19"/>
      <c r="K996" s="19"/>
      <c r="L996" s="19"/>
    </row>
    <row r="997">
      <c r="A997" s="19"/>
      <c r="B997" s="19"/>
      <c r="C997" s="19"/>
      <c r="D997" s="19"/>
      <c r="E997" s="19"/>
      <c r="F997" s="19"/>
      <c r="G997" s="19"/>
      <c r="H997" s="19"/>
      <c r="I997" s="19"/>
      <c r="J997" s="19"/>
      <c r="K997" s="19"/>
      <c r="L997" s="19"/>
    </row>
    <row r="998">
      <c r="A998" s="19"/>
      <c r="B998" s="19"/>
      <c r="C998" s="19"/>
      <c r="D998" s="19"/>
      <c r="E998" s="19"/>
      <c r="F998" s="19"/>
      <c r="G998" s="19"/>
      <c r="H998" s="19"/>
      <c r="I998" s="19"/>
      <c r="J998" s="19"/>
      <c r="K998" s="19"/>
      <c r="L998" s="19"/>
    </row>
    <row r="999">
      <c r="A999" s="19"/>
      <c r="B999" s="19"/>
      <c r="C999" s="19"/>
      <c r="D999" s="19"/>
      <c r="E999" s="19"/>
      <c r="F999" s="19"/>
      <c r="G999" s="19"/>
      <c r="H999" s="19"/>
      <c r="I999" s="19"/>
      <c r="J999" s="19"/>
      <c r="K999" s="19"/>
      <c r="L999" s="19"/>
    </row>
    <row r="1000">
      <c r="A1000" s="19"/>
      <c r="B1000" s="19"/>
      <c r="C1000" s="19"/>
      <c r="D1000" s="19"/>
      <c r="E1000" s="19"/>
      <c r="F1000" s="19"/>
      <c r="G1000" s="19"/>
      <c r="H1000" s="19"/>
      <c r="I1000" s="19"/>
      <c r="J1000" s="19"/>
      <c r="K1000" s="19"/>
      <c r="L1000" s="19"/>
    </row>
  </sheetData>
  <drawing r:id="rId1"/>
</worksheet>
</file>